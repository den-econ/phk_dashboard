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erth\GitHub\phk_dashboard\reports\sectoral\"/>
    </mc:Choice>
  </mc:AlternateContent>
  <xr:revisionPtr revIDLastSave="0" documentId="13_ncr:1_{BAF0192A-2731-4A52-B42A-C816A746D4A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shboard_Risiko Sektoral" sheetId="14" r:id="rId1"/>
    <sheet name="Dashboard_Eksposur Kurs" sheetId="16" r:id="rId2"/>
    <sheet name="Summary" sheetId="13" r:id="rId3"/>
    <sheet name="Comparables_Data IBS" sheetId="12" r:id="rId4"/>
    <sheet name="Data IBS per Tahun" sheetId="4" r:id="rId5"/>
    <sheet name="Heat Map" sheetId="11" r:id="rId6"/>
    <sheet name="Kode KBLI 2 Digit" sheetId="15" r:id="rId7"/>
    <sheet name="Sheet1" sheetId="1" r:id="rId8"/>
  </sheets>
  <externalReferences>
    <externalReference r:id="rId9"/>
  </externalReferences>
  <definedNames>
    <definedName name="_xlnm._FilterDatabase" localSheetId="0" hidden="1">'Dashboard_Risiko Sektoral'!$B$5:$Y$5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1" i="16" l="1"/>
  <c r="AN7" i="16"/>
  <c r="AN3" i="16"/>
  <c r="AM3" i="16"/>
  <c r="AD11" i="16"/>
  <c r="AE7" i="16"/>
  <c r="AE3" i="16"/>
  <c r="AD3" i="16"/>
  <c r="AM64" i="16"/>
  <c r="AN60" i="16"/>
  <c r="AN56" i="16"/>
  <c r="AN64" i="16" s="1"/>
  <c r="AM56" i="16"/>
  <c r="AM60" i="16" s="1"/>
  <c r="AM50" i="16"/>
  <c r="AN46" i="16"/>
  <c r="AN42" i="16"/>
  <c r="AN50" i="16" s="1"/>
  <c r="AM42" i="16"/>
  <c r="AK69" i="16" s="1"/>
  <c r="AD62" i="16"/>
  <c r="AE58" i="16"/>
  <c r="AE54" i="16"/>
  <c r="AE61" i="16" s="1"/>
  <c r="AD54" i="16"/>
  <c r="AD58" i="16" s="1"/>
  <c r="AD50" i="16"/>
  <c r="AE46" i="16"/>
  <c r="AE42" i="16"/>
  <c r="AE50" i="16" s="1"/>
  <c r="AD42" i="16"/>
  <c r="F7" i="13"/>
  <c r="R2" i="14"/>
  <c r="G2" i="14"/>
  <c r="F2" i="14"/>
  <c r="E2" i="14"/>
  <c r="D2" i="14"/>
  <c r="R1" i="14"/>
  <c r="G1" i="14"/>
  <c r="L17" i="14" s="1"/>
  <c r="Q17" i="14" s="1"/>
  <c r="F1" i="14"/>
  <c r="K25" i="14" s="1"/>
  <c r="P25" i="14" s="1"/>
  <c r="E1" i="14"/>
  <c r="J8" i="14" s="1"/>
  <c r="O8" i="14" s="1"/>
  <c r="D1" i="14"/>
  <c r="I23" i="14" s="1"/>
  <c r="N23" i="14" s="1"/>
  <c r="G35" i="12"/>
  <c r="H35" i="12"/>
  <c r="I35" i="12"/>
  <c r="J35" i="12"/>
  <c r="N35" i="12"/>
  <c r="O35" i="12"/>
  <c r="P35" i="12"/>
  <c r="Q35" i="12"/>
  <c r="U35" i="12"/>
  <c r="V35" i="12"/>
  <c r="W35" i="12"/>
  <c r="X35" i="12"/>
  <c r="G36" i="12"/>
  <c r="H36" i="12"/>
  <c r="I36" i="12"/>
  <c r="J36" i="12"/>
  <c r="N36" i="12"/>
  <c r="O36" i="12"/>
  <c r="P36" i="12"/>
  <c r="Q36" i="12"/>
  <c r="U36" i="12"/>
  <c r="V36" i="12"/>
  <c r="W36" i="12"/>
  <c r="X36" i="12"/>
  <c r="G37" i="12"/>
  <c r="H37" i="12"/>
  <c r="I37" i="12"/>
  <c r="J37" i="12"/>
  <c r="N37" i="12"/>
  <c r="O37" i="12"/>
  <c r="P37" i="12"/>
  <c r="Q37" i="12"/>
  <c r="U37" i="12"/>
  <c r="V37" i="12"/>
  <c r="W37" i="12"/>
  <c r="X37" i="12"/>
  <c r="G38" i="12"/>
  <c r="H38" i="12"/>
  <c r="I38" i="12"/>
  <c r="J38" i="12"/>
  <c r="N38" i="12"/>
  <c r="O38" i="12"/>
  <c r="P38" i="12"/>
  <c r="Q38" i="12"/>
  <c r="U38" i="12"/>
  <c r="V38" i="12"/>
  <c r="W38" i="12"/>
  <c r="X38" i="12"/>
  <c r="G39" i="12"/>
  <c r="H39" i="12"/>
  <c r="I39" i="12"/>
  <c r="J39" i="12"/>
  <c r="N39" i="12"/>
  <c r="O39" i="12"/>
  <c r="P39" i="12"/>
  <c r="Q39" i="12"/>
  <c r="U39" i="12"/>
  <c r="V39" i="12"/>
  <c r="W39" i="12"/>
  <c r="X39" i="12"/>
  <c r="G40" i="12"/>
  <c r="H40" i="12"/>
  <c r="I40" i="12"/>
  <c r="J40" i="12"/>
  <c r="N40" i="12"/>
  <c r="O40" i="12"/>
  <c r="P40" i="12"/>
  <c r="Q40" i="12"/>
  <c r="U40" i="12"/>
  <c r="V40" i="12"/>
  <c r="W40" i="12"/>
  <c r="X40" i="12"/>
  <c r="G41" i="12"/>
  <c r="H41" i="12"/>
  <c r="I41" i="12"/>
  <c r="J41" i="12"/>
  <c r="N41" i="12"/>
  <c r="O41" i="12"/>
  <c r="P41" i="12"/>
  <c r="Q41" i="12"/>
  <c r="U41" i="12"/>
  <c r="V41" i="12"/>
  <c r="W41" i="12"/>
  <c r="X41" i="12"/>
  <c r="G42" i="12"/>
  <c r="H42" i="12"/>
  <c r="I42" i="12"/>
  <c r="J42" i="12"/>
  <c r="N42" i="12"/>
  <c r="O42" i="12"/>
  <c r="P42" i="12"/>
  <c r="Q42" i="12"/>
  <c r="U42" i="12"/>
  <c r="V42" i="12"/>
  <c r="W42" i="12"/>
  <c r="X42" i="12"/>
  <c r="G43" i="12"/>
  <c r="H43" i="12"/>
  <c r="I43" i="12"/>
  <c r="J43" i="12"/>
  <c r="N43" i="12"/>
  <c r="O43" i="12"/>
  <c r="P43" i="12"/>
  <c r="Q43" i="12"/>
  <c r="U43" i="12"/>
  <c r="V43" i="12"/>
  <c r="W43" i="12"/>
  <c r="X43" i="12"/>
  <c r="G44" i="12"/>
  <c r="H44" i="12"/>
  <c r="I44" i="12"/>
  <c r="J44" i="12"/>
  <c r="N44" i="12"/>
  <c r="O44" i="12"/>
  <c r="P44" i="12"/>
  <c r="Q44" i="12"/>
  <c r="U44" i="12"/>
  <c r="V44" i="12"/>
  <c r="W44" i="12"/>
  <c r="X44" i="12"/>
  <c r="G45" i="12"/>
  <c r="H45" i="12"/>
  <c r="I45" i="12"/>
  <c r="J45" i="12"/>
  <c r="N45" i="12"/>
  <c r="O45" i="12"/>
  <c r="P45" i="12"/>
  <c r="Q45" i="12"/>
  <c r="U45" i="12"/>
  <c r="V45" i="12"/>
  <c r="W45" i="12"/>
  <c r="X45" i="12"/>
  <c r="G46" i="12"/>
  <c r="H46" i="12"/>
  <c r="I46" i="12"/>
  <c r="J46" i="12"/>
  <c r="N46" i="12"/>
  <c r="O46" i="12"/>
  <c r="P46" i="12"/>
  <c r="Q46" i="12"/>
  <c r="U46" i="12"/>
  <c r="V46" i="12"/>
  <c r="W46" i="12"/>
  <c r="X46" i="12"/>
  <c r="G47" i="12"/>
  <c r="H47" i="12"/>
  <c r="I47" i="12"/>
  <c r="J47" i="12"/>
  <c r="N47" i="12"/>
  <c r="O47" i="12"/>
  <c r="P47" i="12"/>
  <c r="Q47" i="12"/>
  <c r="U47" i="12"/>
  <c r="V47" i="12"/>
  <c r="W47" i="12"/>
  <c r="X47" i="12"/>
  <c r="G48" i="12"/>
  <c r="H48" i="12"/>
  <c r="I48" i="12"/>
  <c r="J48" i="12"/>
  <c r="N48" i="12"/>
  <c r="O48" i="12"/>
  <c r="P48" i="12"/>
  <c r="Q48" i="12"/>
  <c r="U48" i="12"/>
  <c r="V48" i="12"/>
  <c r="W48" i="12"/>
  <c r="X48" i="12"/>
  <c r="G49" i="12"/>
  <c r="H49" i="12"/>
  <c r="I49" i="12"/>
  <c r="J49" i="12"/>
  <c r="N49" i="12"/>
  <c r="O49" i="12"/>
  <c r="P49" i="12"/>
  <c r="Q49" i="12"/>
  <c r="U49" i="12"/>
  <c r="V49" i="12"/>
  <c r="W49" i="12"/>
  <c r="X49" i="12"/>
  <c r="G50" i="12"/>
  <c r="H50" i="12"/>
  <c r="I50" i="12"/>
  <c r="J50" i="12"/>
  <c r="N50" i="12"/>
  <c r="O50" i="12"/>
  <c r="P50" i="12"/>
  <c r="Q50" i="12"/>
  <c r="U50" i="12"/>
  <c r="V50" i="12"/>
  <c r="W50" i="12"/>
  <c r="X50" i="12"/>
  <c r="G51" i="12"/>
  <c r="H51" i="12"/>
  <c r="I51" i="12"/>
  <c r="J51" i="12"/>
  <c r="N51" i="12"/>
  <c r="O51" i="12"/>
  <c r="P51" i="12"/>
  <c r="Q51" i="12"/>
  <c r="U51" i="12"/>
  <c r="V51" i="12"/>
  <c r="W51" i="12"/>
  <c r="X51" i="12"/>
  <c r="G52" i="12"/>
  <c r="H52" i="12"/>
  <c r="I52" i="12"/>
  <c r="J52" i="12"/>
  <c r="N52" i="12"/>
  <c r="O52" i="12"/>
  <c r="P52" i="12"/>
  <c r="Q52" i="12"/>
  <c r="U52" i="12"/>
  <c r="V52" i="12"/>
  <c r="W52" i="12"/>
  <c r="X52" i="12"/>
  <c r="G53" i="12"/>
  <c r="H53" i="12"/>
  <c r="I53" i="12"/>
  <c r="J53" i="12"/>
  <c r="N53" i="12"/>
  <c r="O53" i="12"/>
  <c r="P53" i="12"/>
  <c r="Q53" i="12"/>
  <c r="U53" i="12"/>
  <c r="V53" i="12"/>
  <c r="W53" i="12"/>
  <c r="X53" i="12"/>
  <c r="G54" i="12"/>
  <c r="H54" i="12"/>
  <c r="I54" i="12"/>
  <c r="J54" i="12"/>
  <c r="N54" i="12"/>
  <c r="O54" i="12"/>
  <c r="P54" i="12"/>
  <c r="Q54" i="12"/>
  <c r="U54" i="12"/>
  <c r="V54" i="12"/>
  <c r="W54" i="12"/>
  <c r="X54" i="12"/>
  <c r="G55" i="12"/>
  <c r="H55" i="12"/>
  <c r="I55" i="12"/>
  <c r="J55" i="12"/>
  <c r="N55" i="12"/>
  <c r="O55" i="12"/>
  <c r="P55" i="12"/>
  <c r="Q55" i="12"/>
  <c r="U55" i="12"/>
  <c r="V55" i="12"/>
  <c r="W55" i="12"/>
  <c r="X55" i="12"/>
  <c r="G56" i="12"/>
  <c r="H56" i="12"/>
  <c r="I56" i="12"/>
  <c r="J56" i="12"/>
  <c r="N56" i="12"/>
  <c r="O56" i="12"/>
  <c r="P56" i="12"/>
  <c r="Q56" i="12"/>
  <c r="U56" i="12"/>
  <c r="V56" i="12"/>
  <c r="W56" i="12"/>
  <c r="X56" i="12"/>
  <c r="G57" i="12"/>
  <c r="H57" i="12"/>
  <c r="I57" i="12"/>
  <c r="J57" i="12"/>
  <c r="N57" i="12"/>
  <c r="O57" i="12"/>
  <c r="P57" i="12"/>
  <c r="Q57" i="12"/>
  <c r="U57" i="12"/>
  <c r="V57" i="12"/>
  <c r="W57" i="12"/>
  <c r="X57" i="12"/>
  <c r="G58" i="12"/>
  <c r="H58" i="12"/>
  <c r="I58" i="12"/>
  <c r="J58" i="12"/>
  <c r="N58" i="12"/>
  <c r="O58" i="12"/>
  <c r="P58" i="12"/>
  <c r="Q58" i="12"/>
  <c r="U58" i="12"/>
  <c r="V58" i="12"/>
  <c r="W58" i="12"/>
  <c r="X58" i="12"/>
  <c r="G59" i="12"/>
  <c r="H59" i="12"/>
  <c r="I59" i="12"/>
  <c r="J59" i="12"/>
  <c r="N59" i="12"/>
  <c r="O59" i="12"/>
  <c r="P59" i="12"/>
  <c r="Q59" i="12"/>
  <c r="U59" i="12"/>
  <c r="V59" i="12"/>
  <c r="W59" i="12"/>
  <c r="X59" i="12"/>
  <c r="G60" i="12"/>
  <c r="H60" i="12"/>
  <c r="I60" i="12"/>
  <c r="J60" i="12"/>
  <c r="N60" i="12"/>
  <c r="O60" i="12"/>
  <c r="P60" i="12"/>
  <c r="Q60" i="12"/>
  <c r="U60" i="12"/>
  <c r="V60" i="12"/>
  <c r="W60" i="12"/>
  <c r="X60" i="12"/>
  <c r="G61" i="12"/>
  <c r="H61" i="12"/>
  <c r="I61" i="12"/>
  <c r="J61" i="12"/>
  <c r="N61" i="12"/>
  <c r="O61" i="12"/>
  <c r="P61" i="12"/>
  <c r="Q61" i="12"/>
  <c r="U61" i="12"/>
  <c r="V61" i="12"/>
  <c r="W61" i="12"/>
  <c r="X61" i="12"/>
  <c r="G62" i="12"/>
  <c r="H62" i="12"/>
  <c r="I62" i="12"/>
  <c r="J62" i="12"/>
  <c r="N62" i="12"/>
  <c r="O62" i="12"/>
  <c r="P62" i="12"/>
  <c r="Q62" i="12"/>
  <c r="U62" i="12"/>
  <c r="V62" i="12"/>
  <c r="W62" i="12"/>
  <c r="X62" i="12"/>
  <c r="G63" i="12"/>
  <c r="H63" i="12"/>
  <c r="I63" i="12"/>
  <c r="J63" i="12"/>
  <c r="N63" i="12"/>
  <c r="O63" i="12"/>
  <c r="P63" i="12"/>
  <c r="Q63" i="12"/>
  <c r="U63" i="12"/>
  <c r="V63" i="12"/>
  <c r="W63" i="12"/>
  <c r="X63" i="12"/>
  <c r="G64" i="12"/>
  <c r="H64" i="12"/>
  <c r="I64" i="12"/>
  <c r="J64" i="12"/>
  <c r="N64" i="12"/>
  <c r="O64" i="12"/>
  <c r="P64" i="12"/>
  <c r="Q64" i="12"/>
  <c r="U64" i="12"/>
  <c r="V64" i="12"/>
  <c r="W64" i="12"/>
  <c r="X64" i="12"/>
  <c r="G65" i="12"/>
  <c r="H65" i="12"/>
  <c r="I65" i="12"/>
  <c r="J65" i="12"/>
  <c r="N65" i="12"/>
  <c r="O65" i="12"/>
  <c r="P65" i="12"/>
  <c r="Q65" i="12"/>
  <c r="U65" i="12"/>
  <c r="V65" i="12"/>
  <c r="W65" i="12"/>
  <c r="X65" i="12"/>
  <c r="G66" i="12"/>
  <c r="H66" i="12"/>
  <c r="I66" i="12"/>
  <c r="J66" i="12"/>
  <c r="N66" i="12"/>
  <c r="O66" i="12"/>
  <c r="P66" i="12"/>
  <c r="Q66" i="12"/>
  <c r="U66" i="12"/>
  <c r="V66" i="12"/>
  <c r="W66" i="12"/>
  <c r="X66" i="12"/>
  <c r="G68" i="12"/>
  <c r="H68" i="12"/>
  <c r="I68" i="12"/>
  <c r="J68" i="12"/>
  <c r="N68" i="12"/>
  <c r="O68" i="12"/>
  <c r="P68" i="12"/>
  <c r="Q68" i="12"/>
  <c r="U68" i="12"/>
  <c r="V68" i="12"/>
  <c r="W68" i="12"/>
  <c r="X68" i="12"/>
  <c r="X34" i="12"/>
  <c r="Q34" i="12"/>
  <c r="J34" i="12"/>
  <c r="BE35" i="4"/>
  <c r="BE36" i="4"/>
  <c r="BE37" i="4"/>
  <c r="BE38" i="4"/>
  <c r="BE39" i="4"/>
  <c r="BE40" i="4"/>
  <c r="BE41" i="4"/>
  <c r="BE42" i="4"/>
  <c r="BE43" i="4"/>
  <c r="BE44" i="4"/>
  <c r="BE45" i="4"/>
  <c r="BE46" i="4"/>
  <c r="BE47" i="4"/>
  <c r="BE48" i="4"/>
  <c r="BE49" i="4"/>
  <c r="BE50" i="4"/>
  <c r="BE51" i="4"/>
  <c r="BE52" i="4"/>
  <c r="BE53" i="4"/>
  <c r="BE54" i="4"/>
  <c r="BE55" i="4"/>
  <c r="BE56" i="4"/>
  <c r="BE57" i="4"/>
  <c r="BE58" i="4"/>
  <c r="BE59" i="4"/>
  <c r="BE60" i="4"/>
  <c r="BE61" i="4"/>
  <c r="BE62" i="4"/>
  <c r="BE63" i="4"/>
  <c r="BE64" i="4"/>
  <c r="BE65" i="4"/>
  <c r="BE66" i="4"/>
  <c r="BE68" i="4"/>
  <c r="BB35" i="4"/>
  <c r="BB36" i="4"/>
  <c r="BB37" i="4"/>
  <c r="BB38" i="4"/>
  <c r="BB39" i="4"/>
  <c r="BB40" i="4"/>
  <c r="BB41" i="4"/>
  <c r="BB42" i="4"/>
  <c r="BB43" i="4"/>
  <c r="BB44" i="4"/>
  <c r="BB45" i="4"/>
  <c r="BB46" i="4"/>
  <c r="BB47" i="4"/>
  <c r="BB48" i="4"/>
  <c r="BB49" i="4"/>
  <c r="BB50" i="4"/>
  <c r="BB51" i="4"/>
  <c r="BB52" i="4"/>
  <c r="BB53" i="4"/>
  <c r="BB54" i="4"/>
  <c r="BB55" i="4"/>
  <c r="BB56" i="4"/>
  <c r="BB57" i="4"/>
  <c r="BB58" i="4"/>
  <c r="BB59" i="4"/>
  <c r="BB60" i="4"/>
  <c r="BB61" i="4"/>
  <c r="BB62" i="4"/>
  <c r="BB63" i="4"/>
  <c r="BB64" i="4"/>
  <c r="BB65" i="4"/>
  <c r="BB66" i="4"/>
  <c r="BB68" i="4"/>
  <c r="AY35" i="4"/>
  <c r="AY36" i="4"/>
  <c r="AY37" i="4"/>
  <c r="AY38" i="4"/>
  <c r="AY39" i="4"/>
  <c r="AY40" i="4"/>
  <c r="AY41" i="4"/>
  <c r="AY42" i="4"/>
  <c r="AY43" i="4"/>
  <c r="AY44" i="4"/>
  <c r="AY45" i="4"/>
  <c r="AY46" i="4"/>
  <c r="AY47" i="4"/>
  <c r="AY48" i="4"/>
  <c r="AY49" i="4"/>
  <c r="AY50" i="4"/>
  <c r="AY51" i="4"/>
  <c r="AY52" i="4"/>
  <c r="AY53" i="4"/>
  <c r="AY54" i="4"/>
  <c r="AY55" i="4"/>
  <c r="AY56" i="4"/>
  <c r="AY57" i="4"/>
  <c r="AY58" i="4"/>
  <c r="AY59" i="4"/>
  <c r="AY60" i="4"/>
  <c r="AY61" i="4"/>
  <c r="AY62" i="4"/>
  <c r="AY63" i="4"/>
  <c r="AY64" i="4"/>
  <c r="AY65" i="4"/>
  <c r="AY66" i="4"/>
  <c r="AY68" i="4"/>
  <c r="V34" i="12"/>
  <c r="O34" i="12"/>
  <c r="H34" i="12"/>
  <c r="U34" i="12"/>
  <c r="N34" i="12"/>
  <c r="G34" i="12"/>
  <c r="AV35" i="4"/>
  <c r="AV36" i="4"/>
  <c r="AV37" i="4"/>
  <c r="AV38" i="4"/>
  <c r="AV39" i="4"/>
  <c r="AV40" i="4"/>
  <c r="AV41" i="4"/>
  <c r="AV42" i="4"/>
  <c r="AV43" i="4"/>
  <c r="AV44" i="4"/>
  <c r="AV45" i="4"/>
  <c r="AV46" i="4"/>
  <c r="AV47" i="4"/>
  <c r="AV48" i="4"/>
  <c r="AV49" i="4"/>
  <c r="AV50" i="4"/>
  <c r="AV51" i="4"/>
  <c r="AV52" i="4"/>
  <c r="AV53" i="4"/>
  <c r="AV54" i="4"/>
  <c r="AV55" i="4"/>
  <c r="AV56" i="4"/>
  <c r="AV57" i="4"/>
  <c r="AV58" i="4"/>
  <c r="AV59" i="4"/>
  <c r="AV60" i="4"/>
  <c r="AV61" i="4"/>
  <c r="AV62" i="4"/>
  <c r="AV63" i="4"/>
  <c r="AV64" i="4"/>
  <c r="AV65" i="4"/>
  <c r="AV66" i="4"/>
  <c r="AV68" i="4"/>
  <c r="AS35" i="4"/>
  <c r="AS36" i="4"/>
  <c r="AS37" i="4"/>
  <c r="AS38" i="4"/>
  <c r="AS39" i="4"/>
  <c r="AS40" i="4"/>
  <c r="AS41" i="4"/>
  <c r="AS42" i="4"/>
  <c r="AS43" i="4"/>
  <c r="AS44" i="4"/>
  <c r="AS45" i="4"/>
  <c r="AS46" i="4"/>
  <c r="AS47" i="4"/>
  <c r="AS48" i="4"/>
  <c r="AS49" i="4"/>
  <c r="AS50" i="4"/>
  <c r="AS51" i="4"/>
  <c r="AS52" i="4"/>
  <c r="AS53" i="4"/>
  <c r="AS54" i="4"/>
  <c r="AS55" i="4"/>
  <c r="AS56" i="4"/>
  <c r="AS57" i="4"/>
  <c r="AS58" i="4"/>
  <c r="AS59" i="4"/>
  <c r="AS60" i="4"/>
  <c r="AS61" i="4"/>
  <c r="AS62" i="4"/>
  <c r="AS63" i="4"/>
  <c r="AS64" i="4"/>
  <c r="AS65" i="4"/>
  <c r="AS66" i="4"/>
  <c r="AS68" i="4"/>
  <c r="AP35" i="4"/>
  <c r="AP36" i="4"/>
  <c r="AP37" i="4"/>
  <c r="AP38" i="4"/>
  <c r="AP39" i="4"/>
  <c r="AP40" i="4"/>
  <c r="AP41" i="4"/>
  <c r="AP42" i="4"/>
  <c r="AP43" i="4"/>
  <c r="AP44" i="4"/>
  <c r="AP45" i="4"/>
  <c r="AP46" i="4"/>
  <c r="AP47" i="4"/>
  <c r="AP48" i="4"/>
  <c r="AP49" i="4"/>
  <c r="AP50" i="4"/>
  <c r="AP51" i="4"/>
  <c r="AP52" i="4"/>
  <c r="AP53" i="4"/>
  <c r="AP54" i="4"/>
  <c r="AP55" i="4"/>
  <c r="AP56" i="4"/>
  <c r="AP57" i="4"/>
  <c r="AP58" i="4"/>
  <c r="AP59" i="4"/>
  <c r="AP60" i="4"/>
  <c r="AP61" i="4"/>
  <c r="AP62" i="4"/>
  <c r="AP63" i="4"/>
  <c r="AP64" i="4"/>
  <c r="AP65" i="4"/>
  <c r="AP66" i="4"/>
  <c r="AP68" i="4"/>
  <c r="AM35" i="4"/>
  <c r="AM36" i="4"/>
  <c r="AM37" i="4"/>
  <c r="AM38" i="4"/>
  <c r="AM39" i="4"/>
  <c r="AM40" i="4"/>
  <c r="AM41" i="4"/>
  <c r="AM42" i="4"/>
  <c r="AM43" i="4"/>
  <c r="AM44" i="4"/>
  <c r="AM45" i="4"/>
  <c r="AM46" i="4"/>
  <c r="AM47" i="4"/>
  <c r="AM48" i="4"/>
  <c r="AM49" i="4"/>
  <c r="AM50" i="4"/>
  <c r="AM51" i="4"/>
  <c r="AM52" i="4"/>
  <c r="AM53" i="4"/>
  <c r="AM54" i="4"/>
  <c r="AM55" i="4"/>
  <c r="AM56" i="4"/>
  <c r="AM57" i="4"/>
  <c r="AM58" i="4"/>
  <c r="AM59" i="4"/>
  <c r="AM60" i="4"/>
  <c r="AM61" i="4"/>
  <c r="AM62" i="4"/>
  <c r="AM63" i="4"/>
  <c r="AM64" i="4"/>
  <c r="AM65" i="4"/>
  <c r="AM66" i="4"/>
  <c r="AM68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8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50" i="4"/>
  <c r="AG51" i="4"/>
  <c r="AG52" i="4"/>
  <c r="AG53" i="4"/>
  <c r="AG54" i="4"/>
  <c r="AG55" i="4"/>
  <c r="AG56" i="4"/>
  <c r="AG57" i="4"/>
  <c r="AG58" i="4"/>
  <c r="AG59" i="4"/>
  <c r="AG60" i="4"/>
  <c r="AG61" i="4"/>
  <c r="AG62" i="4"/>
  <c r="AG63" i="4"/>
  <c r="AG64" i="4"/>
  <c r="AG65" i="4"/>
  <c r="AG66" i="4"/>
  <c r="AG68" i="4"/>
  <c r="E35" i="12"/>
  <c r="F35" i="12"/>
  <c r="L35" i="12"/>
  <c r="M35" i="12"/>
  <c r="S35" i="12"/>
  <c r="T35" i="12"/>
  <c r="E36" i="12"/>
  <c r="F36" i="12"/>
  <c r="L36" i="12"/>
  <c r="M36" i="12"/>
  <c r="S36" i="12"/>
  <c r="T36" i="12"/>
  <c r="E37" i="12"/>
  <c r="F37" i="12"/>
  <c r="L37" i="12"/>
  <c r="M37" i="12"/>
  <c r="S37" i="12"/>
  <c r="T37" i="12"/>
  <c r="E38" i="12"/>
  <c r="F38" i="12"/>
  <c r="L38" i="12"/>
  <c r="M38" i="12"/>
  <c r="S38" i="12"/>
  <c r="T38" i="12"/>
  <c r="E39" i="12"/>
  <c r="F39" i="12"/>
  <c r="L39" i="12"/>
  <c r="M39" i="12"/>
  <c r="S39" i="12"/>
  <c r="T39" i="12"/>
  <c r="E40" i="12"/>
  <c r="F40" i="12"/>
  <c r="L40" i="12"/>
  <c r="M40" i="12"/>
  <c r="S40" i="12"/>
  <c r="T40" i="12"/>
  <c r="E41" i="12"/>
  <c r="F41" i="12"/>
  <c r="L41" i="12"/>
  <c r="M41" i="12"/>
  <c r="S41" i="12"/>
  <c r="T41" i="12"/>
  <c r="E42" i="12"/>
  <c r="F42" i="12"/>
  <c r="L42" i="12"/>
  <c r="M42" i="12"/>
  <c r="S42" i="12"/>
  <c r="T42" i="12"/>
  <c r="E43" i="12"/>
  <c r="F43" i="12"/>
  <c r="L43" i="12"/>
  <c r="M43" i="12"/>
  <c r="S43" i="12"/>
  <c r="T43" i="12"/>
  <c r="E44" i="12"/>
  <c r="F44" i="12"/>
  <c r="L44" i="12"/>
  <c r="M44" i="12"/>
  <c r="S44" i="12"/>
  <c r="T44" i="12"/>
  <c r="E45" i="12"/>
  <c r="F45" i="12"/>
  <c r="L45" i="12"/>
  <c r="M45" i="12"/>
  <c r="S45" i="12"/>
  <c r="T45" i="12"/>
  <c r="E46" i="12"/>
  <c r="F46" i="12"/>
  <c r="L46" i="12"/>
  <c r="M46" i="12"/>
  <c r="S46" i="12"/>
  <c r="T46" i="12"/>
  <c r="E47" i="12"/>
  <c r="F47" i="12"/>
  <c r="L47" i="12"/>
  <c r="M47" i="12"/>
  <c r="S47" i="12"/>
  <c r="T47" i="12"/>
  <c r="E48" i="12"/>
  <c r="F48" i="12"/>
  <c r="L48" i="12"/>
  <c r="M48" i="12"/>
  <c r="S48" i="12"/>
  <c r="T48" i="12"/>
  <c r="E49" i="12"/>
  <c r="F49" i="12"/>
  <c r="L49" i="12"/>
  <c r="M49" i="12"/>
  <c r="S49" i="12"/>
  <c r="T49" i="12"/>
  <c r="E50" i="12"/>
  <c r="F50" i="12"/>
  <c r="L50" i="12"/>
  <c r="M50" i="12"/>
  <c r="S50" i="12"/>
  <c r="T50" i="12"/>
  <c r="E51" i="12"/>
  <c r="F51" i="12"/>
  <c r="L51" i="12"/>
  <c r="M51" i="12"/>
  <c r="S51" i="12"/>
  <c r="T51" i="12"/>
  <c r="E52" i="12"/>
  <c r="F52" i="12"/>
  <c r="L52" i="12"/>
  <c r="M52" i="12"/>
  <c r="S52" i="12"/>
  <c r="T52" i="12"/>
  <c r="E53" i="12"/>
  <c r="F53" i="12"/>
  <c r="L53" i="12"/>
  <c r="M53" i="12"/>
  <c r="S53" i="12"/>
  <c r="T53" i="12"/>
  <c r="E54" i="12"/>
  <c r="F54" i="12"/>
  <c r="L54" i="12"/>
  <c r="M54" i="12"/>
  <c r="S54" i="12"/>
  <c r="T54" i="12"/>
  <c r="E55" i="12"/>
  <c r="F55" i="12"/>
  <c r="L55" i="12"/>
  <c r="M55" i="12"/>
  <c r="S55" i="12"/>
  <c r="T55" i="12"/>
  <c r="E56" i="12"/>
  <c r="F56" i="12"/>
  <c r="L56" i="12"/>
  <c r="M56" i="12"/>
  <c r="S56" i="12"/>
  <c r="T56" i="12"/>
  <c r="E57" i="12"/>
  <c r="F57" i="12"/>
  <c r="L57" i="12"/>
  <c r="M57" i="12"/>
  <c r="S57" i="12"/>
  <c r="T57" i="12"/>
  <c r="E58" i="12"/>
  <c r="F58" i="12"/>
  <c r="L58" i="12"/>
  <c r="M58" i="12"/>
  <c r="S58" i="12"/>
  <c r="T58" i="12"/>
  <c r="E59" i="12"/>
  <c r="F59" i="12"/>
  <c r="L59" i="12"/>
  <c r="M59" i="12"/>
  <c r="S59" i="12"/>
  <c r="T59" i="12"/>
  <c r="E60" i="12"/>
  <c r="F60" i="12"/>
  <c r="L60" i="12"/>
  <c r="M60" i="12"/>
  <c r="S60" i="12"/>
  <c r="T60" i="12"/>
  <c r="E61" i="12"/>
  <c r="F61" i="12"/>
  <c r="L61" i="12"/>
  <c r="M61" i="12"/>
  <c r="S61" i="12"/>
  <c r="T61" i="12"/>
  <c r="E62" i="12"/>
  <c r="F62" i="12"/>
  <c r="L62" i="12"/>
  <c r="M62" i="12"/>
  <c r="S62" i="12"/>
  <c r="T62" i="12"/>
  <c r="E63" i="12"/>
  <c r="F63" i="12"/>
  <c r="L63" i="12"/>
  <c r="M63" i="12"/>
  <c r="S63" i="12"/>
  <c r="T63" i="12"/>
  <c r="E64" i="12"/>
  <c r="F64" i="12"/>
  <c r="L64" i="12"/>
  <c r="M64" i="12"/>
  <c r="S64" i="12"/>
  <c r="T64" i="12"/>
  <c r="E65" i="12"/>
  <c r="F65" i="12"/>
  <c r="L65" i="12"/>
  <c r="M65" i="12"/>
  <c r="S65" i="12"/>
  <c r="T65" i="12"/>
  <c r="E66" i="12"/>
  <c r="F66" i="12"/>
  <c r="L66" i="12"/>
  <c r="M66" i="12"/>
  <c r="S66" i="12"/>
  <c r="T66" i="12"/>
  <c r="E68" i="12"/>
  <c r="F68" i="12"/>
  <c r="L68" i="12"/>
  <c r="M68" i="12"/>
  <c r="S68" i="12"/>
  <c r="T68" i="12"/>
  <c r="T34" i="12"/>
  <c r="M34" i="12"/>
  <c r="F34" i="12"/>
  <c r="S34" i="12"/>
  <c r="L34" i="12"/>
  <c r="E34" i="12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8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8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8" i="4"/>
  <c r="X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8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8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8" i="4"/>
  <c r="O34" i="4"/>
  <c r="D63" i="12"/>
  <c r="K63" i="12"/>
  <c r="R63" i="12"/>
  <c r="D64" i="12"/>
  <c r="K64" i="12"/>
  <c r="R64" i="12"/>
  <c r="D65" i="12"/>
  <c r="K65" i="12"/>
  <c r="R65" i="12"/>
  <c r="D66" i="12"/>
  <c r="K66" i="12"/>
  <c r="R66" i="12"/>
  <c r="D68" i="12"/>
  <c r="K68" i="12"/>
  <c r="R68" i="12"/>
  <c r="D35" i="12"/>
  <c r="K35" i="12"/>
  <c r="R35" i="12"/>
  <c r="D36" i="12"/>
  <c r="K36" i="12"/>
  <c r="R36" i="12"/>
  <c r="D37" i="12"/>
  <c r="K37" i="12"/>
  <c r="R37" i="12"/>
  <c r="D38" i="12"/>
  <c r="K38" i="12"/>
  <c r="R38" i="12"/>
  <c r="D39" i="12"/>
  <c r="K39" i="12"/>
  <c r="R39" i="12"/>
  <c r="D40" i="12"/>
  <c r="K40" i="12"/>
  <c r="R40" i="12"/>
  <c r="D41" i="12"/>
  <c r="K41" i="12"/>
  <c r="R41" i="12"/>
  <c r="D42" i="12"/>
  <c r="K42" i="12"/>
  <c r="R42" i="12"/>
  <c r="D43" i="12"/>
  <c r="K43" i="12"/>
  <c r="R43" i="12"/>
  <c r="D44" i="12"/>
  <c r="K44" i="12"/>
  <c r="R44" i="12"/>
  <c r="D45" i="12"/>
  <c r="K45" i="12"/>
  <c r="R45" i="12"/>
  <c r="D46" i="12"/>
  <c r="K46" i="12"/>
  <c r="R46" i="12"/>
  <c r="D47" i="12"/>
  <c r="K47" i="12"/>
  <c r="R47" i="12"/>
  <c r="D48" i="12"/>
  <c r="K48" i="12"/>
  <c r="R48" i="12"/>
  <c r="D49" i="12"/>
  <c r="K49" i="12"/>
  <c r="R49" i="12"/>
  <c r="D50" i="12"/>
  <c r="K50" i="12"/>
  <c r="R50" i="12"/>
  <c r="D51" i="12"/>
  <c r="K51" i="12"/>
  <c r="R51" i="12"/>
  <c r="D52" i="12"/>
  <c r="K52" i="12"/>
  <c r="R52" i="12"/>
  <c r="D53" i="12"/>
  <c r="K53" i="12"/>
  <c r="R53" i="12"/>
  <c r="D54" i="12"/>
  <c r="K54" i="12"/>
  <c r="R54" i="12"/>
  <c r="D55" i="12"/>
  <c r="K55" i="12"/>
  <c r="R55" i="12"/>
  <c r="D56" i="12"/>
  <c r="K56" i="12"/>
  <c r="R56" i="12"/>
  <c r="D57" i="12"/>
  <c r="K57" i="12"/>
  <c r="R57" i="12"/>
  <c r="D58" i="12"/>
  <c r="K58" i="12"/>
  <c r="R58" i="12"/>
  <c r="D59" i="12"/>
  <c r="K59" i="12"/>
  <c r="R59" i="12"/>
  <c r="D60" i="12"/>
  <c r="K60" i="12"/>
  <c r="R60" i="12"/>
  <c r="D61" i="12"/>
  <c r="K61" i="12"/>
  <c r="R61" i="12"/>
  <c r="D62" i="12"/>
  <c r="K62" i="12"/>
  <c r="R62" i="12"/>
  <c r="R34" i="12"/>
  <c r="K34" i="12"/>
  <c r="D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8" i="12"/>
  <c r="C34" i="12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8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8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8" i="4"/>
  <c r="L34" i="4"/>
  <c r="I34" i="4"/>
  <c r="F34" i="4"/>
  <c r="BN68" i="4"/>
  <c r="BK68" i="4"/>
  <c r="BH68" i="4"/>
  <c r="BH34" i="4"/>
  <c r="G24" i="13"/>
  <c r="G23" i="13"/>
  <c r="F24" i="13"/>
  <c r="G20" i="13"/>
  <c r="F20" i="13"/>
  <c r="F19" i="13"/>
  <c r="F16" i="13"/>
  <c r="G16" i="13"/>
  <c r="G45" i="13"/>
  <c r="G53" i="13" s="1"/>
  <c r="F45" i="13"/>
  <c r="F49" i="13" s="1"/>
  <c r="F53" i="13"/>
  <c r="G49" i="13"/>
  <c r="F31" i="13"/>
  <c r="D50" i="13" s="1"/>
  <c r="D100" i="13"/>
  <c r="D101" i="13"/>
  <c r="D102" i="13"/>
  <c r="D103" i="13"/>
  <c r="D104" i="13"/>
  <c r="D108" i="13"/>
  <c r="D109" i="13"/>
  <c r="D110" i="13"/>
  <c r="D111" i="13"/>
  <c r="D112" i="13"/>
  <c r="D116" i="13"/>
  <c r="D117" i="13"/>
  <c r="D118" i="13"/>
  <c r="D119" i="13"/>
  <c r="D120" i="13"/>
  <c r="D124" i="13"/>
  <c r="D125" i="13"/>
  <c r="D126" i="13"/>
  <c r="D127" i="13"/>
  <c r="D128" i="13"/>
  <c r="F104" i="13"/>
  <c r="G104" i="13"/>
  <c r="G103" i="13"/>
  <c r="G100" i="13"/>
  <c r="F100" i="13"/>
  <c r="F99" i="13"/>
  <c r="G96" i="13"/>
  <c r="F96" i="13"/>
  <c r="D97" i="13" s="1"/>
  <c r="D72" i="13"/>
  <c r="D73" i="13"/>
  <c r="D74" i="13"/>
  <c r="D80" i="13"/>
  <c r="D81" i="13"/>
  <c r="D82" i="13"/>
  <c r="D88" i="13"/>
  <c r="D89" i="13"/>
  <c r="D90" i="13"/>
  <c r="F69" i="13"/>
  <c r="D76" i="13" s="1"/>
  <c r="G69" i="13"/>
  <c r="D78" i="13" s="1"/>
  <c r="G73" i="13"/>
  <c r="F77" i="13"/>
  <c r="G77" i="13"/>
  <c r="G35" i="13"/>
  <c r="F39" i="13"/>
  <c r="G39" i="13"/>
  <c r="G31" i="13"/>
  <c r="F12" i="13"/>
  <c r="G8" i="13"/>
  <c r="G12" i="13"/>
  <c r="D8" i="13"/>
  <c r="D9" i="13"/>
  <c r="D10" i="13"/>
  <c r="D11" i="13"/>
  <c r="D16" i="13"/>
  <c r="D17" i="13"/>
  <c r="D18" i="13"/>
  <c r="D19" i="13"/>
  <c r="D24" i="13"/>
  <c r="D25" i="13"/>
  <c r="D26" i="13"/>
  <c r="D27" i="13"/>
  <c r="F4" i="13"/>
  <c r="D4" i="13" s="1"/>
  <c r="G4" i="13"/>
  <c r="G11" i="13" s="1"/>
  <c r="AB62" i="16" l="1"/>
  <c r="AB22" i="16"/>
  <c r="AK42" i="16"/>
  <c r="AB23" i="16"/>
  <c r="AK60" i="16"/>
  <c r="AB24" i="16"/>
  <c r="AE49" i="16"/>
  <c r="AB9" i="16"/>
  <c r="AB10" i="16"/>
  <c r="AE10" i="16"/>
  <c r="AB11" i="16"/>
  <c r="AE11" i="16"/>
  <c r="AB21" i="16"/>
  <c r="AB50" i="16"/>
  <c r="AK61" i="16"/>
  <c r="AK25" i="16"/>
  <c r="AB20" i="16"/>
  <c r="AM59" i="16"/>
  <c r="AE62" i="16"/>
  <c r="AN63" i="16"/>
  <c r="AB63" i="16"/>
  <c r="AB64" i="16"/>
  <c r="AB25" i="16"/>
  <c r="AB42" i="16"/>
  <c r="AB65" i="16"/>
  <c r="AB3" i="16"/>
  <c r="AB26" i="16"/>
  <c r="AK26" i="16"/>
  <c r="AB49" i="16"/>
  <c r="AB8" i="16"/>
  <c r="AN11" i="16"/>
  <c r="AK10" i="16"/>
  <c r="AB54" i="16"/>
  <c r="AB45" i="16"/>
  <c r="AB55" i="16"/>
  <c r="AK49" i="16"/>
  <c r="AK71" i="16"/>
  <c r="AK21" i="16"/>
  <c r="AB56" i="16"/>
  <c r="AN49" i="16"/>
  <c r="AK22" i="16"/>
  <c r="AK70" i="16"/>
  <c r="AD45" i="16"/>
  <c r="AK72" i="16"/>
  <c r="AB46" i="16"/>
  <c r="AB57" i="16"/>
  <c r="AK50" i="16"/>
  <c r="AK73" i="16"/>
  <c r="AK23" i="16"/>
  <c r="AK8" i="16"/>
  <c r="AK9" i="16"/>
  <c r="AN10" i="16"/>
  <c r="AK11" i="16"/>
  <c r="AD46" i="16"/>
  <c r="AB58" i="16"/>
  <c r="AK74" i="16"/>
  <c r="AK24" i="16"/>
  <c r="AB53" i="16"/>
  <c r="AB43" i="16"/>
  <c r="AB44" i="16"/>
  <c r="AB47" i="16"/>
  <c r="AB59" i="16"/>
  <c r="AK3" i="16"/>
  <c r="AB48" i="16"/>
  <c r="AB61" i="16"/>
  <c r="AK36" i="16"/>
  <c r="AK27" i="16"/>
  <c r="AK28" i="16"/>
  <c r="AK51" i="16"/>
  <c r="AK63" i="16"/>
  <c r="AK43" i="16"/>
  <c r="AK53" i="16"/>
  <c r="AB12" i="16"/>
  <c r="AK12" i="16"/>
  <c r="AK44" i="16"/>
  <c r="AK64" i="16"/>
  <c r="AK29" i="16"/>
  <c r="AB4" i="16"/>
  <c r="AB14" i="16"/>
  <c r="AK4" i="16"/>
  <c r="AK30" i="16"/>
  <c r="AM45" i="16"/>
  <c r="AK56" i="16"/>
  <c r="AB5" i="16"/>
  <c r="AB15" i="16"/>
  <c r="AK5" i="16"/>
  <c r="AK15" i="16"/>
  <c r="AK31" i="16"/>
  <c r="AB60" i="16"/>
  <c r="AK46" i="16"/>
  <c r="AK65" i="16"/>
  <c r="AB6" i="16"/>
  <c r="AB16" i="16"/>
  <c r="AK6" i="16"/>
  <c r="AK16" i="16"/>
  <c r="AK32" i="16"/>
  <c r="AK66" i="16"/>
  <c r="AD6" i="16"/>
  <c r="AB17" i="16"/>
  <c r="AM6" i="16"/>
  <c r="AK17" i="16"/>
  <c r="AK33" i="16"/>
  <c r="AB51" i="16"/>
  <c r="AK57" i="16"/>
  <c r="AK67" i="16"/>
  <c r="AB7" i="16"/>
  <c r="AB18" i="16"/>
  <c r="AK7" i="16"/>
  <c r="AK18" i="16"/>
  <c r="AK34" i="16"/>
  <c r="AK62" i="16"/>
  <c r="AK75" i="16"/>
  <c r="AD57" i="16"/>
  <c r="AK52" i="16"/>
  <c r="AK54" i="16"/>
  <c r="AB13" i="16"/>
  <c r="AK13" i="16"/>
  <c r="AK45" i="16"/>
  <c r="AK55" i="16"/>
  <c r="AK14" i="16"/>
  <c r="AM46" i="16"/>
  <c r="AB52" i="16"/>
  <c r="AK47" i="16"/>
  <c r="AK58" i="16"/>
  <c r="AK68" i="16"/>
  <c r="AD7" i="16"/>
  <c r="AB19" i="16"/>
  <c r="AM7" i="16"/>
  <c r="AK19" i="16"/>
  <c r="AK35" i="16"/>
  <c r="AK48" i="16"/>
  <c r="AK59" i="16"/>
  <c r="AK20" i="16"/>
  <c r="K6" i="14"/>
  <c r="P6" i="14" s="1"/>
  <c r="L6" i="14"/>
  <c r="Q6" i="14" s="1"/>
  <c r="K8" i="14"/>
  <c r="P8" i="14" s="1"/>
  <c r="I12" i="14"/>
  <c r="N12" i="14" s="1"/>
  <c r="J6" i="14"/>
  <c r="O6" i="14" s="1"/>
  <c r="K12" i="14"/>
  <c r="P12" i="14" s="1"/>
  <c r="L12" i="14"/>
  <c r="Q12" i="14" s="1"/>
  <c r="J12" i="14"/>
  <c r="O12" i="14" s="1"/>
  <c r="K14" i="14"/>
  <c r="P14" i="14" s="1"/>
  <c r="J24" i="14"/>
  <c r="O24" i="14" s="1"/>
  <c r="K24" i="14"/>
  <c r="P24" i="14" s="1"/>
  <c r="L19" i="14"/>
  <c r="Q19" i="14" s="1"/>
  <c r="I14" i="14"/>
  <c r="N14" i="14" s="1"/>
  <c r="J14" i="14"/>
  <c r="O14" i="14" s="1"/>
  <c r="K17" i="14"/>
  <c r="P17" i="14" s="1"/>
  <c r="L22" i="14"/>
  <c r="Q22" i="14" s="1"/>
  <c r="I24" i="14"/>
  <c r="N24" i="14" s="1"/>
  <c r="I8" i="14"/>
  <c r="N8" i="14" s="1"/>
  <c r="K19" i="14"/>
  <c r="P19" i="14" s="1"/>
  <c r="I22" i="14"/>
  <c r="N22" i="14" s="1"/>
  <c r="J22" i="14"/>
  <c r="O22" i="14" s="1"/>
  <c r="K22" i="14"/>
  <c r="P22" i="14" s="1"/>
  <c r="I6" i="14"/>
  <c r="N6" i="14" s="1"/>
  <c r="R6" i="14" s="1"/>
  <c r="S6" i="14" s="1"/>
  <c r="L14" i="14"/>
  <c r="Q14" i="14" s="1"/>
  <c r="I16" i="14"/>
  <c r="N16" i="14" s="1"/>
  <c r="J16" i="14"/>
  <c r="O16" i="14" s="1"/>
  <c r="K16" i="14"/>
  <c r="P16" i="14" s="1"/>
  <c r="L16" i="14"/>
  <c r="Q16" i="14" s="1"/>
  <c r="L25" i="14"/>
  <c r="Q25" i="14" s="1"/>
  <c r="L24" i="14"/>
  <c r="Q24" i="14" s="1"/>
  <c r="J25" i="14"/>
  <c r="O25" i="14" s="1"/>
  <c r="L8" i="14"/>
  <c r="Q8" i="14" s="1"/>
  <c r="J27" i="14"/>
  <c r="O27" i="14" s="1"/>
  <c r="K10" i="14"/>
  <c r="P10" i="14" s="1"/>
  <c r="K9" i="14"/>
  <c r="P9" i="14" s="1"/>
  <c r="I19" i="14"/>
  <c r="N19" i="14" s="1"/>
  <c r="K27" i="14"/>
  <c r="P27" i="14" s="1"/>
  <c r="I27" i="14"/>
  <c r="N27" i="14" s="1"/>
  <c r="L28" i="14"/>
  <c r="Q28" i="14" s="1"/>
  <c r="L9" i="14"/>
  <c r="Q9" i="14" s="1"/>
  <c r="J19" i="14"/>
  <c r="O19" i="14" s="1"/>
  <c r="L27" i="14"/>
  <c r="Q27" i="14" s="1"/>
  <c r="J10" i="14"/>
  <c r="O10" i="14" s="1"/>
  <c r="L13" i="14"/>
  <c r="Q13" i="14" s="1"/>
  <c r="J18" i="14"/>
  <c r="O18" i="14" s="1"/>
  <c r="L21" i="14"/>
  <c r="Q21" i="14" s="1"/>
  <c r="J26" i="14"/>
  <c r="O26" i="14" s="1"/>
  <c r="L29" i="14"/>
  <c r="Q29" i="14" s="1"/>
  <c r="J21" i="14"/>
  <c r="O21" i="14" s="1"/>
  <c r="K18" i="14"/>
  <c r="P18" i="14" s="1"/>
  <c r="K26" i="14"/>
  <c r="P26" i="14" s="1"/>
  <c r="K7" i="14"/>
  <c r="P7" i="14" s="1"/>
  <c r="I11" i="14"/>
  <c r="N11" i="14" s="1"/>
  <c r="K15" i="14"/>
  <c r="P15" i="14" s="1"/>
  <c r="K23" i="14"/>
  <c r="P23" i="14" s="1"/>
  <c r="I28" i="14"/>
  <c r="N28" i="14" s="1"/>
  <c r="L18" i="14"/>
  <c r="Q18" i="14" s="1"/>
  <c r="I20" i="14"/>
  <c r="N20" i="14" s="1"/>
  <c r="L7" i="14"/>
  <c r="Q7" i="14" s="1"/>
  <c r="J11" i="14"/>
  <c r="O11" i="14" s="1"/>
  <c r="L15" i="14"/>
  <c r="Q15" i="14" s="1"/>
  <c r="J20" i="14"/>
  <c r="O20" i="14" s="1"/>
  <c r="L23" i="14"/>
  <c r="Q23" i="14" s="1"/>
  <c r="J28" i="14"/>
  <c r="O28" i="14" s="1"/>
  <c r="I13" i="14"/>
  <c r="N13" i="14" s="1"/>
  <c r="I21" i="14"/>
  <c r="N21" i="14" s="1"/>
  <c r="I29" i="14"/>
  <c r="N29" i="14" s="1"/>
  <c r="J13" i="14"/>
  <c r="O13" i="14" s="1"/>
  <c r="I26" i="14"/>
  <c r="N26" i="14" s="1"/>
  <c r="I7" i="14"/>
  <c r="N7" i="14" s="1"/>
  <c r="L10" i="14"/>
  <c r="Q10" i="14" s="1"/>
  <c r="J15" i="14"/>
  <c r="O15" i="14" s="1"/>
  <c r="J23" i="14"/>
  <c r="O23" i="14" s="1"/>
  <c r="I9" i="14"/>
  <c r="N9" i="14" s="1"/>
  <c r="K11" i="14"/>
  <c r="P11" i="14" s="1"/>
  <c r="I17" i="14"/>
  <c r="N17" i="14" s="1"/>
  <c r="K20" i="14"/>
  <c r="P20" i="14" s="1"/>
  <c r="I25" i="14"/>
  <c r="N25" i="14" s="1"/>
  <c r="K28" i="14"/>
  <c r="P28" i="14" s="1"/>
  <c r="J29" i="14"/>
  <c r="O29" i="14" s="1"/>
  <c r="I10" i="14"/>
  <c r="N10" i="14" s="1"/>
  <c r="K13" i="14"/>
  <c r="P13" i="14" s="1"/>
  <c r="I18" i="14"/>
  <c r="N18" i="14" s="1"/>
  <c r="K21" i="14"/>
  <c r="P21" i="14" s="1"/>
  <c r="K29" i="14"/>
  <c r="P29" i="14" s="1"/>
  <c r="I15" i="14"/>
  <c r="N15" i="14" s="1"/>
  <c r="J7" i="14"/>
  <c r="O7" i="14" s="1"/>
  <c r="L26" i="14"/>
  <c r="Q26" i="14" s="1"/>
  <c r="J9" i="14"/>
  <c r="O9" i="14" s="1"/>
  <c r="L11" i="14"/>
  <c r="Q11" i="14" s="1"/>
  <c r="J17" i="14"/>
  <c r="O17" i="14" s="1"/>
  <c r="L20" i="14"/>
  <c r="Q20" i="14" s="1"/>
  <c r="G52" i="13"/>
  <c r="F48" i="13"/>
  <c r="D44" i="13"/>
  <c r="D43" i="13"/>
  <c r="D42" i="13"/>
  <c r="D36" i="13"/>
  <c r="D58" i="13"/>
  <c r="D33" i="13"/>
  <c r="D52" i="13"/>
  <c r="D38" i="13"/>
  <c r="D51" i="13"/>
  <c r="D60" i="13"/>
  <c r="D59" i="13"/>
  <c r="D35" i="13"/>
  <c r="D34" i="13"/>
  <c r="D20" i="13"/>
  <c r="D12" i="13"/>
  <c r="G38" i="13"/>
  <c r="D61" i="13"/>
  <c r="D53" i="13"/>
  <c r="D45" i="13"/>
  <c r="D37" i="13"/>
  <c r="G76" i="13"/>
  <c r="D91" i="13"/>
  <c r="D83" i="13"/>
  <c r="D75" i="13"/>
  <c r="D31" i="13"/>
  <c r="D57" i="13"/>
  <c r="D49" i="13"/>
  <c r="D41" i="13"/>
  <c r="D87" i="13"/>
  <c r="D79" i="13"/>
  <c r="D71" i="13"/>
  <c r="D123" i="13"/>
  <c r="D115" i="13"/>
  <c r="D107" i="13"/>
  <c r="D99" i="13"/>
  <c r="F8" i="13"/>
  <c r="D15" i="13"/>
  <c r="D64" i="13"/>
  <c r="D56" i="13"/>
  <c r="D48" i="13"/>
  <c r="D40" i="13"/>
  <c r="D32" i="13"/>
  <c r="D86" i="13"/>
  <c r="D70" i="13"/>
  <c r="D22" i="13"/>
  <c r="D14" i="13"/>
  <c r="D6" i="13"/>
  <c r="F34" i="13"/>
  <c r="D63" i="13"/>
  <c r="D55" i="13"/>
  <c r="D47" i="13"/>
  <c r="D39" i="13"/>
  <c r="F72" i="13"/>
  <c r="D69" i="13"/>
  <c r="D85" i="13"/>
  <c r="D77" i="13"/>
  <c r="D96" i="13"/>
  <c r="D122" i="13"/>
  <c r="D114" i="13"/>
  <c r="D106" i="13"/>
  <c r="D98" i="13"/>
  <c r="D23" i="13"/>
  <c r="D7" i="13"/>
  <c r="D21" i="13"/>
  <c r="D13" i="13"/>
  <c r="D5" i="13"/>
  <c r="F35" i="13"/>
  <c r="D62" i="13"/>
  <c r="D54" i="13"/>
  <c r="D46" i="13"/>
  <c r="F73" i="13"/>
  <c r="D92" i="13"/>
  <c r="D84" i="13"/>
  <c r="D129" i="13"/>
  <c r="D121" i="13"/>
  <c r="D113" i="13"/>
  <c r="D105" i="13"/>
  <c r="R12" i="14" l="1"/>
  <c r="S12" i="14" s="1"/>
  <c r="R17" i="14"/>
  <c r="S17" i="14" s="1"/>
  <c r="R19" i="14"/>
  <c r="S19" i="14" s="1"/>
  <c r="R25" i="14"/>
  <c r="S25" i="14" s="1"/>
  <c r="R24" i="14"/>
  <c r="S24" i="14" s="1"/>
  <c r="R8" i="14"/>
  <c r="S8" i="14" s="1"/>
  <c r="R9" i="14"/>
  <c r="S9" i="14" s="1"/>
  <c r="R14" i="14"/>
  <c r="S14" i="14" s="1"/>
  <c r="R7" i="14"/>
  <c r="S7" i="14" s="1"/>
  <c r="R23" i="14"/>
  <c r="S23" i="14" s="1"/>
  <c r="R18" i="14"/>
  <c r="S18" i="14" s="1"/>
  <c r="R28" i="14"/>
  <c r="S28" i="14" s="1"/>
  <c r="R27" i="14"/>
  <c r="S27" i="14" s="1"/>
  <c r="R22" i="14"/>
  <c r="S22" i="14" s="1"/>
  <c r="R16" i="14"/>
  <c r="S16" i="14" s="1"/>
  <c r="R11" i="14"/>
  <c r="S11" i="14" s="1"/>
  <c r="R15" i="14"/>
  <c r="S15" i="14" s="1"/>
  <c r="R10" i="14"/>
  <c r="S10" i="14" s="1"/>
  <c r="R26" i="14"/>
  <c r="S26" i="14" s="1"/>
  <c r="R29" i="14"/>
  <c r="S29" i="14" s="1"/>
  <c r="R21" i="14"/>
  <c r="S21" i="14" s="1"/>
  <c r="R13" i="14"/>
  <c r="S13" i="14" s="1"/>
  <c r="R20" i="14"/>
  <c r="S20" i="14" s="1"/>
  <c r="R34" i="4"/>
  <c r="R6" i="12"/>
  <c r="S6" i="12"/>
  <c r="T6" i="12"/>
  <c r="U6" i="12"/>
  <c r="V6" i="12"/>
  <c r="W6" i="12"/>
  <c r="X6" i="12"/>
  <c r="R7" i="12"/>
  <c r="S7" i="12"/>
  <c r="T7" i="12"/>
  <c r="U7" i="12"/>
  <c r="V7" i="12"/>
  <c r="W7" i="12"/>
  <c r="X7" i="12"/>
  <c r="R8" i="12"/>
  <c r="S8" i="12"/>
  <c r="T8" i="12"/>
  <c r="U8" i="12"/>
  <c r="V8" i="12"/>
  <c r="W8" i="12"/>
  <c r="X8" i="12"/>
  <c r="R9" i="12"/>
  <c r="S9" i="12"/>
  <c r="T9" i="12"/>
  <c r="U9" i="12"/>
  <c r="V9" i="12"/>
  <c r="W9" i="12"/>
  <c r="X9" i="12"/>
  <c r="R10" i="12"/>
  <c r="S10" i="12"/>
  <c r="T10" i="12"/>
  <c r="U10" i="12"/>
  <c r="V10" i="12"/>
  <c r="W10" i="12"/>
  <c r="X10" i="12"/>
  <c r="R11" i="12"/>
  <c r="S11" i="12"/>
  <c r="T11" i="12"/>
  <c r="U11" i="12"/>
  <c r="V11" i="12"/>
  <c r="W11" i="12"/>
  <c r="X11" i="12"/>
  <c r="R12" i="12"/>
  <c r="S12" i="12"/>
  <c r="T12" i="12"/>
  <c r="U12" i="12"/>
  <c r="V12" i="12"/>
  <c r="W12" i="12"/>
  <c r="X12" i="12"/>
  <c r="R13" i="12"/>
  <c r="S13" i="12"/>
  <c r="T13" i="12"/>
  <c r="U13" i="12"/>
  <c r="V13" i="12"/>
  <c r="W13" i="12"/>
  <c r="X13" i="12"/>
  <c r="R14" i="12"/>
  <c r="S14" i="12"/>
  <c r="T14" i="12"/>
  <c r="U14" i="12"/>
  <c r="V14" i="12"/>
  <c r="W14" i="12"/>
  <c r="X14" i="12"/>
  <c r="R15" i="12"/>
  <c r="S15" i="12"/>
  <c r="T15" i="12"/>
  <c r="U15" i="12"/>
  <c r="V15" i="12"/>
  <c r="W15" i="12"/>
  <c r="X15" i="12"/>
  <c r="R16" i="12"/>
  <c r="S16" i="12"/>
  <c r="T16" i="12"/>
  <c r="U16" i="12"/>
  <c r="V16" i="12"/>
  <c r="W16" i="12"/>
  <c r="X16" i="12"/>
  <c r="R17" i="12"/>
  <c r="S17" i="12"/>
  <c r="T17" i="12"/>
  <c r="U17" i="12"/>
  <c r="V17" i="12"/>
  <c r="W17" i="12"/>
  <c r="X17" i="12"/>
  <c r="R18" i="12"/>
  <c r="S18" i="12"/>
  <c r="T18" i="12"/>
  <c r="U18" i="12"/>
  <c r="V18" i="12"/>
  <c r="W18" i="12"/>
  <c r="X18" i="12"/>
  <c r="R19" i="12"/>
  <c r="S19" i="12"/>
  <c r="T19" i="12"/>
  <c r="U19" i="12"/>
  <c r="V19" i="12"/>
  <c r="W19" i="12"/>
  <c r="X19" i="12"/>
  <c r="R20" i="12"/>
  <c r="S20" i="12"/>
  <c r="T20" i="12"/>
  <c r="U20" i="12"/>
  <c r="V20" i="12"/>
  <c r="W20" i="12"/>
  <c r="X20" i="12"/>
  <c r="R21" i="12"/>
  <c r="S21" i="12"/>
  <c r="T21" i="12"/>
  <c r="U21" i="12"/>
  <c r="V21" i="12"/>
  <c r="W21" i="12"/>
  <c r="X21" i="12"/>
  <c r="R22" i="12"/>
  <c r="S22" i="12"/>
  <c r="T22" i="12"/>
  <c r="U22" i="12"/>
  <c r="V22" i="12"/>
  <c r="W22" i="12"/>
  <c r="X22" i="12"/>
  <c r="R23" i="12"/>
  <c r="S23" i="12"/>
  <c r="T23" i="12"/>
  <c r="U23" i="12"/>
  <c r="V23" i="12"/>
  <c r="W23" i="12"/>
  <c r="X23" i="12"/>
  <c r="R24" i="12"/>
  <c r="S24" i="12"/>
  <c r="T24" i="12"/>
  <c r="U24" i="12"/>
  <c r="V24" i="12"/>
  <c r="W24" i="12"/>
  <c r="X24" i="12"/>
  <c r="R25" i="12"/>
  <c r="S25" i="12"/>
  <c r="T25" i="12"/>
  <c r="U25" i="12"/>
  <c r="V25" i="12"/>
  <c r="W25" i="12"/>
  <c r="X25" i="12"/>
  <c r="R26" i="12"/>
  <c r="S26" i="12"/>
  <c r="T26" i="12"/>
  <c r="U26" i="12"/>
  <c r="V26" i="12"/>
  <c r="W26" i="12"/>
  <c r="X26" i="12"/>
  <c r="R27" i="12"/>
  <c r="S27" i="12"/>
  <c r="T27" i="12"/>
  <c r="U27" i="12"/>
  <c r="V27" i="12"/>
  <c r="W27" i="12"/>
  <c r="X27" i="12"/>
  <c r="R28" i="12"/>
  <c r="S28" i="12"/>
  <c r="T28" i="12"/>
  <c r="U28" i="12"/>
  <c r="V28" i="12"/>
  <c r="W28" i="12"/>
  <c r="X28" i="12"/>
  <c r="X5" i="12"/>
  <c r="W5" i="12"/>
  <c r="V5" i="12"/>
  <c r="U5" i="12"/>
  <c r="T5" i="12"/>
  <c r="S5" i="12"/>
  <c r="R5" i="12"/>
  <c r="K6" i="12"/>
  <c r="L6" i="12"/>
  <c r="M6" i="12"/>
  <c r="N6" i="12"/>
  <c r="O6" i="12"/>
  <c r="P6" i="12"/>
  <c r="Q6" i="12"/>
  <c r="K7" i="12"/>
  <c r="L7" i="12"/>
  <c r="M7" i="12"/>
  <c r="N7" i="12"/>
  <c r="O7" i="12"/>
  <c r="P7" i="12"/>
  <c r="Q7" i="12"/>
  <c r="K8" i="12"/>
  <c r="L8" i="12"/>
  <c r="M8" i="12"/>
  <c r="N8" i="12"/>
  <c r="O8" i="12"/>
  <c r="P8" i="12"/>
  <c r="Q8" i="12"/>
  <c r="K9" i="12"/>
  <c r="L9" i="12"/>
  <c r="M9" i="12"/>
  <c r="N9" i="12"/>
  <c r="O9" i="12"/>
  <c r="P9" i="12"/>
  <c r="Q9" i="12"/>
  <c r="K10" i="12"/>
  <c r="L10" i="12"/>
  <c r="M10" i="12"/>
  <c r="N10" i="12"/>
  <c r="O10" i="12"/>
  <c r="P10" i="12"/>
  <c r="Q10" i="12"/>
  <c r="K11" i="12"/>
  <c r="L11" i="12"/>
  <c r="M11" i="12"/>
  <c r="N11" i="12"/>
  <c r="O11" i="12"/>
  <c r="P11" i="12"/>
  <c r="Q11" i="12"/>
  <c r="K12" i="12"/>
  <c r="L12" i="12"/>
  <c r="M12" i="12"/>
  <c r="N12" i="12"/>
  <c r="O12" i="12"/>
  <c r="P12" i="12"/>
  <c r="Q12" i="12"/>
  <c r="K13" i="12"/>
  <c r="L13" i="12"/>
  <c r="M13" i="12"/>
  <c r="N13" i="12"/>
  <c r="O13" i="12"/>
  <c r="P13" i="12"/>
  <c r="Q13" i="12"/>
  <c r="K14" i="12"/>
  <c r="L14" i="12"/>
  <c r="M14" i="12"/>
  <c r="N14" i="12"/>
  <c r="O14" i="12"/>
  <c r="P14" i="12"/>
  <c r="Q14" i="12"/>
  <c r="K15" i="12"/>
  <c r="L15" i="12"/>
  <c r="M15" i="12"/>
  <c r="N15" i="12"/>
  <c r="O15" i="12"/>
  <c r="P15" i="12"/>
  <c r="Q15" i="12"/>
  <c r="K16" i="12"/>
  <c r="L16" i="12"/>
  <c r="M16" i="12"/>
  <c r="N16" i="12"/>
  <c r="O16" i="12"/>
  <c r="P16" i="12"/>
  <c r="Q16" i="12"/>
  <c r="K17" i="12"/>
  <c r="L17" i="12"/>
  <c r="M17" i="12"/>
  <c r="N17" i="12"/>
  <c r="O17" i="12"/>
  <c r="P17" i="12"/>
  <c r="Q17" i="12"/>
  <c r="K18" i="12"/>
  <c r="L18" i="12"/>
  <c r="M18" i="12"/>
  <c r="N18" i="12"/>
  <c r="O18" i="12"/>
  <c r="P18" i="12"/>
  <c r="Q18" i="12"/>
  <c r="K19" i="12"/>
  <c r="L19" i="12"/>
  <c r="M19" i="12"/>
  <c r="N19" i="12"/>
  <c r="O19" i="12"/>
  <c r="P19" i="12"/>
  <c r="Q19" i="12"/>
  <c r="K20" i="12"/>
  <c r="L20" i="12"/>
  <c r="M20" i="12"/>
  <c r="N20" i="12"/>
  <c r="O20" i="12"/>
  <c r="P20" i="12"/>
  <c r="Q20" i="12"/>
  <c r="K21" i="12"/>
  <c r="L21" i="12"/>
  <c r="M21" i="12"/>
  <c r="N21" i="12"/>
  <c r="O21" i="12"/>
  <c r="P21" i="12"/>
  <c r="Q21" i="12"/>
  <c r="K22" i="12"/>
  <c r="L22" i="12"/>
  <c r="M22" i="12"/>
  <c r="N22" i="12"/>
  <c r="O22" i="12"/>
  <c r="P22" i="12"/>
  <c r="Q22" i="12"/>
  <c r="K23" i="12"/>
  <c r="L23" i="12"/>
  <c r="M23" i="12"/>
  <c r="N23" i="12"/>
  <c r="O23" i="12"/>
  <c r="P23" i="12"/>
  <c r="Q23" i="12"/>
  <c r="K24" i="12"/>
  <c r="L24" i="12"/>
  <c r="M24" i="12"/>
  <c r="N24" i="12"/>
  <c r="O24" i="12"/>
  <c r="P24" i="12"/>
  <c r="Q24" i="12"/>
  <c r="K25" i="12"/>
  <c r="L25" i="12"/>
  <c r="M25" i="12"/>
  <c r="N25" i="12"/>
  <c r="O25" i="12"/>
  <c r="P25" i="12"/>
  <c r="Q25" i="12"/>
  <c r="K26" i="12"/>
  <c r="L26" i="12"/>
  <c r="M26" i="12"/>
  <c r="N26" i="12"/>
  <c r="O26" i="12"/>
  <c r="P26" i="12"/>
  <c r="Q26" i="12"/>
  <c r="K27" i="12"/>
  <c r="L27" i="12"/>
  <c r="M27" i="12"/>
  <c r="N27" i="12"/>
  <c r="O27" i="12"/>
  <c r="P27" i="12"/>
  <c r="Q27" i="12"/>
  <c r="K28" i="12"/>
  <c r="L28" i="12"/>
  <c r="M28" i="12"/>
  <c r="N28" i="12"/>
  <c r="O28" i="12"/>
  <c r="P28" i="12"/>
  <c r="Q28" i="12"/>
  <c r="Q5" i="12"/>
  <c r="P5" i="12"/>
  <c r="O5" i="12"/>
  <c r="N5" i="12"/>
  <c r="M5" i="12"/>
  <c r="L5" i="12"/>
  <c r="K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5" i="12"/>
  <c r="D6" i="12"/>
  <c r="E6" i="12"/>
  <c r="F6" i="12"/>
  <c r="G6" i="12"/>
  <c r="H6" i="12"/>
  <c r="I6" i="12"/>
  <c r="J6" i="12"/>
  <c r="D7" i="12"/>
  <c r="E7" i="12"/>
  <c r="F7" i="12"/>
  <c r="G7" i="12"/>
  <c r="H7" i="12"/>
  <c r="I7" i="12"/>
  <c r="J7" i="12"/>
  <c r="D8" i="12"/>
  <c r="E8" i="12"/>
  <c r="F8" i="12"/>
  <c r="G8" i="12"/>
  <c r="H8" i="12"/>
  <c r="I8" i="12"/>
  <c r="J8" i="12"/>
  <c r="D9" i="12"/>
  <c r="E9" i="12"/>
  <c r="F9" i="12"/>
  <c r="G9" i="12"/>
  <c r="H9" i="12"/>
  <c r="I9" i="12"/>
  <c r="J9" i="12"/>
  <c r="D10" i="12"/>
  <c r="E10" i="12"/>
  <c r="F10" i="12"/>
  <c r="G10" i="12"/>
  <c r="H10" i="12"/>
  <c r="I10" i="12"/>
  <c r="J10" i="12"/>
  <c r="D11" i="12"/>
  <c r="E11" i="12"/>
  <c r="F11" i="12"/>
  <c r="G11" i="12"/>
  <c r="H11" i="12"/>
  <c r="I11" i="12"/>
  <c r="J11" i="12"/>
  <c r="D12" i="12"/>
  <c r="E12" i="12"/>
  <c r="F12" i="12"/>
  <c r="G12" i="12"/>
  <c r="H12" i="12"/>
  <c r="I12" i="12"/>
  <c r="J12" i="12"/>
  <c r="D13" i="12"/>
  <c r="E13" i="12"/>
  <c r="F13" i="12"/>
  <c r="G13" i="12"/>
  <c r="H13" i="12"/>
  <c r="I13" i="12"/>
  <c r="J13" i="12"/>
  <c r="D14" i="12"/>
  <c r="E14" i="12"/>
  <c r="F14" i="12"/>
  <c r="G14" i="12"/>
  <c r="H14" i="12"/>
  <c r="I14" i="12"/>
  <c r="J14" i="12"/>
  <c r="D15" i="12"/>
  <c r="E15" i="12"/>
  <c r="F15" i="12"/>
  <c r="G15" i="12"/>
  <c r="H15" i="12"/>
  <c r="I15" i="12"/>
  <c r="J15" i="12"/>
  <c r="D16" i="12"/>
  <c r="E16" i="12"/>
  <c r="F16" i="12"/>
  <c r="G16" i="12"/>
  <c r="H16" i="12"/>
  <c r="I16" i="12"/>
  <c r="J16" i="12"/>
  <c r="D17" i="12"/>
  <c r="E17" i="12"/>
  <c r="F17" i="12"/>
  <c r="G17" i="12"/>
  <c r="H17" i="12"/>
  <c r="I17" i="12"/>
  <c r="J17" i="12"/>
  <c r="D18" i="12"/>
  <c r="E18" i="12"/>
  <c r="F18" i="12"/>
  <c r="G18" i="12"/>
  <c r="H18" i="12"/>
  <c r="I18" i="12"/>
  <c r="J18" i="12"/>
  <c r="D19" i="12"/>
  <c r="E19" i="12"/>
  <c r="F19" i="12"/>
  <c r="G19" i="12"/>
  <c r="H19" i="12"/>
  <c r="I19" i="12"/>
  <c r="J19" i="12"/>
  <c r="D20" i="12"/>
  <c r="E20" i="12"/>
  <c r="F20" i="12"/>
  <c r="G20" i="12"/>
  <c r="H20" i="12"/>
  <c r="I20" i="12"/>
  <c r="J20" i="12"/>
  <c r="D21" i="12"/>
  <c r="E21" i="12"/>
  <c r="F21" i="12"/>
  <c r="G21" i="12"/>
  <c r="H21" i="12"/>
  <c r="I21" i="12"/>
  <c r="J21" i="12"/>
  <c r="D22" i="12"/>
  <c r="E22" i="12"/>
  <c r="F22" i="12"/>
  <c r="G22" i="12"/>
  <c r="H22" i="12"/>
  <c r="I22" i="12"/>
  <c r="J22" i="12"/>
  <c r="D23" i="12"/>
  <c r="E23" i="12"/>
  <c r="F23" i="12"/>
  <c r="G23" i="12"/>
  <c r="H23" i="12"/>
  <c r="I23" i="12"/>
  <c r="J23" i="12"/>
  <c r="D24" i="12"/>
  <c r="E24" i="12"/>
  <c r="F24" i="12"/>
  <c r="G24" i="12"/>
  <c r="H24" i="12"/>
  <c r="I24" i="12"/>
  <c r="J24" i="12"/>
  <c r="D25" i="12"/>
  <c r="E25" i="12"/>
  <c r="F25" i="12"/>
  <c r="G25" i="12"/>
  <c r="H25" i="12"/>
  <c r="I25" i="12"/>
  <c r="J25" i="12"/>
  <c r="D26" i="12"/>
  <c r="E26" i="12"/>
  <c r="F26" i="12"/>
  <c r="G26" i="12"/>
  <c r="H26" i="12"/>
  <c r="I26" i="12"/>
  <c r="J26" i="12"/>
  <c r="D27" i="12"/>
  <c r="E27" i="12"/>
  <c r="F27" i="12"/>
  <c r="G27" i="12"/>
  <c r="H27" i="12"/>
  <c r="I27" i="12"/>
  <c r="J27" i="12"/>
  <c r="D28" i="12"/>
  <c r="E28" i="12"/>
  <c r="F28" i="12"/>
  <c r="G28" i="12"/>
  <c r="H28" i="12"/>
  <c r="I28" i="12"/>
  <c r="J28" i="12"/>
  <c r="J5" i="12"/>
  <c r="I5" i="12"/>
  <c r="H5" i="12"/>
  <c r="G5" i="12"/>
  <c r="F5" i="12"/>
  <c r="E5" i="12"/>
  <c r="D5" i="12"/>
  <c r="BN66" i="4"/>
  <c r="BK66" i="4"/>
  <c r="BH66" i="4"/>
  <c r="BN65" i="4"/>
  <c r="BK65" i="4"/>
  <c r="BH65" i="4"/>
  <c r="BN64" i="4"/>
  <c r="BK64" i="4"/>
  <c r="BH64" i="4"/>
  <c r="BN63" i="4"/>
  <c r="BK63" i="4"/>
  <c r="BH63" i="4"/>
  <c r="BN62" i="4"/>
  <c r="BK62" i="4"/>
  <c r="BH62" i="4"/>
  <c r="BN61" i="4"/>
  <c r="BK61" i="4"/>
  <c r="BH61" i="4"/>
  <c r="BN60" i="4"/>
  <c r="BK60" i="4"/>
  <c r="BH60" i="4"/>
  <c r="BN59" i="4"/>
  <c r="BK59" i="4"/>
  <c r="BH59" i="4"/>
  <c r="BN58" i="4"/>
  <c r="BK58" i="4"/>
  <c r="BH58" i="4"/>
  <c r="BN57" i="4"/>
  <c r="BK57" i="4"/>
  <c r="BH57" i="4"/>
  <c r="BN56" i="4"/>
  <c r="BK56" i="4"/>
  <c r="BH56" i="4"/>
  <c r="BN55" i="4"/>
  <c r="BK55" i="4"/>
  <c r="BH55" i="4"/>
  <c r="BN54" i="4"/>
  <c r="BK54" i="4"/>
  <c r="BH54" i="4"/>
  <c r="BN53" i="4"/>
  <c r="BK53" i="4"/>
  <c r="BH53" i="4"/>
  <c r="BN52" i="4"/>
  <c r="BK52" i="4"/>
  <c r="BH52" i="4"/>
  <c r="BN51" i="4"/>
  <c r="BK51" i="4"/>
  <c r="BH51" i="4"/>
  <c r="BN50" i="4"/>
  <c r="BK50" i="4"/>
  <c r="BH50" i="4"/>
  <c r="BN49" i="4"/>
  <c r="BK49" i="4"/>
  <c r="BH49" i="4"/>
  <c r="BN48" i="4"/>
  <c r="BK48" i="4"/>
  <c r="BH48" i="4"/>
  <c r="BN47" i="4"/>
  <c r="BK47" i="4"/>
  <c r="BH47" i="4"/>
  <c r="BN46" i="4"/>
  <c r="BK46" i="4"/>
  <c r="BH46" i="4"/>
  <c r="BN45" i="4"/>
  <c r="BK45" i="4"/>
  <c r="BH45" i="4"/>
  <c r="BN44" i="4"/>
  <c r="BK44" i="4"/>
  <c r="BH44" i="4"/>
  <c r="BN43" i="4"/>
  <c r="BK43" i="4"/>
  <c r="BH43" i="4"/>
  <c r="BN42" i="4"/>
  <c r="BK42" i="4"/>
  <c r="BH42" i="4"/>
  <c r="BN41" i="4"/>
  <c r="BK41" i="4"/>
  <c r="BH41" i="4"/>
  <c r="BN40" i="4"/>
  <c r="BK40" i="4"/>
  <c r="BH40" i="4"/>
  <c r="BN39" i="4"/>
  <c r="BK39" i="4"/>
  <c r="BH39" i="4"/>
  <c r="BN38" i="4"/>
  <c r="BK38" i="4"/>
  <c r="BH38" i="4"/>
  <c r="BN37" i="4"/>
  <c r="BK37" i="4"/>
  <c r="BH37" i="4"/>
  <c r="BN36" i="4"/>
  <c r="BK36" i="4"/>
  <c r="BH36" i="4"/>
  <c r="BN35" i="4"/>
  <c r="BK35" i="4"/>
  <c r="BH35" i="4"/>
  <c r="BN34" i="4"/>
  <c r="BK34" i="4"/>
  <c r="BN28" i="4"/>
  <c r="BK28" i="4"/>
  <c r="BH28" i="4"/>
  <c r="BN27" i="4"/>
  <c r="BK27" i="4"/>
  <c r="BH27" i="4"/>
  <c r="BN26" i="4"/>
  <c r="BK26" i="4"/>
  <c r="BH26" i="4"/>
  <c r="BN25" i="4"/>
  <c r="BK25" i="4"/>
  <c r="BH25" i="4"/>
  <c r="BN24" i="4"/>
  <c r="BK24" i="4"/>
  <c r="BH24" i="4"/>
  <c r="BN23" i="4"/>
  <c r="BK23" i="4"/>
  <c r="BH23" i="4"/>
  <c r="BN22" i="4"/>
  <c r="BK22" i="4"/>
  <c r="BH22" i="4"/>
  <c r="BN21" i="4"/>
  <c r="BK21" i="4"/>
  <c r="BH21" i="4"/>
  <c r="BN20" i="4"/>
  <c r="BK20" i="4"/>
  <c r="BH20" i="4"/>
  <c r="BN19" i="4"/>
  <c r="BK19" i="4"/>
  <c r="BH19" i="4"/>
  <c r="BN18" i="4"/>
  <c r="BK18" i="4"/>
  <c r="BH18" i="4"/>
  <c r="BN17" i="4"/>
  <c r="BK17" i="4"/>
  <c r="BH17" i="4"/>
  <c r="BN16" i="4"/>
  <c r="BK16" i="4"/>
  <c r="BH16" i="4"/>
  <c r="BN15" i="4"/>
  <c r="BK15" i="4"/>
  <c r="BH15" i="4"/>
  <c r="BN14" i="4"/>
  <c r="BK14" i="4"/>
  <c r="BH14" i="4"/>
  <c r="BN13" i="4"/>
  <c r="BK13" i="4"/>
  <c r="BH13" i="4"/>
  <c r="BN12" i="4"/>
  <c r="BK12" i="4"/>
  <c r="BH12" i="4"/>
  <c r="BN11" i="4"/>
  <c r="BK11" i="4"/>
  <c r="BH11" i="4"/>
  <c r="BN10" i="4"/>
  <c r="BK10" i="4"/>
  <c r="BH10" i="4"/>
  <c r="BN9" i="4"/>
  <c r="BK9" i="4"/>
  <c r="BH9" i="4"/>
  <c r="BN8" i="4"/>
  <c r="BK8" i="4"/>
  <c r="BH8" i="4"/>
  <c r="BN7" i="4"/>
  <c r="BK7" i="4"/>
  <c r="BH7" i="4"/>
  <c r="BN6" i="4"/>
  <c r="BK6" i="4"/>
  <c r="BH6" i="4"/>
  <c r="BN5" i="4"/>
  <c r="BK5" i="4"/>
  <c r="BH5" i="4"/>
  <c r="BB6" i="4"/>
  <c r="BB7" i="4"/>
  <c r="BB8" i="4"/>
  <c r="BB9" i="4"/>
  <c r="BB10" i="4"/>
  <c r="BB11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5" i="4"/>
  <c r="BE28" i="4"/>
  <c r="AY28" i="4"/>
  <c r="BE27" i="4"/>
  <c r="AY27" i="4"/>
  <c r="BE26" i="4"/>
  <c r="AY26" i="4"/>
  <c r="BE25" i="4"/>
  <c r="AY25" i="4"/>
  <c r="BE24" i="4"/>
  <c r="AY24" i="4"/>
  <c r="BE23" i="4"/>
  <c r="AY23" i="4"/>
  <c r="BE22" i="4"/>
  <c r="AY22" i="4"/>
  <c r="BE21" i="4"/>
  <c r="AY21" i="4"/>
  <c r="BE20" i="4"/>
  <c r="AY20" i="4"/>
  <c r="BE19" i="4"/>
  <c r="AY19" i="4"/>
  <c r="BE18" i="4"/>
  <c r="AY18" i="4"/>
  <c r="BE17" i="4"/>
  <c r="AY17" i="4"/>
  <c r="BE16" i="4"/>
  <c r="AY16" i="4"/>
  <c r="BE15" i="4"/>
  <c r="AY15" i="4"/>
  <c r="BE14" i="4"/>
  <c r="AY14" i="4"/>
  <c r="BE13" i="4"/>
  <c r="AY13" i="4"/>
  <c r="BE12" i="4"/>
  <c r="AY12" i="4"/>
  <c r="BE11" i="4"/>
  <c r="AY11" i="4"/>
  <c r="BE10" i="4"/>
  <c r="AY10" i="4"/>
  <c r="BE9" i="4"/>
  <c r="AY9" i="4"/>
  <c r="BE8" i="4"/>
  <c r="AY8" i="4"/>
  <c r="BE7" i="4"/>
  <c r="AY7" i="4"/>
  <c r="BE6" i="4"/>
  <c r="AY6" i="4"/>
  <c r="BE5" i="4"/>
  <c r="AY5" i="4"/>
  <c r="AS6" i="4"/>
  <c r="AS7" i="4"/>
  <c r="AS8" i="4"/>
  <c r="AS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5" i="4"/>
  <c r="AV28" i="4"/>
  <c r="AP28" i="4"/>
  <c r="AV27" i="4"/>
  <c r="AP27" i="4"/>
  <c r="AV26" i="4"/>
  <c r="AP26" i="4"/>
  <c r="AV25" i="4"/>
  <c r="AP25" i="4"/>
  <c r="AV24" i="4"/>
  <c r="AP24" i="4"/>
  <c r="AV23" i="4"/>
  <c r="AP23" i="4"/>
  <c r="AV22" i="4"/>
  <c r="AP22" i="4"/>
  <c r="AV21" i="4"/>
  <c r="AP21" i="4"/>
  <c r="AV20" i="4"/>
  <c r="AP20" i="4"/>
  <c r="AV19" i="4"/>
  <c r="AP19" i="4"/>
  <c r="AV18" i="4"/>
  <c r="AP18" i="4"/>
  <c r="AV17" i="4"/>
  <c r="AP17" i="4"/>
  <c r="AV16" i="4"/>
  <c r="AP16" i="4"/>
  <c r="AV15" i="4"/>
  <c r="AP15" i="4"/>
  <c r="AV14" i="4"/>
  <c r="AP14" i="4"/>
  <c r="AV13" i="4"/>
  <c r="AP13" i="4"/>
  <c r="AV12" i="4"/>
  <c r="AP12" i="4"/>
  <c r="AV11" i="4"/>
  <c r="AP11" i="4"/>
  <c r="AV10" i="4"/>
  <c r="AP10" i="4"/>
  <c r="AV9" i="4"/>
  <c r="AP9" i="4"/>
  <c r="AV8" i="4"/>
  <c r="AP8" i="4"/>
  <c r="AV7" i="4"/>
  <c r="AP7" i="4"/>
  <c r="AV6" i="4"/>
  <c r="AP6" i="4"/>
  <c r="AV5" i="4"/>
  <c r="AP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5" i="4"/>
  <c r="AG5" i="4"/>
  <c r="AM28" i="4"/>
  <c r="AG28" i="4"/>
  <c r="AM27" i="4"/>
  <c r="AG27" i="4"/>
  <c r="AM26" i="4"/>
  <c r="AG26" i="4"/>
  <c r="AM25" i="4"/>
  <c r="AG25" i="4"/>
  <c r="AM24" i="4"/>
  <c r="AG24" i="4"/>
  <c r="AM23" i="4"/>
  <c r="AG23" i="4"/>
  <c r="AM22" i="4"/>
  <c r="AG22" i="4"/>
  <c r="AM21" i="4"/>
  <c r="AG21" i="4"/>
  <c r="AM20" i="4"/>
  <c r="AG20" i="4"/>
  <c r="AM19" i="4"/>
  <c r="AG19" i="4"/>
  <c r="AM18" i="4"/>
  <c r="AG18" i="4"/>
  <c r="AM17" i="4"/>
  <c r="AG17" i="4"/>
  <c r="AM16" i="4"/>
  <c r="AG16" i="4"/>
  <c r="AM15" i="4"/>
  <c r="AG15" i="4"/>
  <c r="AM14" i="4"/>
  <c r="AG14" i="4"/>
  <c r="AM13" i="4"/>
  <c r="AG13" i="4"/>
  <c r="AM12" i="4"/>
  <c r="AG12" i="4"/>
  <c r="AM11" i="4"/>
  <c r="AG11" i="4"/>
  <c r="AM10" i="4"/>
  <c r="AG10" i="4"/>
  <c r="AM9" i="4"/>
  <c r="AG9" i="4"/>
  <c r="AM8" i="4"/>
  <c r="AG8" i="4"/>
  <c r="AM7" i="4"/>
  <c r="AG7" i="4"/>
  <c r="AM6" i="4"/>
  <c r="AG6" i="4"/>
  <c r="AM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5" i="4"/>
  <c r="AD28" i="4"/>
  <c r="X28" i="4"/>
  <c r="AD27" i="4"/>
  <c r="X27" i="4"/>
  <c r="AD26" i="4"/>
  <c r="X26" i="4"/>
  <c r="AD25" i="4"/>
  <c r="X25" i="4"/>
  <c r="AD24" i="4"/>
  <c r="X24" i="4"/>
  <c r="AD23" i="4"/>
  <c r="X23" i="4"/>
  <c r="AD22" i="4"/>
  <c r="X22" i="4"/>
  <c r="AD21" i="4"/>
  <c r="X21" i="4"/>
  <c r="AD20" i="4"/>
  <c r="X20" i="4"/>
  <c r="AD19" i="4"/>
  <c r="X19" i="4"/>
  <c r="AD18" i="4"/>
  <c r="X18" i="4"/>
  <c r="AD17" i="4"/>
  <c r="X17" i="4"/>
  <c r="AD16" i="4"/>
  <c r="X16" i="4"/>
  <c r="AD15" i="4"/>
  <c r="X15" i="4"/>
  <c r="AD14" i="4"/>
  <c r="X14" i="4"/>
  <c r="AD13" i="4"/>
  <c r="X13" i="4"/>
  <c r="AD12" i="4"/>
  <c r="X12" i="4"/>
  <c r="AD11" i="4"/>
  <c r="X11" i="4"/>
  <c r="AD10" i="4"/>
  <c r="X10" i="4"/>
  <c r="AD9" i="4"/>
  <c r="X9" i="4"/>
  <c r="AD8" i="4"/>
  <c r="X8" i="4"/>
  <c r="AD7" i="4"/>
  <c r="X7" i="4"/>
  <c r="AD6" i="4"/>
  <c r="X6" i="4"/>
  <c r="AD5" i="4"/>
  <c r="X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5" i="4"/>
  <c r="O5" i="4"/>
  <c r="U28" i="4"/>
  <c r="O28" i="4"/>
  <c r="U27" i="4"/>
  <c r="O27" i="4"/>
  <c r="U26" i="4"/>
  <c r="O26" i="4"/>
  <c r="U25" i="4"/>
  <c r="O25" i="4"/>
  <c r="U24" i="4"/>
  <c r="O24" i="4"/>
  <c r="U23" i="4"/>
  <c r="O23" i="4"/>
  <c r="U22" i="4"/>
  <c r="O22" i="4"/>
  <c r="U21" i="4"/>
  <c r="O21" i="4"/>
  <c r="U20" i="4"/>
  <c r="O20" i="4"/>
  <c r="U19" i="4"/>
  <c r="O19" i="4"/>
  <c r="U18" i="4"/>
  <c r="O18" i="4"/>
  <c r="U17" i="4"/>
  <c r="O17" i="4"/>
  <c r="U16" i="4"/>
  <c r="O16" i="4"/>
  <c r="U15" i="4"/>
  <c r="O15" i="4"/>
  <c r="U14" i="4"/>
  <c r="O14" i="4"/>
  <c r="U13" i="4"/>
  <c r="O13" i="4"/>
  <c r="U12" i="4"/>
  <c r="O12" i="4"/>
  <c r="U11" i="4"/>
  <c r="O11" i="4"/>
  <c r="U10" i="4"/>
  <c r="O10" i="4"/>
  <c r="U9" i="4"/>
  <c r="O9" i="4"/>
  <c r="U8" i="4"/>
  <c r="O8" i="4"/>
  <c r="U7" i="4"/>
  <c r="O7" i="4"/>
  <c r="U6" i="4"/>
  <c r="O6" i="4"/>
  <c r="U5" i="4"/>
  <c r="L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5" i="4"/>
  <c r="L28" i="4"/>
  <c r="F28" i="4"/>
  <c r="L27" i="4"/>
  <c r="F27" i="4"/>
  <c r="L26" i="4"/>
  <c r="F26" i="4"/>
  <c r="L25" i="4"/>
  <c r="F25" i="4"/>
  <c r="L24" i="4"/>
  <c r="F24" i="4"/>
  <c r="L23" i="4"/>
  <c r="F23" i="4"/>
  <c r="L22" i="4"/>
  <c r="F22" i="4"/>
  <c r="L21" i="4"/>
  <c r="F21" i="4"/>
  <c r="L20" i="4"/>
  <c r="F20" i="4"/>
  <c r="L19" i="4"/>
  <c r="F19" i="4"/>
  <c r="L18" i="4"/>
  <c r="F18" i="4"/>
  <c r="L17" i="4"/>
  <c r="F17" i="4"/>
  <c r="L16" i="4"/>
  <c r="F16" i="4"/>
  <c r="L15" i="4"/>
  <c r="F15" i="4"/>
  <c r="L14" i="4"/>
  <c r="F14" i="4"/>
  <c r="L13" i="4"/>
  <c r="F13" i="4"/>
  <c r="L12" i="4"/>
  <c r="F12" i="4"/>
  <c r="L11" i="4"/>
  <c r="F11" i="4"/>
  <c r="L10" i="4"/>
  <c r="F10" i="4"/>
  <c r="L9" i="4"/>
  <c r="F9" i="4"/>
  <c r="L8" i="4"/>
  <c r="F8" i="4"/>
  <c r="L7" i="4"/>
  <c r="F7" i="4"/>
  <c r="L6" i="4"/>
  <c r="F6" i="4"/>
  <c r="F5" i="4"/>
  <c r="O31" i="1"/>
  <c r="N31" i="1"/>
  <c r="K31" i="1"/>
  <c r="J31" i="1"/>
  <c r="U30" i="1"/>
  <c r="T30" i="1"/>
  <c r="O30" i="1"/>
  <c r="N30" i="1"/>
  <c r="U29" i="1"/>
  <c r="T29" i="1"/>
  <c r="O29" i="1"/>
  <c r="N29" i="1"/>
  <c r="Q26" i="1"/>
  <c r="U26" i="1" s="1"/>
  <c r="N26" i="1"/>
  <c r="Q25" i="1"/>
  <c r="U25" i="1" s="1"/>
  <c r="N25" i="1"/>
  <c r="Q24" i="1"/>
  <c r="U24" i="1" s="1"/>
  <c r="O24" i="1"/>
  <c r="N24" i="1"/>
  <c r="U23" i="1"/>
  <c r="T23" i="1"/>
  <c r="O23" i="1"/>
  <c r="N23" i="1"/>
  <c r="J22" i="1"/>
  <c r="O22" i="1" s="1"/>
  <c r="U21" i="1"/>
  <c r="T21" i="1"/>
  <c r="O21" i="1"/>
  <c r="N21" i="1"/>
  <c r="K21" i="1"/>
  <c r="J21" i="1"/>
  <c r="U20" i="1"/>
  <c r="T20" i="1"/>
  <c r="O20" i="1"/>
  <c r="N20" i="1"/>
  <c r="U19" i="1"/>
  <c r="T19" i="1"/>
  <c r="O19" i="1"/>
  <c r="N19" i="1"/>
  <c r="U18" i="1"/>
  <c r="T18" i="1"/>
  <c r="O18" i="1"/>
  <c r="N18" i="1"/>
  <c r="U17" i="1"/>
  <c r="T17" i="1"/>
  <c r="O17" i="1"/>
  <c r="N17" i="1"/>
  <c r="U16" i="1"/>
  <c r="T16" i="1"/>
  <c r="O16" i="1"/>
  <c r="N16" i="1"/>
  <c r="U15" i="1"/>
  <c r="T15" i="1"/>
  <c r="O15" i="1"/>
  <c r="N15" i="1"/>
  <c r="U14" i="1"/>
  <c r="T14" i="1"/>
  <c r="O14" i="1"/>
  <c r="N14" i="1"/>
  <c r="O13" i="1"/>
  <c r="N13" i="1"/>
  <c r="K13" i="1"/>
  <c r="J13" i="1"/>
  <c r="U12" i="1"/>
  <c r="T12" i="1"/>
  <c r="O12" i="1"/>
  <c r="N12" i="1"/>
  <c r="U11" i="1"/>
  <c r="T11" i="1"/>
  <c r="N11" i="1"/>
  <c r="U10" i="1"/>
  <c r="T10" i="1"/>
  <c r="N10" i="1"/>
  <c r="J10" i="1"/>
  <c r="U9" i="1"/>
  <c r="T9" i="1"/>
  <c r="O9" i="1"/>
  <c r="N9" i="1"/>
  <c r="J9" i="1"/>
  <c r="U4" i="1"/>
  <c r="T4" i="1"/>
  <c r="O4" i="1"/>
  <c r="K4" i="1"/>
  <c r="N4" i="1" s="1"/>
  <c r="J4" i="1"/>
  <c r="U3" i="1"/>
  <c r="T3" i="1"/>
  <c r="K3" i="1"/>
  <c r="N3" i="1" s="1"/>
  <c r="J3" i="1"/>
  <c r="AA34" i="4" l="1"/>
  <c r="N22" i="1"/>
  <c r="T25" i="1"/>
  <c r="T24" i="1"/>
  <c r="T26" i="1"/>
  <c r="U34" i="4" l="1"/>
  <c r="AD34" i="4" l="1"/>
  <c r="AG34" i="4" l="1"/>
  <c r="AJ34" i="4" l="1"/>
  <c r="AM34" i="4" l="1"/>
  <c r="AP34" i="4" l="1"/>
  <c r="AS34" i="4" l="1"/>
  <c r="AV34" i="4" l="1"/>
  <c r="AY34" i="4" l="1"/>
  <c r="I34" i="12" s="1"/>
  <c r="BB34" i="4" l="1"/>
  <c r="P34" i="12" s="1"/>
  <c r="BE34" i="4" l="1"/>
  <c r="W34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tc={6686f821-649f-4d4e-8618-ecd31a0ba46d}</author>
    <author/>
  </authors>
  <commentList>
    <comment ref="R2" authorId="0" shapeId="0" xr:uid="{6686F821-649F-4D4E-8618-ECD31A0BA46D}">
      <text>
        <t>[Threaded comment]
Your version of Excel allows you to read this threaded comment; however, any edits to it will get removed if the file is opened in a newer version of Excel. Learn more: https://go.microsoft.com/fwlink/?linkid=870924
Comment:
    Tujuan ekspor</t>
      </text>
    </comment>
    <comment ref="K3" authorId="1" shapeId="0" xr:uid="{00000000-0006-0000-0000-000007000000}">
      <text>
        <r>
          <rPr>
            <sz val="10"/>
            <color rgb="FF000000"/>
            <rFont val="Arial"/>
            <family val="2"/>
            <scheme val="minor"/>
          </rPr>
          <t>Upah Langsung + Gaji dan Tunjangan di Akrual + Gaji dan Tunjangan di Beban Penjualan + Gaji dan Tunjangan di Beban Umum dan Administrasi + Gaji Pegawai Kontrak di Akrual</t>
        </r>
      </text>
    </comment>
    <comment ref="J4" authorId="1" shapeId="0" xr:uid="{00000000-0006-0000-0000-000004000000}">
      <text>
        <r>
          <rPr>
            <sz val="10"/>
            <color rgb="FF000000"/>
            <rFont val="Arial"/>
            <family val="2"/>
            <scheme val="minor"/>
          </rPr>
          <t>Beban Pokok Pendapatan + Beban Penjualan + Beban Umum &amp; Administrasi</t>
        </r>
      </text>
    </comment>
    <comment ref="K4" authorId="1" shapeId="0" xr:uid="{00000000-0006-0000-0000-000006000000}">
      <text>
        <r>
          <rPr>
            <sz val="10"/>
            <color rgb="FF000000"/>
            <rFont val="Arial"/>
            <family val="2"/>
            <scheme val="minor"/>
          </rPr>
          <t>Biaya TK (dalam COGS) + Gaji dan upah karyawan (dalam G&amp;A)</t>
        </r>
      </text>
    </comment>
    <comment ref="J5" authorId="1" shapeId="0" xr:uid="{00000000-0006-0000-0000-000003000000}">
      <text>
        <r>
          <rPr>
            <sz val="10"/>
            <color rgb="FF000000"/>
            <rFont val="Arial"/>
            <family val="2"/>
            <scheme val="minor"/>
          </rPr>
          <t>Beban Pokok Pendapatan + Beban Penjualan + Beban Umum &amp; Administrasi</t>
        </r>
      </text>
    </comment>
    <comment ref="K5" authorId="1" shapeId="0" xr:uid="{00000000-0006-0000-0000-000005000000}">
      <text>
        <r>
          <rPr>
            <sz val="10"/>
            <color rgb="FF000000"/>
            <rFont val="Arial"/>
            <family val="2"/>
            <scheme val="minor"/>
          </rPr>
          <t>Biaya TK (dalam COGS) + Gaji dan upah karyawan (dalam G&amp;A)</t>
        </r>
      </text>
    </comment>
    <comment ref="J10" authorId="1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Beban Umum &amp; Administrasi + Beban Penjualan &amp; Pemasaran + Beban Pengembangan Produk + Beban Operasional &amp; Pendukung</t>
        </r>
      </text>
    </comment>
    <comment ref="K13" authorId="1" shapeId="0" xr:uid="{00000000-0006-0000-0000-000015000000}">
      <text>
        <r>
          <rPr>
            <sz val="10"/>
            <color rgb="FF000000"/>
            <rFont val="Arial"/>
            <family val="2"/>
            <scheme val="minor"/>
          </rPr>
          <t>Gaji, Upah dan Kesejahteraan Karyawan (Beban Pokok Pendapatan) + Gaji, Upah dan Kesejahteraan Karyawan (Beban Penjualan) + Gaji, Upah dan Kesejahteraan Karyawan (Beban Umum &amp; Administrasi)</t>
        </r>
      </text>
    </comment>
    <comment ref="L13" authorId="1" shapeId="0" xr:uid="{00000000-0006-0000-0000-000016000000}">
      <text>
        <r>
          <rPr>
            <sz val="10"/>
            <color rgb="FF000000"/>
            <rFont val="Arial"/>
            <family val="2"/>
            <scheme val="minor"/>
          </rPr>
          <t>Bahan Bakar &amp; Pelumas</t>
        </r>
      </text>
    </comment>
    <comment ref="Q13" authorId="1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Total Pendapatan</t>
        </r>
      </text>
    </comment>
    <comment ref="F24" authorId="1" shapeId="0" xr:uid="{00000000-0006-0000-0000-00000E000000}">
      <text>
        <r>
          <rPr>
            <sz val="10"/>
            <color rgb="FF000000"/>
            <rFont val="Arial"/>
            <family val="2"/>
            <scheme val="minor"/>
          </rPr>
          <t>Karyawan tetap &amp; kontrak: https://id.tradingview.com/symbols/IDX-ANTM/financials-statistics-and-ratios/</t>
        </r>
      </text>
    </comment>
    <comment ref="K24" authorId="1" shapeId="0" xr:uid="{00000000-0006-0000-0000-000013000000}">
      <text>
        <r>
          <rPr>
            <sz val="10"/>
            <color rgb="FF000000"/>
            <rFont val="Arial"/>
            <family val="2"/>
            <scheme val="minor"/>
          </rPr>
          <t>Akun: Gaji, upah, bonus dan kesejahteraan karyawan, Tenaga kerja tidak langsung, Beban imbalan kerja pascakerja</t>
        </r>
      </text>
    </comment>
    <comment ref="M24" authorId="1" shapeId="0" xr:uid="{00000000-0006-0000-0000-000014000000}">
      <text>
        <r>
          <rPr>
            <sz val="10"/>
            <color rgb="FF000000"/>
            <rFont val="Arial"/>
            <family val="2"/>
            <scheme val="minor"/>
          </rPr>
          <t>Pembelian logam mulia (proksi)</t>
        </r>
      </text>
    </comment>
    <comment ref="K25" authorId="1" shapeId="0" xr:uid="{00000000-0006-0000-0000-000011000000}">
      <text>
        <r>
          <rPr>
            <sz val="10"/>
            <color rgb="FF000000"/>
            <rFont val="Arial"/>
            <family val="2"/>
            <scheme val="minor"/>
          </rPr>
          <t>Pembayaran Biaya Karyawan</t>
        </r>
      </text>
    </comment>
    <comment ref="K26" authorId="1" shapeId="0" xr:uid="{00000000-0006-0000-0000-00000F000000}">
      <text>
        <r>
          <rPr>
            <sz val="10"/>
            <color rgb="FF000000"/>
            <rFont val="Arial"/>
            <family val="2"/>
            <scheme val="minor"/>
          </rPr>
          <t>Proxy dengan beban pemasaran, umum dan administrasi</t>
        </r>
      </text>
    </comment>
    <comment ref="J31" authorId="1" shapeId="0" xr:uid="{00000000-0006-0000-0000-000009000000}">
      <text>
        <r>
          <rPr>
            <sz val="10"/>
            <color rgb="FF000000"/>
            <rFont val="Arial"/>
            <family val="2"/>
            <scheme val="minor"/>
          </rPr>
          <t>Beban Jasa + Beban Usaha</t>
        </r>
      </text>
    </comment>
    <comment ref="K31" authorId="1" shapeId="0" xr:uid="{00000000-0006-0000-0000-00000B000000}">
      <text>
        <r>
          <rPr>
            <sz val="10"/>
            <color rgb="FF000000"/>
            <rFont val="Arial"/>
            <family val="2"/>
            <scheme val="minor"/>
          </rPr>
          <t>Gaji dan Kesejahteraan Karyawan (Beban Jasa) + Gaji dan Kesejahteraan Karyawan (Beban Usaha)</t>
        </r>
      </text>
    </comment>
    <comment ref="L31" authorId="1" shapeId="0" xr:uid="{00000000-0006-0000-0000-00000D000000}">
      <text>
        <r>
          <rPr>
            <sz val="10"/>
            <color rgb="FF000000"/>
            <rFont val="Arial"/>
            <family val="2"/>
            <scheme val="minor"/>
          </rPr>
          <t>Bahan Bakar dan Pelumas</t>
        </r>
      </text>
    </comment>
    <comment ref="Q31" authorId="1" shapeId="0" xr:uid="{00000000-0006-0000-0000-000012000000}">
      <text>
        <r>
          <rPr>
            <sz val="10"/>
            <color rgb="FF000000"/>
            <rFont val="Arial"/>
            <family val="2"/>
            <scheme val="minor"/>
          </rPr>
          <t>Total Pendapatan</t>
        </r>
      </text>
    </comment>
    <comment ref="J32" authorId="1" shapeId="0" xr:uid="{00000000-0006-0000-0000-000008000000}">
      <text>
        <r>
          <rPr>
            <sz val="10"/>
            <color rgb="FF000000"/>
            <rFont val="Arial"/>
            <family val="2"/>
            <scheme val="minor"/>
          </rPr>
          <t>Beban Jasa + Beban Usaha</t>
        </r>
      </text>
    </comment>
    <comment ref="K32" authorId="1" shapeId="0" xr:uid="{00000000-0006-0000-0000-00000A000000}">
      <text>
        <r>
          <rPr>
            <sz val="10"/>
            <color rgb="FF000000"/>
            <rFont val="Arial"/>
            <family val="2"/>
            <scheme val="minor"/>
          </rPr>
          <t>Gaji dan Kesejahteraan Karyawan (Beban Jasa) + Gaji dan Kesejahteraan Karyawan (Beban Usaha)</t>
        </r>
      </text>
    </comment>
    <comment ref="L32" authorId="1" shapeId="0" xr:uid="{00000000-0006-0000-0000-00000C000000}">
      <text>
        <r>
          <rPr>
            <sz val="10"/>
            <color rgb="FF000000"/>
            <rFont val="Arial"/>
            <family val="2"/>
            <scheme val="minor"/>
          </rPr>
          <t>Bahan Bakar dan Pelumas</t>
        </r>
      </text>
    </comment>
    <comment ref="Q32" authorId="1" shapeId="0" xr:uid="{00000000-0006-0000-0000-000010000000}">
      <text>
        <r>
          <rPr>
            <sz val="10"/>
            <color rgb="FF000000"/>
            <rFont val="Arial"/>
            <family val="2"/>
            <scheme val="minor"/>
          </rPr>
          <t>Total Pendapatan</t>
        </r>
      </text>
    </comment>
  </commentList>
</comments>
</file>

<file path=xl/sharedStrings.xml><?xml version="1.0" encoding="utf-8"?>
<sst xmlns="http://schemas.openxmlformats.org/spreadsheetml/2006/main" count="1114" uniqueCount="305">
  <si>
    <t>Heat Map</t>
  </si>
  <si>
    <t>33rd percentile</t>
  </si>
  <si>
    <t>Membagi rata rentang 1-3 menjadi 3 kelompok</t>
  </si>
  <si>
    <t xml:space="preserve">67th percentile </t>
  </si>
  <si>
    <t>Kode KBLI (2020)</t>
  </si>
  <si>
    <t>Sektor Industri Pengolahan</t>
  </si>
  <si>
    <t xml:space="preserve">Eksposur Ekspor </t>
  </si>
  <si>
    <t>Eksposur Impor</t>
  </si>
  <si>
    <t>Eksposur Energi</t>
  </si>
  <si>
    <t>Intensitas Tenaga Kerja</t>
  </si>
  <si>
    <t>Rata-Rata Skor</t>
  </si>
  <si>
    <t>Risiko PHK</t>
  </si>
  <si>
    <t>Provinsi Utama (Top 5 Jumlah Perusahaan Terbanyak)</t>
  </si>
  <si>
    <t>Makanan</t>
  </si>
  <si>
    <t>Jawa Timur</t>
  </si>
  <si>
    <t>Jawa Barat</t>
  </si>
  <si>
    <t>Jawa Tengah</t>
  </si>
  <si>
    <t>Sumatera Utara</t>
  </si>
  <si>
    <t>Banten</t>
  </si>
  <si>
    <t>Minuman</t>
  </si>
  <si>
    <t>Bali</t>
  </si>
  <si>
    <t>Pengolahan Tembakau</t>
  </si>
  <si>
    <t>Nusa Tenggara Barat</t>
  </si>
  <si>
    <t>Kepulauan Riau</t>
  </si>
  <si>
    <t>Tekstil</t>
  </si>
  <si>
    <t>DKI Jakarta</t>
  </si>
  <si>
    <t>Pakaian Jadi</t>
  </si>
  <si>
    <t>Kulit, Barang dari Kulit dan Alas Kaki</t>
  </si>
  <si>
    <t>DI Yogyakarta</t>
  </si>
  <si>
    <t>Kayu, Barang dari Kayu dan Gabus (Tidak Termasuk Furnitur) dan Barang Anyaman dari Bambu, Rotan dan Sejenisnya</t>
  </si>
  <si>
    <t>Kertas dan Barang dari Kertas</t>
  </si>
  <si>
    <t>Pencetakan dan Reproduksi Media Rekaman</t>
  </si>
  <si>
    <t>Produk dari Batu Bara dan Pengilangan Minyak Bumi</t>
  </si>
  <si>
    <t>Bahan Kimia dan Barang dari Bahan Kimia</t>
  </si>
  <si>
    <t>Farmasi, Produk Obat Kimia dan Obat Tradisional</t>
  </si>
  <si>
    <t>Karet, Barang dari Karet dan Plastik</t>
  </si>
  <si>
    <t>Barang Galian Bukan Logam</t>
  </si>
  <si>
    <t>Logam Dasar</t>
  </si>
  <si>
    <t>Barang Logam, Bukan Mesin dan Peralatannya</t>
  </si>
  <si>
    <t>Komputer, Barang Elektronik dan Optik</t>
  </si>
  <si>
    <t>Peralatan Listrik</t>
  </si>
  <si>
    <t>Mesin dan Perlengkapan ytdl</t>
  </si>
  <si>
    <t>Kendaraan Bermotor, Trailer dan Semi Trailer</t>
  </si>
  <si>
    <t>Alat Angkutan Lainnya</t>
  </si>
  <si>
    <t>Furnitur</t>
  </si>
  <si>
    <t>Pengolahan Lainnya</t>
  </si>
  <si>
    <t>Reparasi dan Pemasangan Mesin dan Peralatan</t>
  </si>
  <si>
    <t>Kalimantan Timur</t>
  </si>
  <si>
    <t>IBS 2022. dummy</t>
  </si>
  <si>
    <t>KBLI</t>
  </si>
  <si>
    <t>Eksposur Ekspor</t>
  </si>
  <si>
    <t>Impor (X)</t>
  </si>
  <si>
    <t>Ekspor (Y)</t>
  </si>
  <si>
    <t>Provinsi</t>
  </si>
  <si>
    <t>Aceh</t>
  </si>
  <si>
    <t>Garis Vertikal</t>
  </si>
  <si>
    <t>Sumatera Barat</t>
  </si>
  <si>
    <t>Riau</t>
  </si>
  <si>
    <t>Jambi</t>
  </si>
  <si>
    <t>Sumatera Selatan</t>
  </si>
  <si>
    <t>Garis Horizontal</t>
  </si>
  <si>
    <t>Bengkulu</t>
  </si>
  <si>
    <t>Lampung</t>
  </si>
  <si>
    <t>Bangka Belitung</t>
  </si>
  <si>
    <t>Dki Jakarta</t>
  </si>
  <si>
    <t>Di Yogyakarta</t>
  </si>
  <si>
    <t>Nusa Tenggara Timur</t>
  </si>
  <si>
    <t>Kalimantan Barat</t>
  </si>
  <si>
    <t>Kalimantan Tengah</t>
  </si>
  <si>
    <t>Kalimantan Selatan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</si>
  <si>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</si>
  <si>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</si>
  <si>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</si>
  <si>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</si>
  <si>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</si>
  <si>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</si>
  <si>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</si>
  <si>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</si>
  <si>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</si>
  <si>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</si>
  <si>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</si>
  <si>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IBS 2015, by value</t>
  </si>
  <si>
    <t>Kulit. Barang dari Kulit dan Alas Kaki</t>
  </si>
  <si>
    <t>Kayu. Barang dari Kayu dan Gabus (Tidak Termasuk Furnitur) dan Barang Anyaman dari Bambu. Rotan dan Sejenisnya</t>
  </si>
  <si>
    <t>Farmasi. Produk Obat Kimia dan Obat Tradisional</t>
  </si>
  <si>
    <t>Karet. Barang dari Karet dan Plastik</t>
  </si>
  <si>
    <t>Barang Logam. Bukan Mesin dan Peralatannya</t>
  </si>
  <si>
    <t>Komputer. Barang Elektronik dan Optik</t>
  </si>
  <si>
    <t>Kendaraan Bermotor. Trailer dan Semi Trailer</t>
  </si>
  <si>
    <t>Jasa Reparasi dan Pemasangan Mesin dan Peralatan</t>
  </si>
  <si>
    <t>Per KBLI</t>
  </si>
  <si>
    <t>Kode KBLI</t>
  </si>
  <si>
    <t>Uraian Deskripsi</t>
  </si>
  <si>
    <t>Biaya Energi</t>
  </si>
  <si>
    <t>Biaya Tenaga Kerja</t>
  </si>
  <si>
    <t>Per Provinsi</t>
  </si>
  <si>
    <t>Kode Prov</t>
  </si>
  <si>
    <t>Papua Barat Daya</t>
  </si>
  <si>
    <t>Papua Selatan</t>
  </si>
  <si>
    <t>Papua Tengah</t>
  </si>
  <si>
    <t>Papua Pegunungan</t>
  </si>
  <si>
    <t>Export Share</t>
  </si>
  <si>
    <t>RIMVCU15</t>
  </si>
  <si>
    <t>RTLVCU15</t>
  </si>
  <si>
    <t>Import Exposure</t>
  </si>
  <si>
    <t xml:space="preserve">energy_cost </t>
  </si>
  <si>
    <t>Energy Share</t>
  </si>
  <si>
    <t xml:space="preserve">labour_cost </t>
  </si>
  <si>
    <t>Labour Intensity</t>
  </si>
  <si>
    <t>RIMVCU17</t>
  </si>
  <si>
    <t>RTLVCU17</t>
  </si>
  <si>
    <t>RIMVCU</t>
  </si>
  <si>
    <t>RTLVCU</t>
  </si>
  <si>
    <t>Exposure Import</t>
  </si>
  <si>
    <t>79.733.820.263</t>
  </si>
  <si>
    <t>999.028.616.112</t>
  </si>
  <si>
    <t>1.274.052.369</t>
  </si>
  <si>
    <t>25.831.324.129</t>
  </si>
  <si>
    <t>7.711.629.515</t>
  </si>
  <si>
    <t>72.722.239.079</t>
  </si>
  <si>
    <t>45.675.259.851</t>
  </si>
  <si>
    <t>200.702.945.858</t>
  </si>
  <si>
    <t>41.834.149.917</t>
  </si>
  <si>
    <t>94.057.832.436</t>
  </si>
  <si>
    <t>14.116.387.978</t>
  </si>
  <si>
    <t>33.706.358.851</t>
  </si>
  <si>
    <t>2.096.227.616</t>
  </si>
  <si>
    <t>44.523.382.282</t>
  </si>
  <si>
    <t>15.908.985.348</t>
  </si>
  <si>
    <t>141.001.576.900</t>
  </si>
  <si>
    <t>3.761.765.184</t>
  </si>
  <si>
    <t>32.776.666.059</t>
  </si>
  <si>
    <t>40.107.530.108</t>
  </si>
  <si>
    <t>174.299.379.900</t>
  </si>
  <si>
    <t>86.158.266.922</t>
  </si>
  <si>
    <t>316.663.828.393</t>
  </si>
  <si>
    <t>13.779.517.969</t>
  </si>
  <si>
    <t>32.441.599.259</t>
  </si>
  <si>
    <t>32.939.194.706</t>
  </si>
  <si>
    <t>170.334.081.030</t>
  </si>
  <si>
    <t>13.031.843.699</t>
  </si>
  <si>
    <t>136.370.035.690</t>
  </si>
  <si>
    <t>76.287.138.058</t>
  </si>
  <si>
    <t>213.042.222.812</t>
  </si>
  <si>
    <t>25.713.467.262</t>
  </si>
  <si>
    <t>71.209.430.594</t>
  </si>
  <si>
    <t>52.615.550.860</t>
  </si>
  <si>
    <t>82.054.162.663</t>
  </si>
  <si>
    <t>40.644.405.451</t>
  </si>
  <si>
    <t>96.059.338.768</t>
  </si>
  <si>
    <t>9.675.309.605</t>
  </si>
  <si>
    <t>63.689.552.990</t>
  </si>
  <si>
    <t>64.957.338.220</t>
  </si>
  <si>
    <t>218.043.518.396</t>
  </si>
  <si>
    <t>57.374.528.754</t>
  </si>
  <si>
    <t>101.258.883.060</t>
  </si>
  <si>
    <t>2.573.565.898</t>
  </si>
  <si>
    <t>27.767.737.378</t>
  </si>
  <si>
    <t>11.925.086.223</t>
  </si>
  <si>
    <t>24.496.278.178</t>
  </si>
  <si>
    <t>699.372.084</t>
  </si>
  <si>
    <t>9.130.443.027</t>
  </si>
  <si>
    <t>Kertas dan Barang dari Kertas/</t>
  </si>
  <si>
    <t>IBS 2015</t>
  </si>
  <si>
    <t>IBS 2022</t>
  </si>
  <si>
    <t>Kode Provinsi</t>
  </si>
  <si>
    <t>Kode 2 Digit dan Lapangan Usaha Perusahaan Industri Besar dan Sedang</t>
  </si>
  <si>
    <t>DESKRIPSI</t>
  </si>
  <si>
    <t>INDUSTRI MAKANAN</t>
  </si>
  <si>
    <t>INDUSTRI MINUMAN</t>
  </si>
  <si>
    <t>INDUSTRI PENGOLAHAN TEMBAKAU</t>
  </si>
  <si>
    <t>INDUSTRI TEKSTIL</t>
  </si>
  <si>
    <t>INDUSTRI PAKAIAN JADI</t>
  </si>
  <si>
    <t>INDUSTRI KULIT, BARANG DARI KULIT DAN ALAS KAKI</t>
  </si>
  <si>
    <t>INDUSTRI KAYU, BARANG DARI KAYU DAN GABUS (TIDAK TERMASUK FURNITUR) DAN BARANG ANYAMAN DARI BAMBU, ROTAN DAN SEJENISNYA</t>
  </si>
  <si>
    <t>INDUSTRI KERTAS DAN BARANG DARI KERTAS</t>
  </si>
  <si>
    <t>INDUSTRI PENCETAKAN DAN REPRODUKSI MEDIA REKAMAN</t>
  </si>
  <si>
    <t>INDUSTRI PRODUK DARI BATU BARA DAN PENGILANGAN MINYAK BUMI</t>
  </si>
  <si>
    <t>INDUSTRI BAHAN KIMIA DAN BARANG DARI BAHAN KIMIA</t>
  </si>
  <si>
    <t>INDUSTRI FARMASI, PRODUK OBAT KIMIA DAN OBAT TRADISIONAL</t>
  </si>
  <si>
    <t>INDUSTRI KARET, BARANG DARI KARET DAN PLASTIK</t>
  </si>
  <si>
    <t>INDUSTRI BARANG GALIAN BUKAN LOGAM</t>
  </si>
  <si>
    <t>INDUSTRI LOGAM DASAR</t>
  </si>
  <si>
    <t>INDUSTRI BARANG LOGAM, BUKAN MESIN DAN PERALATANNYA</t>
  </si>
  <si>
    <t>INDUSTRI KOMPUTER, BARANG ELEKTRONIK DAN OPTIK</t>
  </si>
  <si>
    <t>INDUSTRI PERALATAN LISTRIK</t>
  </si>
  <si>
    <t>INDUSTRI MESIN DAN PERLENGKAPAN YTDL</t>
  </si>
  <si>
    <t>INDUSTRI KENDARAAN BERMOTOR, TRAILER DAN SEMI TRAILER</t>
  </si>
  <si>
    <t>INDUSTRI ALAT ANGKUTAN LAINNYA</t>
  </si>
  <si>
    <t>INDUSTRI FURNITUR</t>
  </si>
  <si>
    <t>INDUSTRI PENGOLAHAN LAINNYA</t>
  </si>
  <si>
    <t>REPARASI DAN PEMASANGAN MESIN DAN PERALATAN</t>
  </si>
  <si>
    <t>Sumber : Badan Pusat Statistik, KBLI 2015</t>
  </si>
  <si>
    <t>Sektor</t>
  </si>
  <si>
    <t>Kode Perusahaan</t>
  </si>
  <si>
    <t>Nama Perusahaan</t>
  </si>
  <si>
    <t>Lokasi</t>
  </si>
  <si>
    <t>Core Business</t>
  </si>
  <si>
    <t>Jumlah Pekerja</t>
  </si>
  <si>
    <t>Biaya Input</t>
  </si>
  <si>
    <t>Satuan</t>
  </si>
  <si>
    <t>Kurs</t>
  </si>
  <si>
    <t>Biaya Operasional</t>
  </si>
  <si>
    <t>Penjualan</t>
  </si>
  <si>
    <t>Impor Bahan Baku</t>
  </si>
  <si>
    <t>% Labour Cost</t>
  </si>
  <si>
    <t>% Energy Cost</t>
  </si>
  <si>
    <t>% Import</t>
  </si>
  <si>
    <t>Total Penjualan</t>
  </si>
  <si>
    <t>Ekspor</t>
  </si>
  <si>
    <t>Penjualan Domestik</t>
  </si>
  <si>
    <t>% Export Sales</t>
  </si>
  <si>
    <t>% Domestic Sales</t>
  </si>
  <si>
    <t>POLU</t>
  </si>
  <si>
    <t>PT. Golden Flower Tbk</t>
  </si>
  <si>
    <t>IDR Juta</t>
  </si>
  <si>
    <t>N/A</t>
  </si>
  <si>
    <t>-</t>
  </si>
  <si>
    <t>176.480.92</t>
  </si>
  <si>
    <t>99.918.95</t>
  </si>
  <si>
    <t>56.561.97</t>
  </si>
  <si>
    <t>INDR</t>
  </si>
  <si>
    <t>PT. Indo-Rama Synthetics Tbk</t>
  </si>
  <si>
    <t>USD</t>
  </si>
  <si>
    <t>72.500.337.00</t>
  </si>
  <si>
    <t>778.767.632.00</t>
  </si>
  <si>
    <t>446.393.677.00</t>
  </si>
  <si>
    <t>332.373.955.00</t>
  </si>
  <si>
    <t>Alas Kaki</t>
  </si>
  <si>
    <t>BATA</t>
  </si>
  <si>
    <t>PT. Sepatu Bata Tbk</t>
  </si>
  <si>
    <t>Elektronik (KBLI 26 &amp; 27)</t>
  </si>
  <si>
    <t>DCII</t>
  </si>
  <si>
    <t>PT. DCI Indonesia Tbk</t>
  </si>
  <si>
    <t>IDR Miliar</t>
  </si>
  <si>
    <t>GOTO</t>
  </si>
  <si>
    <t>PT. GoTo Gojek Tokopedia Tbk</t>
  </si>
  <si>
    <t>3.612.66</t>
  </si>
  <si>
    <t>MTDL</t>
  </si>
  <si>
    <t>PT. Metrodata Electronics Tbk</t>
  </si>
  <si>
    <t>Otomotif (KBLI 29)</t>
  </si>
  <si>
    <t>ASII</t>
  </si>
  <si>
    <t xml:space="preserve">PT. Astra International Tbk </t>
  </si>
  <si>
    <t>Jawa Barat dan DKI Jakarta</t>
  </si>
  <si>
    <t>IMAS</t>
  </si>
  <si>
    <t>PT. Indomobil Sukses Internasional Tbk</t>
  </si>
  <si>
    <t>VKTR</t>
  </si>
  <si>
    <t>PT. VKTR Teknologi Mobilitas Tbk</t>
  </si>
  <si>
    <t>Makanan &amp; minuman</t>
  </si>
  <si>
    <t>INDF</t>
  </si>
  <si>
    <t>PT. Indofood Sukses Makmur Tbk</t>
  </si>
  <si>
    <t>ICBP</t>
  </si>
  <si>
    <t>PT. Indofood CBP Sukses Makmur Tbk</t>
  </si>
  <si>
    <t>MYOR</t>
  </si>
  <si>
    <t xml:space="preserve">PT. Mayora Indah Tbk </t>
  </si>
  <si>
    <t>Perdagangan</t>
  </si>
  <si>
    <t>AMRT</t>
  </si>
  <si>
    <t>PT. Sumber Alfaria Trijaya Tbk</t>
  </si>
  <si>
    <t>Jaringan Minimarket</t>
  </si>
  <si>
    <t>MAPI</t>
  </si>
  <si>
    <t>PT. Mitra Adiperkasa Tbk</t>
  </si>
  <si>
    <t>Akomodasi &amp; makan-minum</t>
  </si>
  <si>
    <t>FAST</t>
  </si>
  <si>
    <t>PT. Fast Food Indonesia Tbk</t>
  </si>
  <si>
    <t>MAPB</t>
  </si>
  <si>
    <t xml:space="preserve">PT. Map Boga Adiperkasa Tbk </t>
  </si>
  <si>
    <t>66.810.65</t>
  </si>
  <si>
    <t>34.543.40</t>
  </si>
  <si>
    <t>375.584.19</t>
  </si>
  <si>
    <t>PZZA</t>
  </si>
  <si>
    <t>PT. Sarimelati Kencana Tbk</t>
  </si>
  <si>
    <t>Pertambangan (KBLI 19 &amp; 24)</t>
  </si>
  <si>
    <t>ANTM</t>
  </si>
  <si>
    <t>PT. Aneka Tambang Tbk (KBLI 24)</t>
  </si>
  <si>
    <t>Jawa Barat. Sulawesi Tenggara. Maluku Utara. Kalimantan Barat</t>
  </si>
  <si>
    <t>Nikel. emas &amp; logam mulia. bauksit</t>
  </si>
  <si>
    <t>5.286.32</t>
  </si>
  <si>
    <t>1.449.72</t>
  </si>
  <si>
    <t>60.733.29</t>
  </si>
  <si>
    <t>14.751.60</t>
  </si>
  <si>
    <t>ADRO</t>
  </si>
  <si>
    <t>PT. AlamTri Resources Tbk</t>
  </si>
  <si>
    <t>NTB</t>
  </si>
  <si>
    <t>Pertambangan Batu Bara &amp; Mineral:</t>
  </si>
  <si>
    <t>USD Ribu</t>
  </si>
  <si>
    <t>107.149.00</t>
  </si>
  <si>
    <t>192.765.00</t>
  </si>
  <si>
    <t>644.426.00</t>
  </si>
  <si>
    <t>1.209.102.00</t>
  </si>
  <si>
    <t>AMMN</t>
  </si>
  <si>
    <t>PT. Amman Mineral Internasional Tbk</t>
  </si>
  <si>
    <t>Pertambangan tembaga dan emas.</t>
  </si>
  <si>
    <t>162.021.00</t>
  </si>
  <si>
    <t>117.116.00</t>
  </si>
  <si>
    <t>1.665.889.00</t>
  </si>
  <si>
    <t>190.632.00</t>
  </si>
  <si>
    <t>Perkebunan</t>
  </si>
  <si>
    <t>Logistik</t>
  </si>
  <si>
    <t>ELPI</t>
  </si>
  <si>
    <t xml:space="preserve">PT. Pelayaran Nasional Ekalya Purnamasari Tbk </t>
  </si>
  <si>
    <t>Jawa Timur dan Kalimantan Timur</t>
  </si>
  <si>
    <t>TMAS</t>
  </si>
  <si>
    <t xml:space="preserve">PT. Temas Tbk </t>
  </si>
  <si>
    <t>SMDR</t>
  </si>
  <si>
    <t>PT. Samudera Indonesia Tbk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</si>
</sst>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b/>
      <i/>
      <sz val="9"/>
      <color theme="1"/>
      <name val="Arial"/>
      <family val="2"/>
      <scheme val="minor"/>
    </font>
    <font>
      <sz val="10"/>
      <name val="Arial"/>
      <family val="2"/>
    </font>
    <font>
      <b/>
      <i/>
      <sz val="9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1F2D3D"/>
      <name val="Arial"/>
      <family val="2"/>
      <scheme val="minor"/>
    </font>
    <font>
      <sz val="9"/>
      <color rgb="FF000000"/>
      <name val="Arial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  <scheme val="minor"/>
    </font>
    <font>
      <sz val="10"/>
      <name val="Arial Unicode MS"/>
      <family val="2"/>
    </font>
    <font>
      <b/>
      <sz val="10"/>
      <name val="Arial"/>
      <family val="2"/>
    </font>
    <font>
      <b/>
      <i/>
      <sz val="11"/>
      <color theme="0"/>
      <name val="Calibri"/>
      <family val="2"/>
    </font>
    <font>
      <b/>
      <sz val="10"/>
      <color rgb="FF000000"/>
      <name val="Arial"/>
      <scheme val="minor"/>
    </font>
    <font>
      <b/>
      <sz val="9"/>
      <color rgb="FFFFFFFF"/>
      <name val="Arial"/>
      <family val="2"/>
      <scheme val="minor"/>
    </font>
    <font>
      <sz val="9"/>
      <color rgb="FF231F20"/>
      <name val="Arial"/>
      <family val="2"/>
      <scheme val="minor"/>
    </font>
    <font>
      <sz val="9"/>
      <name val="Arial"/>
      <family val="2"/>
      <scheme val="minor"/>
    </font>
    <font>
      <sz val="10"/>
      <color rgb="FF000000"/>
      <name val="Arial"/>
      <family val="2"/>
      <scheme val="major"/>
    </font>
    <font>
      <sz val="10"/>
      <name val="Arial"/>
      <family val="2"/>
      <scheme val="major"/>
    </font>
  </fonts>
  <fills count="16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945200"/>
        <bgColor indexed="64"/>
      </patternFill>
    </fill>
    <fill>
      <patternFill patternType="solid">
        <fgColor rgb="FF945200"/>
        <bgColor rgb="FFEFEFEF"/>
      </patternFill>
    </fill>
    <fill>
      <patternFill patternType="solid">
        <fgColor rgb="FFE5C243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rgb="FFE5C243"/>
      </patternFill>
    </fill>
    <fill>
      <patternFill patternType="solid">
        <fgColor rgb="FFF7EFE9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21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thin">
        <color theme="0"/>
      </bottom>
      <diagonal/>
    </border>
    <border>
      <left/>
      <right style="medium">
        <color rgb="FFCCCCCC"/>
      </right>
      <top style="medium">
        <color rgb="FFCCCCCC"/>
      </top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0" fontId="1" fillId="0" borderId="0"/>
  </cellStyleXfs>
  <cellXfs count="175">
    <xf numFmtId="0" fontId="0" fillId="0" borderId="0" xfId="0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0" fillId="0" borderId="0" xfId="0" applyFont="1"/>
    <xf numFmtId="0" fontId="6" fillId="0" borderId="2" xfId="0" applyFont="1" applyBorder="1"/>
    <xf numFmtId="0" fontId="0" fillId="3" borderId="2" xfId="0" applyFill="1" applyBorder="1" applyAlignment="1">
      <alignment horizontal="left"/>
    </xf>
    <xf numFmtId="0" fontId="0" fillId="3" borderId="2" xfId="0" applyFill="1" applyBorder="1"/>
    <xf numFmtId="0" fontId="0" fillId="0" borderId="2" xfId="0" applyBorder="1"/>
    <xf numFmtId="0" fontId="2" fillId="0" borderId="2" xfId="0" applyFont="1" applyBorder="1"/>
    <xf numFmtId="3" fontId="2" fillId="0" borderId="0" xfId="0" applyNumberFormat="1" applyFont="1"/>
    <xf numFmtId="164" fontId="2" fillId="2" borderId="2" xfId="0" applyNumberFormat="1" applyFont="1" applyFill="1" applyBorder="1"/>
    <xf numFmtId="164" fontId="2" fillId="0" borderId="2" xfId="0" applyNumberFormat="1" applyFont="1" applyBorder="1" applyAlignment="1">
      <alignment horizontal="center"/>
    </xf>
    <xf numFmtId="4" fontId="0" fillId="3" borderId="2" xfId="0" applyNumberFormat="1" applyFill="1" applyBorder="1"/>
    <xf numFmtId="4" fontId="0" fillId="0" borderId="2" xfId="0" applyNumberFormat="1" applyBorder="1"/>
    <xf numFmtId="164" fontId="2" fillId="0" borderId="2" xfId="0" applyNumberFormat="1" applyFont="1" applyBorder="1"/>
    <xf numFmtId="0" fontId="2" fillId="0" borderId="2" xfId="0" applyFont="1" applyBorder="1" applyAlignment="1">
      <alignment horizontal="center"/>
    </xf>
    <xf numFmtId="4" fontId="2" fillId="0" borderId="2" xfId="0" applyNumberFormat="1" applyFont="1" applyBorder="1"/>
    <xf numFmtId="4" fontId="0" fillId="3" borderId="2" xfId="0" applyNumberFormat="1" applyFill="1" applyBorder="1" applyAlignment="1">
      <alignment horizontal="center"/>
    </xf>
    <xf numFmtId="0" fontId="14" fillId="0" borderId="2" xfId="0" applyFont="1" applyBorder="1"/>
    <xf numFmtId="0" fontId="14" fillId="0" borderId="2" xfId="0" applyFont="1" applyBorder="1" applyAlignment="1">
      <alignment horizontal="left"/>
    </xf>
    <xf numFmtId="0" fontId="14" fillId="0" borderId="2" xfId="0" applyFont="1" applyBorder="1" applyAlignment="1">
      <alignment horizontal="right"/>
    </xf>
    <xf numFmtId="164" fontId="14" fillId="2" borderId="2" xfId="0" applyNumberFormat="1" applyFont="1" applyFill="1" applyBorder="1" applyAlignment="1">
      <alignment horizontal="center"/>
    </xf>
    <xf numFmtId="164" fontId="14" fillId="0" borderId="2" xfId="0" applyNumberFormat="1" applyFont="1" applyBorder="1" applyAlignment="1">
      <alignment horizontal="center"/>
    </xf>
    <xf numFmtId="4" fontId="14" fillId="3" borderId="2" xfId="0" applyNumberFormat="1" applyFont="1" applyFill="1" applyBorder="1" applyAlignment="1">
      <alignment horizontal="center"/>
    </xf>
    <xf numFmtId="164" fontId="14" fillId="2" borderId="2" xfId="0" applyNumberFormat="1" applyFont="1" applyFill="1" applyBorder="1" applyAlignment="1">
      <alignment horizontal="right"/>
    </xf>
    <xf numFmtId="164" fontId="14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0" fontId="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3" fontId="9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right"/>
    </xf>
    <xf numFmtId="165" fontId="1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65" fontId="2" fillId="0" borderId="2" xfId="0" applyNumberFormat="1" applyFont="1" applyBorder="1" applyAlignment="1">
      <alignment horizontal="center"/>
    </xf>
    <xf numFmtId="165" fontId="2" fillId="0" borderId="0" xfId="0" applyNumberFormat="1" applyFont="1"/>
    <xf numFmtId="165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4" fillId="0" borderId="0" xfId="0" applyFont="1"/>
    <xf numFmtId="0" fontId="17" fillId="5" borderId="0" xfId="0" applyFont="1" applyFill="1" applyAlignment="1">
      <alignment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164" fontId="13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3" fillId="0" borderId="0" xfId="0" applyFont="1"/>
    <xf numFmtId="0" fontId="18" fillId="0" borderId="0" xfId="0" applyFont="1"/>
    <xf numFmtId="0" fontId="17" fillId="6" borderId="8" xfId="0" applyFont="1" applyFill="1" applyBorder="1" applyAlignment="1">
      <alignment horizontal="center" vertical="center"/>
    </xf>
    <xf numFmtId="0" fontId="18" fillId="0" borderId="0" xfId="0" applyFont="1" applyAlignment="1">
      <alignment wrapText="1"/>
    </xf>
    <xf numFmtId="2" fontId="0" fillId="0" borderId="0" xfId="0" applyNumberFormat="1" applyAlignment="1">
      <alignment horizontal="center"/>
    </xf>
    <xf numFmtId="0" fontId="16" fillId="7" borderId="0" xfId="0" applyFont="1" applyFill="1" applyAlignment="1">
      <alignment horizontal="center"/>
    </xf>
    <xf numFmtId="2" fontId="18" fillId="0" borderId="0" xfId="0" applyNumberFormat="1" applyFont="1" applyAlignment="1">
      <alignment horizontal="center"/>
    </xf>
    <xf numFmtId="2" fontId="18" fillId="0" borderId="0" xfId="0" applyNumberFormat="1" applyFont="1"/>
    <xf numFmtId="0" fontId="16" fillId="8" borderId="0" xfId="0" applyFont="1" applyFill="1" applyAlignment="1">
      <alignment horizontal="center"/>
    </xf>
    <xf numFmtId="0" fontId="19" fillId="0" borderId="0" xfId="0" applyFont="1"/>
    <xf numFmtId="2" fontId="20" fillId="0" borderId="0" xfId="0" applyNumberFormat="1" applyFont="1"/>
    <xf numFmtId="2" fontId="19" fillId="0" borderId="0" xfId="0" applyNumberFormat="1" applyFont="1"/>
    <xf numFmtId="0" fontId="16" fillId="0" borderId="0" xfId="0" applyFont="1"/>
    <xf numFmtId="2" fontId="21" fillId="10" borderId="10" xfId="0" applyNumberFormat="1" applyFont="1" applyFill="1" applyBorder="1" applyAlignment="1">
      <alignment horizontal="center"/>
    </xf>
    <xf numFmtId="0" fontId="5" fillId="0" borderId="0" xfId="0" applyFont="1"/>
    <xf numFmtId="3" fontId="15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/>
    </xf>
    <xf numFmtId="0" fontId="2" fillId="3" borderId="2" xfId="0" applyFont="1" applyFill="1" applyBorder="1"/>
    <xf numFmtId="0" fontId="6" fillId="2" borderId="2" xfId="0" applyFont="1" applyFill="1" applyBorder="1"/>
    <xf numFmtId="4" fontId="2" fillId="3" borderId="2" xfId="0" applyNumberFormat="1" applyFont="1" applyFill="1" applyBorder="1"/>
    <xf numFmtId="4" fontId="2" fillId="3" borderId="2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64" fontId="18" fillId="0" borderId="0" xfId="0" applyNumberFormat="1" applyFont="1"/>
    <xf numFmtId="164" fontId="17" fillId="5" borderId="0" xfId="0" applyNumberFormat="1" applyFont="1" applyFill="1" applyAlignment="1">
      <alignment vertical="center"/>
    </xf>
    <xf numFmtId="164" fontId="17" fillId="6" borderId="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17" fillId="5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right"/>
    </xf>
    <xf numFmtId="0" fontId="22" fillId="6" borderId="8" xfId="0" applyFont="1" applyFill="1" applyBorder="1" applyAlignment="1">
      <alignment horizontal="center" vertical="center"/>
    </xf>
    <xf numFmtId="0" fontId="22" fillId="5" borderId="8" xfId="0" applyFont="1" applyFill="1" applyBorder="1" applyAlignment="1">
      <alignment horizontal="center" vertical="center"/>
    </xf>
    <xf numFmtId="3" fontId="22" fillId="6" borderId="8" xfId="0" applyNumberFormat="1" applyFont="1" applyFill="1" applyBorder="1" applyAlignment="1">
      <alignment horizontal="center" vertical="center"/>
    </xf>
    <xf numFmtId="164" fontId="22" fillId="6" borderId="8" xfId="0" applyNumberFormat="1" applyFont="1" applyFill="1" applyBorder="1" applyAlignment="1">
      <alignment horizontal="center" vertical="center"/>
    </xf>
    <xf numFmtId="164" fontId="13" fillId="2" borderId="0" xfId="0" applyNumberFormat="1" applyFont="1" applyFill="1" applyAlignment="1">
      <alignment horizontal="center"/>
    </xf>
    <xf numFmtId="3" fontId="13" fillId="0" borderId="0" xfId="0" applyNumberFormat="1" applyFont="1" applyAlignment="1">
      <alignment horizontal="right"/>
    </xf>
    <xf numFmtId="165" fontId="18" fillId="2" borderId="0" xfId="0" applyNumberFormat="1" applyFont="1" applyFill="1" applyAlignment="1">
      <alignment horizontal="center"/>
    </xf>
    <xf numFmtId="164" fontId="18" fillId="2" borderId="0" xfId="0" applyNumberFormat="1" applyFont="1" applyFill="1" applyAlignment="1">
      <alignment horizontal="center"/>
    </xf>
    <xf numFmtId="3" fontId="18" fillId="0" borderId="0" xfId="0" applyNumberFormat="1" applyFont="1" applyAlignment="1">
      <alignment horizontal="right"/>
    </xf>
    <xf numFmtId="3" fontId="18" fillId="0" borderId="0" xfId="0" applyNumberFormat="1" applyFont="1"/>
    <xf numFmtId="164" fontId="13" fillId="2" borderId="9" xfId="0" applyNumberFormat="1" applyFont="1" applyFill="1" applyBorder="1" applyAlignment="1">
      <alignment horizontal="center"/>
    </xf>
    <xf numFmtId="164" fontId="18" fillId="2" borderId="9" xfId="0" applyNumberFormat="1" applyFont="1" applyFill="1" applyBorder="1" applyAlignment="1">
      <alignment horizontal="center"/>
    </xf>
    <xf numFmtId="165" fontId="18" fillId="2" borderId="9" xfId="0" applyNumberFormat="1" applyFont="1" applyFill="1" applyBorder="1" applyAlignment="1">
      <alignment horizontal="center"/>
    </xf>
    <xf numFmtId="3" fontId="13" fillId="0" borderId="0" xfId="0" applyNumberFormat="1" applyFont="1"/>
    <xf numFmtId="165" fontId="13" fillId="2" borderId="0" xfId="0" applyNumberFormat="1" applyFont="1" applyFill="1" applyAlignment="1">
      <alignment horizontal="center"/>
    </xf>
    <xf numFmtId="165" fontId="13" fillId="0" borderId="0" xfId="0" applyNumberFormat="1" applyFont="1"/>
    <xf numFmtId="0" fontId="13" fillId="2" borderId="0" xfId="0" applyFont="1" applyFill="1"/>
    <xf numFmtId="164" fontId="13" fillId="0" borderId="0" xfId="0" applyNumberFormat="1" applyFont="1"/>
    <xf numFmtId="165" fontId="13" fillId="2" borderId="0" xfId="0" applyNumberFormat="1" applyFont="1" applyFill="1"/>
    <xf numFmtId="3" fontId="13" fillId="0" borderId="0" xfId="0" applyNumberFormat="1" applyFont="1" applyAlignment="1">
      <alignment horizontal="center"/>
    </xf>
    <xf numFmtId="0" fontId="23" fillId="0" borderId="0" xfId="0" applyFont="1"/>
    <xf numFmtId="0" fontId="16" fillId="8" borderId="0" xfId="0" applyFont="1" applyFill="1" applyAlignment="1">
      <alignment horizontal="left"/>
    </xf>
    <xf numFmtId="0" fontId="16" fillId="7" borderId="0" xfId="0" applyFont="1" applyFill="1" applyAlignment="1">
      <alignment horizontal="left"/>
    </xf>
    <xf numFmtId="0" fontId="17" fillId="5" borderId="0" xfId="0" applyFont="1" applyFill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right"/>
    </xf>
    <xf numFmtId="0" fontId="2" fillId="0" borderId="0" xfId="0" applyFont="1" applyAlignment="1">
      <alignment horizontal="right" vertical="center" wrapText="1"/>
    </xf>
    <xf numFmtId="0" fontId="16" fillId="0" borderId="12" xfId="0" applyFont="1" applyBorder="1" applyAlignment="1">
      <alignment horizontal="center" vertical="center" wrapText="1"/>
    </xf>
    <xf numFmtId="164" fontId="2" fillId="11" borderId="2" xfId="0" applyNumberFormat="1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2" fontId="0" fillId="0" borderId="12" xfId="0" applyNumberForma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" fillId="0" borderId="15" xfId="1" applyBorder="1" applyAlignment="1">
      <alignment wrapText="1"/>
    </xf>
    <xf numFmtId="0" fontId="1" fillId="0" borderId="0" xfId="1"/>
    <xf numFmtId="0" fontId="24" fillId="12" borderId="16" xfId="1" applyFont="1" applyFill="1" applyBorder="1" applyAlignment="1">
      <alignment horizontal="center" vertical="center" wrapText="1"/>
    </xf>
    <xf numFmtId="0" fontId="24" fillId="12" borderId="17" xfId="1" applyFont="1" applyFill="1" applyBorder="1" applyAlignment="1">
      <alignment horizontal="center" vertical="center" wrapText="1"/>
    </xf>
    <xf numFmtId="0" fontId="25" fillId="13" borderId="18" xfId="1" applyFont="1" applyFill="1" applyBorder="1" applyAlignment="1">
      <alignment horizontal="center" vertical="center" wrapText="1"/>
    </xf>
    <xf numFmtId="4" fontId="3" fillId="0" borderId="16" xfId="1" applyNumberFormat="1" applyFont="1" applyBorder="1" applyAlignment="1">
      <alignment horizontal="left" vertical="center" wrapText="1"/>
    </xf>
    <xf numFmtId="0" fontId="25" fillId="13" borderId="18" xfId="1" applyFont="1" applyFill="1" applyBorder="1" applyAlignment="1">
      <alignment horizontal="center" vertical="top" wrapText="1"/>
    </xf>
    <xf numFmtId="0" fontId="1" fillId="0" borderId="19" xfId="1" applyBorder="1"/>
    <xf numFmtId="0" fontId="26" fillId="13" borderId="18" xfId="1" applyFont="1" applyFill="1" applyBorder="1" applyAlignment="1">
      <alignment horizontal="center" vertical="top" wrapText="1"/>
    </xf>
    <xf numFmtId="4" fontId="26" fillId="14" borderId="16" xfId="1" applyNumberFormat="1" applyFont="1" applyFill="1" applyBorder="1" applyAlignment="1">
      <alignment horizontal="left" vertical="center" wrapText="1"/>
    </xf>
    <xf numFmtId="0" fontId="3" fillId="13" borderId="20" xfId="1" applyFont="1" applyFill="1" applyBorder="1" applyAlignment="1">
      <alignment horizontal="center" vertical="top"/>
    </xf>
    <xf numFmtId="0" fontId="3" fillId="0" borderId="16" xfId="1" applyFont="1" applyBorder="1" applyAlignment="1">
      <alignment horizontal="left" wrapText="1"/>
    </xf>
    <xf numFmtId="0" fontId="1" fillId="0" borderId="0" xfId="1" applyAlignment="1">
      <alignment wrapText="1"/>
    </xf>
    <xf numFmtId="0" fontId="3" fillId="0" borderId="16" xfId="1" applyFont="1" applyBorder="1" applyAlignment="1">
      <alignment horizontal="left"/>
    </xf>
    <xf numFmtId="0" fontId="3" fillId="0" borderId="21" xfId="1" applyFont="1" applyBorder="1" applyAlignment="1">
      <alignment horizontal="center" vertical="top"/>
    </xf>
    <xf numFmtId="0" fontId="3" fillId="0" borderId="21" xfId="1" applyFont="1" applyBorder="1" applyAlignment="1">
      <alignment horizontal="left"/>
    </xf>
    <xf numFmtId="0" fontId="2" fillId="15" borderId="2" xfId="0" applyFont="1" applyFill="1" applyBorder="1" applyAlignment="1">
      <alignment horizontal="center" vertical="center"/>
    </xf>
    <xf numFmtId="0" fontId="13" fillId="15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164" fontId="2" fillId="11" borderId="6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2" xfId="0" applyBorder="1" applyAlignment="1">
      <alignment horizontal="center" vertical="center"/>
    </xf>
    <xf numFmtId="0" fontId="27" fillId="0" borderId="12" xfId="0" applyFont="1" applyBorder="1" applyAlignment="1">
      <alignment vertical="center"/>
    </xf>
    <xf numFmtId="0" fontId="28" fillId="0" borderId="12" xfId="0" applyFont="1" applyBorder="1" applyAlignment="1">
      <alignment vertical="center"/>
    </xf>
    <xf numFmtId="0" fontId="16" fillId="0" borderId="0" xfId="0" applyFont="1" applyAlignment="1">
      <alignment horizontal="center"/>
    </xf>
    <xf numFmtId="2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6" fillId="8" borderId="0" xfId="0" applyFont="1" applyFill="1" applyAlignment="1">
      <alignment horizontal="left"/>
    </xf>
    <xf numFmtId="0" fontId="21" fillId="9" borderId="0" xfId="0" applyFont="1" applyFill="1" applyAlignment="1">
      <alignment horizontal="center"/>
    </xf>
    <xf numFmtId="0" fontId="21" fillId="9" borderId="11" xfId="0" applyFont="1" applyFill="1" applyBorder="1" applyAlignment="1">
      <alignment horizontal="center"/>
    </xf>
    <xf numFmtId="0" fontId="16" fillId="7" borderId="0" xfId="0" applyFont="1" applyFill="1" applyAlignment="1">
      <alignment horizontal="left"/>
    </xf>
    <xf numFmtId="0" fontId="16" fillId="0" borderId="12" xfId="0" applyFont="1" applyBorder="1" applyAlignment="1">
      <alignment horizontal="center" vertical="center" wrapText="1"/>
    </xf>
    <xf numFmtId="0" fontId="17" fillId="5" borderId="0" xfId="0" applyFont="1" applyFill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3" fillId="0" borderId="21" xfId="1" applyFont="1" applyBorder="1" applyAlignment="1">
      <alignment horizontal="left"/>
    </xf>
    <xf numFmtId="0" fontId="11" fillId="0" borderId="1" xfId="0" applyFont="1" applyBorder="1" applyAlignment="1">
      <alignment vertical="center"/>
    </xf>
    <xf numFmtId="0" fontId="8" fillId="0" borderId="7" xfId="0" applyFont="1" applyBorder="1"/>
    <xf numFmtId="0" fontId="8" fillId="0" borderId="6" xfId="0" applyFont="1" applyBorder="1"/>
    <xf numFmtId="0" fontId="2" fillId="0" borderId="3" xfId="0" applyFont="1" applyBorder="1" applyAlignment="1">
      <alignment horizontal="center"/>
    </xf>
    <xf numFmtId="0" fontId="8" fillId="0" borderId="4" xfId="0" applyFont="1" applyBorder="1"/>
    <xf numFmtId="0" fontId="8" fillId="0" borderId="5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</cellXfs>
  <cellStyles count="2">
    <cellStyle name="Normal" xfId="0" builtinId="0"/>
    <cellStyle name="Normal 2" xfId="1" xr:uid="{3F482944-1DEF-4C8C-8F15-AA9D7CCA6AE8}"/>
  </cellStyles>
  <dxfs count="14">
    <dxf>
      <fill>
        <patternFill>
          <fgColor theme="1"/>
          <bgColor theme="5" tint="0.39994506668294322"/>
        </patternFill>
      </fill>
    </dxf>
    <dxf>
      <fill>
        <patternFill>
          <fgColor theme="1"/>
          <bgColor theme="7" tint="0.59996337778862885"/>
        </patternFill>
      </fill>
    </dxf>
    <dxf>
      <fill>
        <patternFill>
          <fgColor theme="1"/>
          <bgColor theme="6" tint="0.79998168889431442"/>
        </patternFill>
      </fill>
    </dxf>
    <dxf>
      <fill>
        <patternFill>
          <fgColor theme="1"/>
          <bgColor theme="5" tint="0.39994506668294322"/>
        </patternFill>
      </fill>
    </dxf>
    <dxf>
      <fill>
        <patternFill>
          <fgColor theme="1"/>
          <bgColor theme="7" tint="0.59996337778862885"/>
        </patternFill>
      </fill>
    </dxf>
    <dxf>
      <fill>
        <patternFill>
          <fgColor theme="1"/>
          <bgColor theme="6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6B4233"/>
      <color rgb="FFE59A3C"/>
      <color rgb="FFFF7E79"/>
      <color rgb="FFFFD5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GB" sz="1400" b="1" i="0" u="none" strike="noStrike" kern="1200" baseline="0">
                <a:solidFill>
                  <a:srgbClr val="000000"/>
                </a:solidFill>
              </a:rPr>
              <a:t>Share Impor vs Ekspor Perusahaan berdasarkan Sektor, 2015 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1826286210729441E-2"/>
          <c:y val="7.717099927519265E-2"/>
          <c:w val="0.8703828211087381"/>
          <c:h val="0.82706043624781078"/>
        </c:manualLayout>
      </c:layout>
      <c:scatterChart>
        <c:scatterStyle val="lineMarker"/>
        <c:varyColors val="1"/>
        <c:ser>
          <c:idx val="50"/>
          <c:order val="0"/>
          <c:tx>
            <c:strRef>
              <c:f>'Dashboard_Eksposur Kurs'!$Y$42</c:f>
              <c:strCache>
                <c:ptCount val="1"/>
                <c:pt idx="0">
                  <c:v>Makanan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Kurs'!$Z$42</c:f>
              <c:numCache>
                <c:formatCode>0.00</c:formatCode>
                <c:ptCount val="1"/>
                <c:pt idx="0">
                  <c:v>10.286594567680474</c:v>
                </c:pt>
              </c:numCache>
            </c:numRef>
          </c:xVal>
          <c:yVal>
            <c:numRef>
              <c:f>'Dashboard_Eksposur Kurs'!$AA$42</c:f>
              <c:numCache>
                <c:formatCode>0.00</c:formatCode>
                <c:ptCount val="1"/>
                <c:pt idx="0">
                  <c:v>57.763515033079017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FF-4913-BC0E-9FA62E6305D7}"/>
            </c:ext>
          </c:extLst>
        </c:ser>
        <c:ser>
          <c:idx val="51"/>
          <c:order val="1"/>
          <c:tx>
            <c:strRef>
              <c:f>'Dashboard_Eksposur Kurs'!$Y$43</c:f>
              <c:strCache>
                <c:ptCount val="1"/>
                <c:pt idx="0">
                  <c:v>Minuman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Kurs'!$Z$43</c:f>
              <c:numCache>
                <c:formatCode>0.00</c:formatCode>
                <c:ptCount val="1"/>
                <c:pt idx="0">
                  <c:v>18.341960735669293</c:v>
                </c:pt>
              </c:numCache>
            </c:numRef>
          </c:xVal>
          <c:yVal>
            <c:numRef>
              <c:f>'Dashboard_Eksposur Kurs'!$AA$43</c:f>
              <c:numCache>
                <c:formatCode>0.00</c:formatCode>
                <c:ptCount val="1"/>
                <c:pt idx="0">
                  <c:v>12.082776770613844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FF-4913-BC0E-9FA62E6305D7}"/>
            </c:ext>
          </c:extLst>
        </c:ser>
        <c:ser>
          <c:idx val="52"/>
          <c:order val="2"/>
          <c:tx>
            <c:strRef>
              <c:f>'Dashboard_Eksposur Kurs'!$Y$44</c:f>
              <c:strCache>
                <c:ptCount val="1"/>
                <c:pt idx="0">
                  <c:v>Pengolahan Tembakau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Kurs'!$Z$44</c:f>
              <c:numCache>
                <c:formatCode>0.00</c:formatCode>
                <c:ptCount val="1"/>
                <c:pt idx="0">
                  <c:v>5.2597780739413693</c:v>
                </c:pt>
              </c:numCache>
            </c:numRef>
          </c:xVal>
          <c:yVal>
            <c:numRef>
              <c:f>'Dashboard_Eksposur Kurs'!$AA$44</c:f>
              <c:numCache>
                <c:formatCode>0.00</c:formatCode>
                <c:ptCount val="1"/>
                <c:pt idx="0">
                  <c:v>49.946392170674486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FF-4913-BC0E-9FA62E6305D7}"/>
            </c:ext>
          </c:extLst>
        </c:ser>
        <c:ser>
          <c:idx val="53"/>
          <c:order val="3"/>
          <c:tx>
            <c:strRef>
              <c:f>'Dashboard_Eksposur Kurs'!$Y$45</c:f>
              <c:strCache>
                <c:ptCount val="1"/>
                <c:pt idx="0">
                  <c:v>Tekstil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Kurs'!$Z$45</c:f>
              <c:numCache>
                <c:formatCode>0.00</c:formatCode>
                <c:ptCount val="1"/>
                <c:pt idx="0">
                  <c:v>26.924796416960699</c:v>
                </c:pt>
              </c:numCache>
            </c:numRef>
          </c:xVal>
          <c:yVal>
            <c:numRef>
              <c:f>'Dashboard_Eksposur Kurs'!$AA$45</c:f>
              <c:numCache>
                <c:formatCode>0.00</c:formatCode>
                <c:ptCount val="1"/>
                <c:pt idx="0">
                  <c:v>40.829237215215286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FFF-4913-BC0E-9FA62E6305D7}"/>
            </c:ext>
          </c:extLst>
        </c:ser>
        <c:ser>
          <c:idx val="54"/>
          <c:order val="4"/>
          <c:tx>
            <c:strRef>
              <c:f>'Dashboard_Eksposur Kurs'!$Y$46</c:f>
              <c:strCache>
                <c:ptCount val="1"/>
                <c:pt idx="0">
                  <c:v>Pakaian Jadi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Kurs'!$Z$46</c:f>
              <c:numCache>
                <c:formatCode>0.00</c:formatCode>
                <c:ptCount val="1"/>
                <c:pt idx="0">
                  <c:v>40.379094559229671</c:v>
                </c:pt>
              </c:numCache>
            </c:numRef>
          </c:xVal>
          <c:yVal>
            <c:numRef>
              <c:f>'Dashboard_Eksposur Kurs'!$AA$47</c:f>
              <c:numCache>
                <c:formatCode>0.00</c:formatCode>
                <c:ptCount val="1"/>
                <c:pt idx="0">
                  <c:v>43.646983080702526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FFF-4913-BC0E-9FA62E6305D7}"/>
            </c:ext>
          </c:extLst>
        </c:ser>
        <c:ser>
          <c:idx val="55"/>
          <c:order val="5"/>
          <c:tx>
            <c:strRef>
              <c:f>'Dashboard_Eksposur Kurs'!$Y$48</c:f>
              <c:strCache>
                <c:ptCount val="1"/>
                <c:pt idx="0">
                  <c:v>Kayu, Barang dari Kayu dan Gabus (Tidak Termasuk Furnitur) dan Barang Anyaman dari Bambu, Rotan dan Sejenisnya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Kurs'!$Z$48</c:f>
              <c:numCache>
                <c:formatCode>0.00</c:formatCode>
                <c:ptCount val="1"/>
                <c:pt idx="0">
                  <c:v>6.8987478009938261</c:v>
                </c:pt>
              </c:numCache>
            </c:numRef>
          </c:xVal>
          <c:yVal>
            <c:numRef>
              <c:f>'Dashboard_Eksposur Kurs'!$AA$48</c:f>
              <c:numCache>
                <c:formatCode>0.00</c:formatCode>
                <c:ptCount val="1"/>
                <c:pt idx="0">
                  <c:v>69.815778400619052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FFF-4913-BC0E-9FA62E6305D7}"/>
            </c:ext>
          </c:extLst>
        </c:ser>
        <c:ser>
          <c:idx val="56"/>
          <c:order val="6"/>
          <c:tx>
            <c:strRef>
              <c:f>'Dashboard_Eksposur Kurs'!$Y$49</c:f>
              <c:strCache>
                <c:ptCount val="1"/>
                <c:pt idx="0">
                  <c:v>Kertas dan Barang dari Kertas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Kurs'!$Z$49</c:f>
              <c:numCache>
                <c:formatCode>0.00</c:formatCode>
                <c:ptCount val="1"/>
                <c:pt idx="0">
                  <c:v>14.748203875864254</c:v>
                </c:pt>
              </c:numCache>
            </c:numRef>
          </c:xVal>
          <c:yVal>
            <c:numRef>
              <c:f>'Dashboard_Eksposur Kurs'!$AA$49</c:f>
              <c:numCache>
                <c:formatCode>0.00</c:formatCode>
                <c:ptCount val="1"/>
                <c:pt idx="0">
                  <c:v>26.222460083614525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FFF-4913-BC0E-9FA62E6305D7}"/>
            </c:ext>
          </c:extLst>
        </c:ser>
        <c:ser>
          <c:idx val="57"/>
          <c:order val="7"/>
          <c:tx>
            <c:strRef>
              <c:f>'Dashboard_Eksposur Kurs'!$Y$50</c:f>
              <c:strCache>
                <c:ptCount val="1"/>
                <c:pt idx="0">
                  <c:v>Pencetakan dan Reproduksi Media Rekaman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Kurs'!$Z$50</c:f>
              <c:numCache>
                <c:formatCode>0.00</c:formatCode>
                <c:ptCount val="1"/>
                <c:pt idx="0">
                  <c:v>8.0606693583710864</c:v>
                </c:pt>
              </c:numCache>
            </c:numRef>
          </c:xVal>
          <c:yVal>
            <c:numRef>
              <c:f>'Dashboard_Eksposur Kurs'!$AA$50</c:f>
              <c:numCache>
                <c:formatCode>0.00</c:formatCode>
                <c:ptCount val="1"/>
                <c:pt idx="0">
                  <c:v>22.251555555555555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FFF-4913-BC0E-9FA62E6305D7}"/>
            </c:ext>
          </c:extLst>
        </c:ser>
        <c:ser>
          <c:idx val="58"/>
          <c:order val="8"/>
          <c:tx>
            <c:strRef>
              <c:f>'Dashboard_Eksposur Kurs'!$Y$51</c:f>
              <c:strCache>
                <c:ptCount val="1"/>
                <c:pt idx="0">
                  <c:v>Produk dari Batu Bara dan Pengilangan Minyak Bumi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Kurs'!$Z$51</c:f>
              <c:numCache>
                <c:formatCode>0.00</c:formatCode>
                <c:ptCount val="1"/>
                <c:pt idx="0">
                  <c:v>11.986768661340957</c:v>
                </c:pt>
              </c:numCache>
            </c:numRef>
          </c:xVal>
          <c:yVal>
            <c:numRef>
              <c:f>'Dashboard_Eksposur Kurs'!$AA$51</c:f>
              <c:numCache>
                <c:formatCode>0.00</c:formatCode>
                <c:ptCount val="1"/>
                <c:pt idx="0">
                  <c:v>38.045789473684209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FFF-4913-BC0E-9FA62E6305D7}"/>
            </c:ext>
          </c:extLst>
        </c:ser>
        <c:ser>
          <c:idx val="59"/>
          <c:order val="9"/>
          <c:tx>
            <c:strRef>
              <c:f>'Dashboard_Eksposur Kurs'!$Y$52</c:f>
              <c:strCache>
                <c:ptCount val="1"/>
                <c:pt idx="0">
                  <c:v>Bahan Kimia dan Barang dari Bahan Kimia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Kurs'!$Z$52</c:f>
              <c:numCache>
                <c:formatCode>0.00</c:formatCode>
                <c:ptCount val="1"/>
                <c:pt idx="0">
                  <c:v>36.000408264268167</c:v>
                </c:pt>
              </c:numCache>
            </c:numRef>
          </c:xVal>
          <c:yVal>
            <c:numRef>
              <c:f>'Dashboard_Eksposur Kurs'!$AA$52</c:f>
              <c:numCache>
                <c:formatCode>0.00</c:formatCode>
                <c:ptCount val="1"/>
                <c:pt idx="0">
                  <c:v>32.896714640024506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FFF-4913-BC0E-9FA62E6305D7}"/>
            </c:ext>
          </c:extLst>
        </c:ser>
        <c:ser>
          <c:idx val="60"/>
          <c:order val="10"/>
          <c:tx>
            <c:strRef>
              <c:f>'Dashboard_Eksposur Kurs'!$Y$53</c:f>
              <c:strCache>
                <c:ptCount val="1"/>
                <c:pt idx="0">
                  <c:v>Farmasi, Produk Obat Kimia dan Obat Tradisional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Kurs'!$Z$53</c:f>
              <c:numCache>
                <c:formatCode>0.00</c:formatCode>
                <c:ptCount val="1"/>
                <c:pt idx="0">
                  <c:v>38.440680547909572</c:v>
                </c:pt>
              </c:numCache>
            </c:numRef>
          </c:xVal>
          <c:yVal>
            <c:numRef>
              <c:f>'Dashboard_Eksposur Kurs'!$AA$53</c:f>
              <c:numCache>
                <c:formatCode>0.00</c:formatCode>
                <c:ptCount val="1"/>
                <c:pt idx="0">
                  <c:v>18.100142006329349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FFF-4913-BC0E-9FA62E6305D7}"/>
            </c:ext>
          </c:extLst>
        </c:ser>
        <c:ser>
          <c:idx val="61"/>
          <c:order val="11"/>
          <c:tx>
            <c:strRef>
              <c:f>'Dashboard_Eksposur Kurs'!$Y$54</c:f>
              <c:strCache>
                <c:ptCount val="1"/>
                <c:pt idx="0">
                  <c:v>Karet, Barang dari Karet dan Plastik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Kurs'!$Z$54</c:f>
              <c:numCache>
                <c:formatCode>0.00</c:formatCode>
                <c:ptCount val="1"/>
                <c:pt idx="0">
                  <c:v>16.74841257128919</c:v>
                </c:pt>
              </c:numCache>
            </c:numRef>
          </c:xVal>
          <c:yVal>
            <c:numRef>
              <c:f>'Dashboard_Eksposur Kurs'!$AA$66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FFF-4913-BC0E-9FA62E6305D7}"/>
            </c:ext>
          </c:extLst>
        </c:ser>
        <c:ser>
          <c:idx val="62"/>
          <c:order val="12"/>
          <c:tx>
            <c:strRef>
              <c:f>'Dashboard_Eksposur Kurs'!$Y$55</c:f>
              <c:strCache>
                <c:ptCount val="1"/>
                <c:pt idx="0">
                  <c:v>Barang Galian Bukan Logam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Kurs'!$Z$55</c:f>
              <c:numCache>
                <c:formatCode>0.00</c:formatCode>
                <c:ptCount val="1"/>
                <c:pt idx="0">
                  <c:v>20.69620253243027</c:v>
                </c:pt>
              </c:numCache>
            </c:numRef>
          </c:xVal>
          <c:yVal>
            <c:numRef>
              <c:f>'Dashboard_Eksposur Kurs'!$AA$55</c:f>
              <c:numCache>
                <c:formatCode>0.00</c:formatCode>
                <c:ptCount val="1"/>
                <c:pt idx="0">
                  <c:v>29.722374719770446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FFF-4913-BC0E-9FA62E6305D7}"/>
            </c:ext>
          </c:extLst>
        </c:ser>
        <c:ser>
          <c:idx val="63"/>
          <c:order val="13"/>
          <c:tx>
            <c:strRef>
              <c:f>'Dashboard_Eksposur Kurs'!$Y$56</c:f>
              <c:strCache>
                <c:ptCount val="1"/>
                <c:pt idx="0">
                  <c:v>Logam Dasar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Kurs'!$Z$56</c:f>
              <c:numCache>
                <c:formatCode>0.00</c:formatCode>
                <c:ptCount val="1"/>
                <c:pt idx="0">
                  <c:v>38.924375301981293</c:v>
                </c:pt>
              </c:numCache>
            </c:numRef>
          </c:xVal>
          <c:yVal>
            <c:numRef>
              <c:f>'Dashboard_Eksposur Kurs'!$AA$56</c:f>
              <c:numCache>
                <c:formatCode>0.00</c:formatCode>
                <c:ptCount val="1"/>
                <c:pt idx="0">
                  <c:v>47.999677447153836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FFF-4913-BC0E-9FA62E6305D7}"/>
            </c:ext>
          </c:extLst>
        </c:ser>
        <c:ser>
          <c:idx val="64"/>
          <c:order val="14"/>
          <c:tx>
            <c:strRef>
              <c:f>'Dashboard_Eksposur Kurs'!$Y$57</c:f>
              <c:strCache>
                <c:ptCount val="1"/>
                <c:pt idx="0">
                  <c:v>Barang Logam, Bukan Mesin dan Peralatannya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Kurs'!$Z$57</c:f>
              <c:numCache>
                <c:formatCode>0.00</c:formatCode>
                <c:ptCount val="1"/>
                <c:pt idx="0">
                  <c:v>30.673520143676004</c:v>
                </c:pt>
              </c:numCache>
            </c:numRef>
          </c:xVal>
          <c:yVal>
            <c:numRef>
              <c:f>'Dashboard_Eksposur Kurs'!$AA$57</c:f>
              <c:numCache>
                <c:formatCode>0.00</c:formatCode>
                <c:ptCount val="1"/>
                <c:pt idx="0">
                  <c:v>28.538670507454082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FFF-4913-BC0E-9FA62E6305D7}"/>
            </c:ext>
          </c:extLst>
        </c:ser>
        <c:ser>
          <c:idx val="65"/>
          <c:order val="15"/>
          <c:tx>
            <c:strRef>
              <c:f>'Dashboard_Eksposur Kurs'!$Y$58</c:f>
              <c:strCache>
                <c:ptCount val="1"/>
                <c:pt idx="0">
                  <c:v>Komputer, Barang Elektronik dan Optik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Kurs'!$Z$58</c:f>
              <c:numCache>
                <c:formatCode>0.00</c:formatCode>
                <c:ptCount val="1"/>
                <c:pt idx="0">
                  <c:v>65.3235450935275</c:v>
                </c:pt>
              </c:numCache>
            </c:numRef>
          </c:xVal>
          <c:yVal>
            <c:numRef>
              <c:f>'Dashboard_Eksposur Kurs'!$AA$58</c:f>
              <c:numCache>
                <c:formatCode>0.00</c:formatCode>
                <c:ptCount val="1"/>
                <c:pt idx="0">
                  <c:v>50.435337494786999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FFF-4913-BC0E-9FA62E6305D7}"/>
            </c:ext>
          </c:extLst>
        </c:ser>
        <c:ser>
          <c:idx val="66"/>
          <c:order val="16"/>
          <c:tx>
            <c:strRef>
              <c:f>'Dashboard_Eksposur Kurs'!$Y$59</c:f>
              <c:strCache>
                <c:ptCount val="1"/>
                <c:pt idx="0">
                  <c:v>Peralatan Listrik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Kurs'!$Z$59</c:f>
              <c:numCache>
                <c:formatCode>0.00</c:formatCode>
                <c:ptCount val="1"/>
                <c:pt idx="0">
                  <c:v>41.873258296855504</c:v>
                </c:pt>
              </c:numCache>
            </c:numRef>
          </c:xVal>
          <c:yVal>
            <c:numRef>
              <c:f>'Dashboard_Eksposur Kurs'!$AA$59</c:f>
              <c:numCache>
                <c:formatCode>0.00</c:formatCode>
                <c:ptCount val="1"/>
                <c:pt idx="0">
                  <c:v>29.191352937868889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FFF-4913-BC0E-9FA62E6305D7}"/>
            </c:ext>
          </c:extLst>
        </c:ser>
        <c:ser>
          <c:idx val="67"/>
          <c:order val="17"/>
          <c:tx>
            <c:strRef>
              <c:f>'Dashboard_Eksposur Kurs'!$Y$60</c:f>
              <c:strCache>
                <c:ptCount val="1"/>
                <c:pt idx="0">
                  <c:v>Mesin dan Perlengkapan ytdl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Kurs'!$Z$60</c:f>
              <c:numCache>
                <c:formatCode>0.00</c:formatCode>
                <c:ptCount val="1"/>
                <c:pt idx="0">
                  <c:v>35.180478122187253</c:v>
                </c:pt>
              </c:numCache>
            </c:numRef>
          </c:xVal>
          <c:yVal>
            <c:numRef>
              <c:f>'Dashboard_Eksposur Kurs'!$AA$60</c:f>
              <c:numCache>
                <c:formatCode>0.00</c:formatCode>
                <c:ptCount val="1"/>
                <c:pt idx="0">
                  <c:v>28.846572535723929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AFFF-4913-BC0E-9FA62E6305D7}"/>
            </c:ext>
          </c:extLst>
        </c:ser>
        <c:ser>
          <c:idx val="68"/>
          <c:order val="18"/>
          <c:tx>
            <c:strRef>
              <c:f>'Dashboard_Eksposur Kurs'!$Y$61</c:f>
              <c:strCache>
                <c:ptCount val="1"/>
                <c:pt idx="0">
                  <c:v>Kendaraan Bermotor, Trailer dan Semi Trailer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Kurs'!$Z$61</c:f>
              <c:numCache>
                <c:formatCode>0.00</c:formatCode>
                <c:ptCount val="1"/>
                <c:pt idx="0">
                  <c:v>33.579929275223925</c:v>
                </c:pt>
              </c:numCache>
            </c:numRef>
          </c:xVal>
          <c:yVal>
            <c:numRef>
              <c:f>'Dashboard_Eksposur Kurs'!$AA$61</c:f>
              <c:numCache>
                <c:formatCode>0.00</c:formatCode>
                <c:ptCount val="1"/>
                <c:pt idx="0">
                  <c:v>31.3156424206319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FFF-4913-BC0E-9FA62E6305D7}"/>
            </c:ext>
          </c:extLst>
        </c:ser>
        <c:ser>
          <c:idx val="69"/>
          <c:order val="19"/>
          <c:tx>
            <c:strRef>
              <c:f>'Dashboard_Eksposur Kurs'!$Y$62</c:f>
              <c:strCache>
                <c:ptCount val="1"/>
                <c:pt idx="0">
                  <c:v>Alat Angkutan Lainnya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Kurs'!$Z$62</c:f>
              <c:numCache>
                <c:formatCode>0.00</c:formatCode>
                <c:ptCount val="1"/>
                <c:pt idx="0">
                  <c:v>29.737096074804636</c:v>
                </c:pt>
              </c:numCache>
            </c:numRef>
          </c:xVal>
          <c:yVal>
            <c:numRef>
              <c:f>'Dashboard_Eksposur Kurs'!$AA$62</c:f>
              <c:numCache>
                <c:formatCode>0.00</c:formatCode>
                <c:ptCount val="1"/>
                <c:pt idx="0">
                  <c:v>32.113344337097963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FFF-4913-BC0E-9FA62E6305D7}"/>
            </c:ext>
          </c:extLst>
        </c:ser>
        <c:ser>
          <c:idx val="70"/>
          <c:order val="20"/>
          <c:tx>
            <c:strRef>
              <c:f>'Dashboard_Eksposur Kurs'!$Y$63</c:f>
              <c:strCache>
                <c:ptCount val="1"/>
                <c:pt idx="0">
                  <c:v>Furnitur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Kurs'!$Z$63</c:f>
              <c:numCache>
                <c:formatCode>0.00</c:formatCode>
                <c:ptCount val="1"/>
                <c:pt idx="0">
                  <c:v>7.3534437291700341</c:v>
                </c:pt>
              </c:numCache>
            </c:numRef>
          </c:xVal>
          <c:yVal>
            <c:numRef>
              <c:f>'Dashboard_Eksposur Kurs'!$AA$40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AFFF-4913-BC0E-9FA62E6305D7}"/>
            </c:ext>
          </c:extLst>
        </c:ser>
        <c:ser>
          <c:idx val="71"/>
          <c:order val="21"/>
          <c:tx>
            <c:strRef>
              <c:f>'Dashboard_Eksposur Kurs'!$Y$64</c:f>
              <c:strCache>
                <c:ptCount val="1"/>
                <c:pt idx="0">
                  <c:v>Pengolahan Lainnya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Kurs'!$Z$64</c:f>
              <c:numCache>
                <c:formatCode>0.00</c:formatCode>
                <c:ptCount val="1"/>
                <c:pt idx="0">
                  <c:v>54.077972556204358</c:v>
                </c:pt>
              </c:numCache>
            </c:numRef>
          </c:xVal>
          <c:yVal>
            <c:numRef>
              <c:f>'Dashboard_Eksposur Kurs'!$AA$64</c:f>
              <c:numCache>
                <c:formatCode>0.00</c:formatCode>
                <c:ptCount val="1"/>
                <c:pt idx="0">
                  <c:v>70.96773844309601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AFFF-4913-BC0E-9FA62E6305D7}"/>
            </c:ext>
          </c:extLst>
        </c:ser>
        <c:ser>
          <c:idx val="72"/>
          <c:order val="22"/>
          <c:tx>
            <c:strRef>
              <c:f>'Dashboard_Eksposur Kurs'!$Y$65</c:f>
              <c:strCache>
                <c:ptCount val="1"/>
                <c:pt idx="0">
                  <c:v>Reparasi dan Pemasangan Mesin dan Peralatan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Kurs'!$Z$65</c:f>
              <c:numCache>
                <c:formatCode>0.00</c:formatCode>
                <c:ptCount val="1"/>
                <c:pt idx="0">
                  <c:v>36.784252304980654</c:v>
                </c:pt>
              </c:numCache>
            </c:numRef>
          </c:xVal>
          <c:yVal>
            <c:numRef>
              <c:f>'Dashboard_Eksposur Kurs'!$AA$65</c:f>
              <c:numCache>
                <c:formatCode>0.00</c:formatCode>
                <c:ptCount val="1"/>
                <c:pt idx="0">
                  <c:v>3.3333333333333335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AFFF-4913-BC0E-9FA62E6305D7}"/>
            </c:ext>
          </c:extLst>
        </c:ser>
        <c:ser>
          <c:idx val="73"/>
          <c:order val="23"/>
          <c:tx>
            <c:v>Impor</c:v>
          </c:tx>
          <c:spPr>
            <a:ln>
              <a:solidFill>
                <a:srgbClr val="E59A3C"/>
              </a:solidFill>
              <a:prstDash val="solid"/>
            </a:ln>
          </c:spPr>
          <c:marker>
            <c:symbol val="circle"/>
            <c:size val="7"/>
          </c:marker>
          <c:xVal>
            <c:numRef>
              <c:f>'Dashboard_Eksposur Kurs'!$AD$45:$AD$46</c:f>
              <c:numCache>
                <c:formatCode>0.00</c:formatCode>
                <c:ptCount val="2"/>
                <c:pt idx="0">
                  <c:v>27.317000559774954</c:v>
                </c:pt>
                <c:pt idx="1">
                  <c:v>27.317000559774954</c:v>
                </c:pt>
              </c:numCache>
            </c:numRef>
          </c:xVal>
          <c:yVal>
            <c:numRef>
              <c:f>'Dashboard_Eksposur Kurs'!$AE$45:$AE$46</c:f>
              <c:numCache>
                <c:formatCode>0.00</c:formatCode>
                <c:ptCount val="2"/>
                <c:pt idx="0">
                  <c:v>0</c:v>
                </c:pt>
                <c:pt idx="1">
                  <c:v>85.600600803403282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AFFF-4913-BC0E-9FA62E6305D7}"/>
            </c:ext>
          </c:extLst>
        </c:ser>
        <c:ser>
          <c:idx val="74"/>
          <c:order val="24"/>
          <c:tx>
            <c:v>Ekspor</c:v>
          </c:tx>
          <c:spPr>
            <a:ln w="12700">
              <a:solidFill>
                <a:srgbClr val="E59A3C"/>
              </a:solidFill>
              <a:prstDash val="solid"/>
            </a:ln>
          </c:spPr>
          <c:marker>
            <c:symbol val="none"/>
          </c:marker>
          <c:xVal>
            <c:numRef>
              <c:f>'Dashboard_Eksposur Kurs'!$AD$49:$AD$50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71.855899602880257</c:v>
                </c:pt>
              </c:numCache>
            </c:numRef>
          </c:xVal>
          <c:yVal>
            <c:numRef>
              <c:f>'Dashboard_Eksposur Kurs'!$AE$49:$AE$50</c:f>
              <c:numCache>
                <c:formatCode>0.00</c:formatCode>
                <c:ptCount val="2"/>
                <c:pt idx="0">
                  <c:v>39.456601878176897</c:v>
                </c:pt>
                <c:pt idx="1">
                  <c:v>39.456601878176897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AFFF-4913-BC0E-9FA62E6305D7}"/>
            </c:ext>
          </c:extLst>
        </c:ser>
        <c:ser>
          <c:idx val="75"/>
          <c:order val="25"/>
          <c:tx>
            <c:strRef>
              <c:f>'Dashboard_Eksposur Kurs'!$Y$42</c:f>
              <c:strCache>
                <c:ptCount val="1"/>
                <c:pt idx="0">
                  <c:v>Makanan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Kurs'!$Z$42</c:f>
              <c:numCache>
                <c:formatCode>0.00</c:formatCode>
                <c:ptCount val="1"/>
                <c:pt idx="0">
                  <c:v>10.286594567680474</c:v>
                </c:pt>
              </c:numCache>
            </c:numRef>
          </c:xVal>
          <c:yVal>
            <c:numRef>
              <c:f>'Dashboard_Eksposur Kurs'!$AA$42</c:f>
              <c:numCache>
                <c:formatCode>0.00</c:formatCode>
                <c:ptCount val="1"/>
                <c:pt idx="0">
                  <c:v>57.763515033079017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AFFF-4913-BC0E-9FA62E6305D7}"/>
            </c:ext>
          </c:extLst>
        </c:ser>
        <c:ser>
          <c:idx val="76"/>
          <c:order val="26"/>
          <c:tx>
            <c:strRef>
              <c:f>'Dashboard_Eksposur Kurs'!$Y$43</c:f>
              <c:strCache>
                <c:ptCount val="1"/>
                <c:pt idx="0">
                  <c:v>Minuman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Kurs'!$Z$43</c:f>
              <c:numCache>
                <c:formatCode>0.00</c:formatCode>
                <c:ptCount val="1"/>
                <c:pt idx="0">
                  <c:v>18.341960735669293</c:v>
                </c:pt>
              </c:numCache>
            </c:numRef>
          </c:xVal>
          <c:yVal>
            <c:numRef>
              <c:f>'Dashboard_Eksposur Kurs'!$AA$43</c:f>
              <c:numCache>
                <c:formatCode>0.00</c:formatCode>
                <c:ptCount val="1"/>
                <c:pt idx="0">
                  <c:v>12.082776770613844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AFFF-4913-BC0E-9FA62E6305D7}"/>
            </c:ext>
          </c:extLst>
        </c:ser>
        <c:ser>
          <c:idx val="77"/>
          <c:order val="27"/>
          <c:tx>
            <c:strRef>
              <c:f>'Dashboard_Eksposur Kurs'!$Y$44</c:f>
              <c:strCache>
                <c:ptCount val="1"/>
                <c:pt idx="0">
                  <c:v>Pengolahan Tembakau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Kurs'!$Z$44</c:f>
              <c:numCache>
                <c:formatCode>0.00</c:formatCode>
                <c:ptCount val="1"/>
                <c:pt idx="0">
                  <c:v>5.2597780739413693</c:v>
                </c:pt>
              </c:numCache>
            </c:numRef>
          </c:xVal>
          <c:yVal>
            <c:numRef>
              <c:f>'Dashboard_Eksposur Kurs'!$AA$44</c:f>
              <c:numCache>
                <c:formatCode>0.00</c:formatCode>
                <c:ptCount val="1"/>
                <c:pt idx="0">
                  <c:v>49.946392170674486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AFFF-4913-BC0E-9FA62E6305D7}"/>
            </c:ext>
          </c:extLst>
        </c:ser>
        <c:ser>
          <c:idx val="78"/>
          <c:order val="28"/>
          <c:tx>
            <c:strRef>
              <c:f>'Dashboard_Eksposur Kurs'!$Y$45</c:f>
              <c:strCache>
                <c:ptCount val="1"/>
                <c:pt idx="0">
                  <c:v>Tekstil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Kurs'!$Z$45</c:f>
              <c:numCache>
                <c:formatCode>0.00</c:formatCode>
                <c:ptCount val="1"/>
                <c:pt idx="0">
                  <c:v>26.924796416960699</c:v>
                </c:pt>
              </c:numCache>
            </c:numRef>
          </c:xVal>
          <c:yVal>
            <c:numRef>
              <c:f>'Dashboard_Eksposur Kurs'!$AA$45</c:f>
              <c:numCache>
                <c:formatCode>0.00</c:formatCode>
                <c:ptCount val="1"/>
                <c:pt idx="0">
                  <c:v>40.829237215215286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AFFF-4913-BC0E-9FA62E6305D7}"/>
            </c:ext>
          </c:extLst>
        </c:ser>
        <c:ser>
          <c:idx val="79"/>
          <c:order val="29"/>
          <c:tx>
            <c:strRef>
              <c:f>'Dashboard_Eksposur Kurs'!$Y$46</c:f>
              <c:strCache>
                <c:ptCount val="1"/>
                <c:pt idx="0">
                  <c:v>Pakaian Jadi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Kurs'!$Z$46</c:f>
              <c:numCache>
                <c:formatCode>0.00</c:formatCode>
                <c:ptCount val="1"/>
                <c:pt idx="0">
                  <c:v>40.379094559229671</c:v>
                </c:pt>
              </c:numCache>
            </c:numRef>
          </c:xVal>
          <c:yVal>
            <c:numRef>
              <c:f>'Dashboard_Eksposur Kurs'!$AA$47</c:f>
              <c:numCache>
                <c:formatCode>0.00</c:formatCode>
                <c:ptCount val="1"/>
                <c:pt idx="0">
                  <c:v>43.646983080702526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AFFF-4913-BC0E-9FA62E6305D7}"/>
            </c:ext>
          </c:extLst>
        </c:ser>
        <c:ser>
          <c:idx val="80"/>
          <c:order val="30"/>
          <c:tx>
            <c:strRef>
              <c:f>'Dashboard_Eksposur Kurs'!$Y$48</c:f>
              <c:strCache>
                <c:ptCount val="1"/>
                <c:pt idx="0">
                  <c:v>Kayu, Barang dari Kayu dan Gabus (Tidak Termasuk Furnitur) dan Barang Anyaman dari Bambu, Rotan dan Sejenisnya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Kurs'!$Z$48</c:f>
              <c:numCache>
                <c:formatCode>0.00</c:formatCode>
                <c:ptCount val="1"/>
                <c:pt idx="0">
                  <c:v>6.8987478009938261</c:v>
                </c:pt>
              </c:numCache>
            </c:numRef>
          </c:xVal>
          <c:yVal>
            <c:numRef>
              <c:f>'Dashboard_Eksposur Kurs'!$AA$48</c:f>
              <c:numCache>
                <c:formatCode>0.00</c:formatCode>
                <c:ptCount val="1"/>
                <c:pt idx="0">
                  <c:v>69.815778400619052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AFFF-4913-BC0E-9FA62E6305D7}"/>
            </c:ext>
          </c:extLst>
        </c:ser>
        <c:ser>
          <c:idx val="81"/>
          <c:order val="31"/>
          <c:tx>
            <c:strRef>
              <c:f>'Dashboard_Eksposur Kurs'!$Y$49</c:f>
              <c:strCache>
                <c:ptCount val="1"/>
                <c:pt idx="0">
                  <c:v>Kertas dan Barang dari Kertas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Kurs'!$Z$49</c:f>
              <c:numCache>
                <c:formatCode>0.00</c:formatCode>
                <c:ptCount val="1"/>
                <c:pt idx="0">
                  <c:v>14.748203875864254</c:v>
                </c:pt>
              </c:numCache>
            </c:numRef>
          </c:xVal>
          <c:yVal>
            <c:numRef>
              <c:f>'Dashboard_Eksposur Kurs'!$AA$49</c:f>
              <c:numCache>
                <c:formatCode>0.00</c:formatCode>
                <c:ptCount val="1"/>
                <c:pt idx="0">
                  <c:v>26.222460083614525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AFFF-4913-BC0E-9FA62E6305D7}"/>
            </c:ext>
          </c:extLst>
        </c:ser>
        <c:ser>
          <c:idx val="82"/>
          <c:order val="32"/>
          <c:tx>
            <c:strRef>
              <c:f>'Dashboard_Eksposur Kurs'!$Y$50</c:f>
              <c:strCache>
                <c:ptCount val="1"/>
                <c:pt idx="0">
                  <c:v>Pencetakan dan Reproduksi Media Rekaman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Kurs'!$Z$50</c:f>
              <c:numCache>
                <c:formatCode>0.00</c:formatCode>
                <c:ptCount val="1"/>
                <c:pt idx="0">
                  <c:v>8.0606693583710864</c:v>
                </c:pt>
              </c:numCache>
            </c:numRef>
          </c:xVal>
          <c:yVal>
            <c:numRef>
              <c:f>'Dashboard_Eksposur Kurs'!$AA$50</c:f>
              <c:numCache>
                <c:formatCode>0.00</c:formatCode>
                <c:ptCount val="1"/>
                <c:pt idx="0">
                  <c:v>22.251555555555555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AFFF-4913-BC0E-9FA62E6305D7}"/>
            </c:ext>
          </c:extLst>
        </c:ser>
        <c:ser>
          <c:idx val="83"/>
          <c:order val="33"/>
          <c:tx>
            <c:strRef>
              <c:f>'Dashboard_Eksposur Kurs'!$Y$51</c:f>
              <c:strCache>
                <c:ptCount val="1"/>
                <c:pt idx="0">
                  <c:v>Produk dari Batu Bara dan Pengilangan Minyak Bumi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Kurs'!$Z$51</c:f>
              <c:numCache>
                <c:formatCode>0.00</c:formatCode>
                <c:ptCount val="1"/>
                <c:pt idx="0">
                  <c:v>11.986768661340957</c:v>
                </c:pt>
              </c:numCache>
            </c:numRef>
          </c:xVal>
          <c:yVal>
            <c:numRef>
              <c:f>'Dashboard_Eksposur Kurs'!$AA$51</c:f>
              <c:numCache>
                <c:formatCode>0.00</c:formatCode>
                <c:ptCount val="1"/>
                <c:pt idx="0">
                  <c:v>38.045789473684209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AFFF-4913-BC0E-9FA62E6305D7}"/>
            </c:ext>
          </c:extLst>
        </c:ser>
        <c:ser>
          <c:idx val="84"/>
          <c:order val="34"/>
          <c:tx>
            <c:strRef>
              <c:f>'Dashboard_Eksposur Kurs'!$Y$52</c:f>
              <c:strCache>
                <c:ptCount val="1"/>
                <c:pt idx="0">
                  <c:v>Bahan Kimia dan Barang dari Bahan Kimia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Kurs'!$Z$52</c:f>
              <c:numCache>
                <c:formatCode>0.00</c:formatCode>
                <c:ptCount val="1"/>
                <c:pt idx="0">
                  <c:v>36.000408264268167</c:v>
                </c:pt>
              </c:numCache>
            </c:numRef>
          </c:xVal>
          <c:yVal>
            <c:numRef>
              <c:f>'Dashboard_Eksposur Kurs'!$AA$52</c:f>
              <c:numCache>
                <c:formatCode>0.00</c:formatCode>
                <c:ptCount val="1"/>
                <c:pt idx="0">
                  <c:v>32.896714640024506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AFFF-4913-BC0E-9FA62E6305D7}"/>
            </c:ext>
          </c:extLst>
        </c:ser>
        <c:ser>
          <c:idx val="85"/>
          <c:order val="35"/>
          <c:tx>
            <c:strRef>
              <c:f>'Dashboard_Eksposur Kurs'!$Y$53</c:f>
              <c:strCache>
                <c:ptCount val="1"/>
                <c:pt idx="0">
                  <c:v>Farmasi, Produk Obat Kimia dan Obat Tradisional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Kurs'!$Z$53</c:f>
              <c:numCache>
                <c:formatCode>0.00</c:formatCode>
                <c:ptCount val="1"/>
                <c:pt idx="0">
                  <c:v>38.440680547909572</c:v>
                </c:pt>
              </c:numCache>
            </c:numRef>
          </c:xVal>
          <c:yVal>
            <c:numRef>
              <c:f>'Dashboard_Eksposur Kurs'!$AA$53</c:f>
              <c:numCache>
                <c:formatCode>0.00</c:formatCode>
                <c:ptCount val="1"/>
                <c:pt idx="0">
                  <c:v>18.100142006329349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AFFF-4913-BC0E-9FA62E6305D7}"/>
            </c:ext>
          </c:extLst>
        </c:ser>
        <c:ser>
          <c:idx val="86"/>
          <c:order val="36"/>
          <c:tx>
            <c:strRef>
              <c:f>'Dashboard_Eksposur Kurs'!$Y$54</c:f>
              <c:strCache>
                <c:ptCount val="1"/>
                <c:pt idx="0">
                  <c:v>Karet, Barang dari Karet dan Plastik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Kurs'!$Z$54</c:f>
              <c:numCache>
                <c:formatCode>0.00</c:formatCode>
                <c:ptCount val="1"/>
                <c:pt idx="0">
                  <c:v>16.74841257128919</c:v>
                </c:pt>
              </c:numCache>
            </c:numRef>
          </c:xVal>
          <c:yVal>
            <c:numRef>
              <c:f>'Dashboard_Eksposur Kurs'!$AA$66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AFFF-4913-BC0E-9FA62E6305D7}"/>
            </c:ext>
          </c:extLst>
        </c:ser>
        <c:ser>
          <c:idx val="87"/>
          <c:order val="37"/>
          <c:tx>
            <c:strRef>
              <c:f>'Dashboard_Eksposur Kurs'!$Y$55</c:f>
              <c:strCache>
                <c:ptCount val="1"/>
                <c:pt idx="0">
                  <c:v>Barang Galian Bukan Logam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Kurs'!$Z$55</c:f>
              <c:numCache>
                <c:formatCode>0.00</c:formatCode>
                <c:ptCount val="1"/>
                <c:pt idx="0">
                  <c:v>20.69620253243027</c:v>
                </c:pt>
              </c:numCache>
            </c:numRef>
          </c:xVal>
          <c:yVal>
            <c:numRef>
              <c:f>'Dashboard_Eksposur Kurs'!$AA$55</c:f>
              <c:numCache>
                <c:formatCode>0.00</c:formatCode>
                <c:ptCount val="1"/>
                <c:pt idx="0">
                  <c:v>29.722374719770446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AFFF-4913-BC0E-9FA62E6305D7}"/>
            </c:ext>
          </c:extLst>
        </c:ser>
        <c:ser>
          <c:idx val="88"/>
          <c:order val="38"/>
          <c:tx>
            <c:strRef>
              <c:f>'Dashboard_Eksposur Kurs'!$Y$56</c:f>
              <c:strCache>
                <c:ptCount val="1"/>
                <c:pt idx="0">
                  <c:v>Logam Dasar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Kurs'!$Z$56</c:f>
              <c:numCache>
                <c:formatCode>0.00</c:formatCode>
                <c:ptCount val="1"/>
                <c:pt idx="0">
                  <c:v>38.924375301981293</c:v>
                </c:pt>
              </c:numCache>
            </c:numRef>
          </c:xVal>
          <c:yVal>
            <c:numRef>
              <c:f>'Dashboard_Eksposur Kurs'!$AA$56</c:f>
              <c:numCache>
                <c:formatCode>0.00</c:formatCode>
                <c:ptCount val="1"/>
                <c:pt idx="0">
                  <c:v>47.999677447153836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AFFF-4913-BC0E-9FA62E6305D7}"/>
            </c:ext>
          </c:extLst>
        </c:ser>
        <c:ser>
          <c:idx val="89"/>
          <c:order val="39"/>
          <c:tx>
            <c:strRef>
              <c:f>'Dashboard_Eksposur Kurs'!$Y$57</c:f>
              <c:strCache>
                <c:ptCount val="1"/>
                <c:pt idx="0">
                  <c:v>Barang Logam, Bukan Mesin dan Peralatannya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Kurs'!$Z$57</c:f>
              <c:numCache>
                <c:formatCode>0.00</c:formatCode>
                <c:ptCount val="1"/>
                <c:pt idx="0">
                  <c:v>30.673520143676004</c:v>
                </c:pt>
              </c:numCache>
            </c:numRef>
          </c:xVal>
          <c:yVal>
            <c:numRef>
              <c:f>'Dashboard_Eksposur Kurs'!$AA$57</c:f>
              <c:numCache>
                <c:formatCode>0.00</c:formatCode>
                <c:ptCount val="1"/>
                <c:pt idx="0">
                  <c:v>28.538670507454082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AFFF-4913-BC0E-9FA62E6305D7}"/>
            </c:ext>
          </c:extLst>
        </c:ser>
        <c:ser>
          <c:idx val="90"/>
          <c:order val="40"/>
          <c:tx>
            <c:strRef>
              <c:f>'Dashboard_Eksposur Kurs'!$Y$58</c:f>
              <c:strCache>
                <c:ptCount val="1"/>
                <c:pt idx="0">
                  <c:v>Komputer, Barang Elektronik dan Optik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Kurs'!$Z$58</c:f>
              <c:numCache>
                <c:formatCode>0.00</c:formatCode>
                <c:ptCount val="1"/>
                <c:pt idx="0">
                  <c:v>65.3235450935275</c:v>
                </c:pt>
              </c:numCache>
            </c:numRef>
          </c:xVal>
          <c:yVal>
            <c:numRef>
              <c:f>'Dashboard_Eksposur Kurs'!$AA$58</c:f>
              <c:numCache>
                <c:formatCode>0.00</c:formatCode>
                <c:ptCount val="1"/>
                <c:pt idx="0">
                  <c:v>50.435337494786999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AFFF-4913-BC0E-9FA62E6305D7}"/>
            </c:ext>
          </c:extLst>
        </c:ser>
        <c:ser>
          <c:idx val="91"/>
          <c:order val="41"/>
          <c:tx>
            <c:strRef>
              <c:f>'Dashboard_Eksposur Kurs'!$Y$59</c:f>
              <c:strCache>
                <c:ptCount val="1"/>
                <c:pt idx="0">
                  <c:v>Peralatan Listrik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Kurs'!$Z$59</c:f>
              <c:numCache>
                <c:formatCode>0.00</c:formatCode>
                <c:ptCount val="1"/>
                <c:pt idx="0">
                  <c:v>41.873258296855504</c:v>
                </c:pt>
              </c:numCache>
            </c:numRef>
          </c:xVal>
          <c:yVal>
            <c:numRef>
              <c:f>'Dashboard_Eksposur Kurs'!$AA$59</c:f>
              <c:numCache>
                <c:formatCode>0.00</c:formatCode>
                <c:ptCount val="1"/>
                <c:pt idx="0">
                  <c:v>29.191352937868889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AFFF-4913-BC0E-9FA62E6305D7}"/>
            </c:ext>
          </c:extLst>
        </c:ser>
        <c:ser>
          <c:idx val="92"/>
          <c:order val="42"/>
          <c:tx>
            <c:strRef>
              <c:f>'Dashboard_Eksposur Kurs'!$Y$60</c:f>
              <c:strCache>
                <c:ptCount val="1"/>
                <c:pt idx="0">
                  <c:v>Mesin dan Perlengkapan ytdl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Kurs'!$Z$60</c:f>
              <c:numCache>
                <c:formatCode>0.00</c:formatCode>
                <c:ptCount val="1"/>
                <c:pt idx="0">
                  <c:v>35.180478122187253</c:v>
                </c:pt>
              </c:numCache>
            </c:numRef>
          </c:xVal>
          <c:yVal>
            <c:numRef>
              <c:f>'Dashboard_Eksposur Kurs'!$AA$60</c:f>
              <c:numCache>
                <c:formatCode>0.00</c:formatCode>
                <c:ptCount val="1"/>
                <c:pt idx="0">
                  <c:v>28.846572535723929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AFFF-4913-BC0E-9FA62E6305D7}"/>
            </c:ext>
          </c:extLst>
        </c:ser>
        <c:ser>
          <c:idx val="93"/>
          <c:order val="43"/>
          <c:tx>
            <c:strRef>
              <c:f>'Dashboard_Eksposur Kurs'!$Y$61</c:f>
              <c:strCache>
                <c:ptCount val="1"/>
                <c:pt idx="0">
                  <c:v>Kendaraan Bermotor, Trailer dan Semi Trailer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Kurs'!$Z$61</c:f>
              <c:numCache>
                <c:formatCode>0.00</c:formatCode>
                <c:ptCount val="1"/>
                <c:pt idx="0">
                  <c:v>33.579929275223925</c:v>
                </c:pt>
              </c:numCache>
            </c:numRef>
          </c:xVal>
          <c:yVal>
            <c:numRef>
              <c:f>'Dashboard_Eksposur Kurs'!$AA$61</c:f>
              <c:numCache>
                <c:formatCode>0.00</c:formatCode>
                <c:ptCount val="1"/>
                <c:pt idx="0">
                  <c:v>31.3156424206319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AFFF-4913-BC0E-9FA62E6305D7}"/>
            </c:ext>
          </c:extLst>
        </c:ser>
        <c:ser>
          <c:idx val="94"/>
          <c:order val="44"/>
          <c:tx>
            <c:strRef>
              <c:f>'Dashboard_Eksposur Kurs'!$Y$62</c:f>
              <c:strCache>
                <c:ptCount val="1"/>
                <c:pt idx="0">
                  <c:v>Alat Angkutan Lainnya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Kurs'!$Z$62</c:f>
              <c:numCache>
                <c:formatCode>0.00</c:formatCode>
                <c:ptCount val="1"/>
                <c:pt idx="0">
                  <c:v>29.737096074804636</c:v>
                </c:pt>
              </c:numCache>
            </c:numRef>
          </c:xVal>
          <c:yVal>
            <c:numRef>
              <c:f>'Dashboard_Eksposur Kurs'!$AA$62</c:f>
              <c:numCache>
                <c:formatCode>0.00</c:formatCode>
                <c:ptCount val="1"/>
                <c:pt idx="0">
                  <c:v>32.113344337097963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AFFF-4913-BC0E-9FA62E6305D7}"/>
            </c:ext>
          </c:extLst>
        </c:ser>
        <c:ser>
          <c:idx val="95"/>
          <c:order val="45"/>
          <c:tx>
            <c:strRef>
              <c:f>'Dashboard_Eksposur Kurs'!$Y$63</c:f>
              <c:strCache>
                <c:ptCount val="1"/>
                <c:pt idx="0">
                  <c:v>Furnitur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Kurs'!$Z$63</c:f>
              <c:numCache>
                <c:formatCode>0.00</c:formatCode>
                <c:ptCount val="1"/>
                <c:pt idx="0">
                  <c:v>7.3534437291700341</c:v>
                </c:pt>
              </c:numCache>
            </c:numRef>
          </c:xVal>
          <c:yVal>
            <c:numRef>
              <c:f>'Dashboard_Eksposur Kurs'!$AA$40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AFFF-4913-BC0E-9FA62E6305D7}"/>
            </c:ext>
          </c:extLst>
        </c:ser>
        <c:ser>
          <c:idx val="96"/>
          <c:order val="46"/>
          <c:tx>
            <c:strRef>
              <c:f>'Dashboard_Eksposur Kurs'!$Y$64</c:f>
              <c:strCache>
                <c:ptCount val="1"/>
                <c:pt idx="0">
                  <c:v>Pengolahan Lainnya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Kurs'!$Z$64</c:f>
              <c:numCache>
                <c:formatCode>0.00</c:formatCode>
                <c:ptCount val="1"/>
                <c:pt idx="0">
                  <c:v>54.077972556204358</c:v>
                </c:pt>
              </c:numCache>
            </c:numRef>
          </c:xVal>
          <c:yVal>
            <c:numRef>
              <c:f>'Dashboard_Eksposur Kurs'!$AA$64</c:f>
              <c:numCache>
                <c:formatCode>0.00</c:formatCode>
                <c:ptCount val="1"/>
                <c:pt idx="0">
                  <c:v>70.96773844309601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AFFF-4913-BC0E-9FA62E6305D7}"/>
            </c:ext>
          </c:extLst>
        </c:ser>
        <c:ser>
          <c:idx val="97"/>
          <c:order val="47"/>
          <c:tx>
            <c:strRef>
              <c:f>'Dashboard_Eksposur Kurs'!$Y$65</c:f>
              <c:strCache>
                <c:ptCount val="1"/>
                <c:pt idx="0">
                  <c:v>Reparasi dan Pemasangan Mesin dan Peralatan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Kurs'!$Z$65</c:f>
              <c:numCache>
                <c:formatCode>0.00</c:formatCode>
                <c:ptCount val="1"/>
                <c:pt idx="0">
                  <c:v>36.784252304980654</c:v>
                </c:pt>
              </c:numCache>
            </c:numRef>
          </c:xVal>
          <c:yVal>
            <c:numRef>
              <c:f>'Dashboard_Eksposur Kurs'!$AA$65</c:f>
              <c:numCache>
                <c:formatCode>0.00</c:formatCode>
                <c:ptCount val="1"/>
                <c:pt idx="0">
                  <c:v>3.3333333333333335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AFFF-4913-BC0E-9FA62E6305D7}"/>
            </c:ext>
          </c:extLst>
        </c:ser>
        <c:ser>
          <c:idx val="98"/>
          <c:order val="48"/>
          <c:tx>
            <c:v>Impor</c:v>
          </c:tx>
          <c:spPr>
            <a:ln w="19050">
              <a:noFill/>
            </a:ln>
          </c:spPr>
          <c:xVal>
            <c:numRef>
              <c:f>'Dashboard_Eksposur Kurs'!$AD$45:$AD$46</c:f>
              <c:numCache>
                <c:formatCode>0.00</c:formatCode>
                <c:ptCount val="2"/>
                <c:pt idx="0">
                  <c:v>27.317000559774954</c:v>
                </c:pt>
                <c:pt idx="1">
                  <c:v>27.317000559774954</c:v>
                </c:pt>
              </c:numCache>
            </c:numRef>
          </c:xVal>
          <c:yVal>
            <c:numRef>
              <c:f>'Dashboard_Eksposur Kurs'!$AE$45:$AE$46</c:f>
              <c:numCache>
                <c:formatCode>0.00</c:formatCode>
                <c:ptCount val="2"/>
                <c:pt idx="0">
                  <c:v>0</c:v>
                </c:pt>
                <c:pt idx="1">
                  <c:v>85.600600803403282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AFFF-4913-BC0E-9FA62E6305D7}"/>
            </c:ext>
          </c:extLst>
        </c:ser>
        <c:ser>
          <c:idx val="99"/>
          <c:order val="49"/>
          <c:tx>
            <c:v>Ekspor</c:v>
          </c:tx>
          <c:spPr>
            <a:ln w="19050">
              <a:noFill/>
            </a:ln>
          </c:spPr>
          <c:xVal>
            <c:numRef>
              <c:f>'Dashboard_Eksposur Kurs'!$AD$49:$AD$50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71.855899602880257</c:v>
                </c:pt>
              </c:numCache>
            </c:numRef>
          </c:xVal>
          <c:yVal>
            <c:numRef>
              <c:f>'Dashboard_Eksposur Kurs'!$AE$49:$AE$50</c:f>
              <c:numCache>
                <c:formatCode>0.00</c:formatCode>
                <c:ptCount val="2"/>
                <c:pt idx="0">
                  <c:v>39.456601878176897</c:v>
                </c:pt>
                <c:pt idx="1">
                  <c:v>39.456601878176897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AFFF-4913-BC0E-9FA62E6305D7}"/>
            </c:ext>
          </c:extLst>
        </c:ser>
        <c:ser>
          <c:idx val="25"/>
          <c:order val="50"/>
          <c:tx>
            <c:strRef>
              <c:f>'Dashboard_Eksposur Kurs'!$Y$42</c:f>
              <c:strCache>
                <c:ptCount val="1"/>
                <c:pt idx="0">
                  <c:v>Makanan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Kurs'!$Z$42</c:f>
              <c:numCache>
                <c:formatCode>0.00</c:formatCode>
                <c:ptCount val="1"/>
                <c:pt idx="0">
                  <c:v>10.286594567680474</c:v>
                </c:pt>
              </c:numCache>
            </c:numRef>
          </c:xVal>
          <c:yVal>
            <c:numRef>
              <c:f>'Dashboard_Eksposur Kurs'!$AA$42</c:f>
              <c:numCache>
                <c:formatCode>0.00</c:formatCode>
                <c:ptCount val="1"/>
                <c:pt idx="0">
                  <c:v>57.763515033079017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AFFF-4913-BC0E-9FA62E6305D7}"/>
            </c:ext>
          </c:extLst>
        </c:ser>
        <c:ser>
          <c:idx val="26"/>
          <c:order val="51"/>
          <c:tx>
            <c:strRef>
              <c:f>'Dashboard_Eksposur Kurs'!$Y$43</c:f>
              <c:strCache>
                <c:ptCount val="1"/>
                <c:pt idx="0">
                  <c:v>Minuman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Kurs'!$Z$43</c:f>
              <c:numCache>
                <c:formatCode>0.00</c:formatCode>
                <c:ptCount val="1"/>
                <c:pt idx="0">
                  <c:v>18.341960735669293</c:v>
                </c:pt>
              </c:numCache>
            </c:numRef>
          </c:xVal>
          <c:yVal>
            <c:numRef>
              <c:f>'Dashboard_Eksposur Kurs'!$AA$43</c:f>
              <c:numCache>
                <c:formatCode>0.00</c:formatCode>
                <c:ptCount val="1"/>
                <c:pt idx="0">
                  <c:v>12.082776770613844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AFFF-4913-BC0E-9FA62E6305D7}"/>
            </c:ext>
          </c:extLst>
        </c:ser>
        <c:ser>
          <c:idx val="27"/>
          <c:order val="52"/>
          <c:tx>
            <c:strRef>
              <c:f>'Dashboard_Eksposur Kurs'!$Y$44</c:f>
              <c:strCache>
                <c:ptCount val="1"/>
                <c:pt idx="0">
                  <c:v>Pengolahan Tembakau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Kurs'!$Z$44</c:f>
              <c:numCache>
                <c:formatCode>0.00</c:formatCode>
                <c:ptCount val="1"/>
                <c:pt idx="0">
                  <c:v>5.2597780739413693</c:v>
                </c:pt>
              </c:numCache>
            </c:numRef>
          </c:xVal>
          <c:yVal>
            <c:numRef>
              <c:f>'Dashboard_Eksposur Kurs'!$AA$44</c:f>
              <c:numCache>
                <c:formatCode>0.00</c:formatCode>
                <c:ptCount val="1"/>
                <c:pt idx="0">
                  <c:v>49.946392170674486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AFFF-4913-BC0E-9FA62E6305D7}"/>
            </c:ext>
          </c:extLst>
        </c:ser>
        <c:ser>
          <c:idx val="28"/>
          <c:order val="53"/>
          <c:tx>
            <c:strRef>
              <c:f>'Dashboard_Eksposur Kurs'!$Y$45</c:f>
              <c:strCache>
                <c:ptCount val="1"/>
                <c:pt idx="0">
                  <c:v>Tekstil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Kurs'!$Z$45</c:f>
              <c:numCache>
                <c:formatCode>0.00</c:formatCode>
                <c:ptCount val="1"/>
                <c:pt idx="0">
                  <c:v>26.924796416960699</c:v>
                </c:pt>
              </c:numCache>
            </c:numRef>
          </c:xVal>
          <c:yVal>
            <c:numRef>
              <c:f>'Dashboard_Eksposur Kurs'!$AA$45</c:f>
              <c:numCache>
                <c:formatCode>0.00</c:formatCode>
                <c:ptCount val="1"/>
                <c:pt idx="0">
                  <c:v>40.829237215215286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AFFF-4913-BC0E-9FA62E6305D7}"/>
            </c:ext>
          </c:extLst>
        </c:ser>
        <c:ser>
          <c:idx val="29"/>
          <c:order val="54"/>
          <c:tx>
            <c:strRef>
              <c:f>'Dashboard_Eksposur Kurs'!$Y$46</c:f>
              <c:strCache>
                <c:ptCount val="1"/>
                <c:pt idx="0">
                  <c:v>Pakaian Jadi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Kurs'!$Z$46</c:f>
              <c:numCache>
                <c:formatCode>0.00</c:formatCode>
                <c:ptCount val="1"/>
                <c:pt idx="0">
                  <c:v>40.379094559229671</c:v>
                </c:pt>
              </c:numCache>
            </c:numRef>
          </c:xVal>
          <c:yVal>
            <c:numRef>
              <c:f>'Dashboard_Eksposur Kurs'!$AA$47</c:f>
              <c:numCache>
                <c:formatCode>0.00</c:formatCode>
                <c:ptCount val="1"/>
                <c:pt idx="0">
                  <c:v>43.646983080702526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AFFF-4913-BC0E-9FA62E6305D7}"/>
            </c:ext>
          </c:extLst>
        </c:ser>
        <c:ser>
          <c:idx val="30"/>
          <c:order val="55"/>
          <c:tx>
            <c:strRef>
              <c:f>'Dashboard_Eksposur Kurs'!$Y$48</c:f>
              <c:strCache>
                <c:ptCount val="1"/>
                <c:pt idx="0">
                  <c:v>Kayu, Barang dari Kayu dan Gabus (Tidak Termasuk Furnitur) dan Barang Anyaman dari Bambu, Rotan dan Sejenisnya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Kurs'!$Z$48</c:f>
              <c:numCache>
                <c:formatCode>0.00</c:formatCode>
                <c:ptCount val="1"/>
                <c:pt idx="0">
                  <c:v>6.8987478009938261</c:v>
                </c:pt>
              </c:numCache>
            </c:numRef>
          </c:xVal>
          <c:yVal>
            <c:numRef>
              <c:f>'Dashboard_Eksposur Kurs'!$AA$48</c:f>
              <c:numCache>
                <c:formatCode>0.00</c:formatCode>
                <c:ptCount val="1"/>
                <c:pt idx="0">
                  <c:v>69.815778400619052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AFFF-4913-BC0E-9FA62E6305D7}"/>
            </c:ext>
          </c:extLst>
        </c:ser>
        <c:ser>
          <c:idx val="31"/>
          <c:order val="56"/>
          <c:tx>
            <c:strRef>
              <c:f>'Dashboard_Eksposur Kurs'!$Y$49</c:f>
              <c:strCache>
                <c:ptCount val="1"/>
                <c:pt idx="0">
                  <c:v>Kertas dan Barang dari Kertas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Kurs'!$Z$49</c:f>
              <c:numCache>
                <c:formatCode>0.00</c:formatCode>
                <c:ptCount val="1"/>
                <c:pt idx="0">
                  <c:v>14.748203875864254</c:v>
                </c:pt>
              </c:numCache>
            </c:numRef>
          </c:xVal>
          <c:yVal>
            <c:numRef>
              <c:f>'Dashboard_Eksposur Kurs'!$AA$49</c:f>
              <c:numCache>
                <c:formatCode>0.00</c:formatCode>
                <c:ptCount val="1"/>
                <c:pt idx="0">
                  <c:v>26.222460083614525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FFF-4913-BC0E-9FA62E6305D7}"/>
            </c:ext>
          </c:extLst>
        </c:ser>
        <c:ser>
          <c:idx val="32"/>
          <c:order val="57"/>
          <c:tx>
            <c:strRef>
              <c:f>'Dashboard_Eksposur Kurs'!$Y$50</c:f>
              <c:strCache>
                <c:ptCount val="1"/>
                <c:pt idx="0">
                  <c:v>Pencetakan dan Reproduksi Media Rekaman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Kurs'!$Z$50</c:f>
              <c:numCache>
                <c:formatCode>0.00</c:formatCode>
                <c:ptCount val="1"/>
                <c:pt idx="0">
                  <c:v>8.0606693583710864</c:v>
                </c:pt>
              </c:numCache>
            </c:numRef>
          </c:xVal>
          <c:yVal>
            <c:numRef>
              <c:f>'Dashboard_Eksposur Kurs'!$AA$50</c:f>
              <c:numCache>
                <c:formatCode>0.00</c:formatCode>
                <c:ptCount val="1"/>
                <c:pt idx="0">
                  <c:v>22.251555555555555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FFF-4913-BC0E-9FA62E6305D7}"/>
            </c:ext>
          </c:extLst>
        </c:ser>
        <c:ser>
          <c:idx val="33"/>
          <c:order val="58"/>
          <c:tx>
            <c:strRef>
              <c:f>'Dashboard_Eksposur Kurs'!$Y$51</c:f>
              <c:strCache>
                <c:ptCount val="1"/>
                <c:pt idx="0">
                  <c:v>Produk dari Batu Bara dan Pengilangan Minyak Bumi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Kurs'!$Z$51</c:f>
              <c:numCache>
                <c:formatCode>0.00</c:formatCode>
                <c:ptCount val="1"/>
                <c:pt idx="0">
                  <c:v>11.986768661340957</c:v>
                </c:pt>
              </c:numCache>
            </c:numRef>
          </c:xVal>
          <c:yVal>
            <c:numRef>
              <c:f>'Dashboard_Eksposur Kurs'!$AA$51</c:f>
              <c:numCache>
                <c:formatCode>0.00</c:formatCode>
                <c:ptCount val="1"/>
                <c:pt idx="0">
                  <c:v>38.045789473684209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FFF-4913-BC0E-9FA62E6305D7}"/>
            </c:ext>
          </c:extLst>
        </c:ser>
        <c:ser>
          <c:idx val="34"/>
          <c:order val="59"/>
          <c:tx>
            <c:strRef>
              <c:f>'Dashboard_Eksposur Kurs'!$Y$52</c:f>
              <c:strCache>
                <c:ptCount val="1"/>
                <c:pt idx="0">
                  <c:v>Bahan Kimia dan Barang dari Bahan Kimia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Kurs'!$Z$52</c:f>
              <c:numCache>
                <c:formatCode>0.00</c:formatCode>
                <c:ptCount val="1"/>
                <c:pt idx="0">
                  <c:v>36.000408264268167</c:v>
                </c:pt>
              </c:numCache>
            </c:numRef>
          </c:xVal>
          <c:yVal>
            <c:numRef>
              <c:f>'Dashboard_Eksposur Kurs'!$AA$52</c:f>
              <c:numCache>
                <c:formatCode>0.00</c:formatCode>
                <c:ptCount val="1"/>
                <c:pt idx="0">
                  <c:v>32.896714640024506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FFF-4913-BC0E-9FA62E6305D7}"/>
            </c:ext>
          </c:extLst>
        </c:ser>
        <c:ser>
          <c:idx val="35"/>
          <c:order val="60"/>
          <c:tx>
            <c:strRef>
              <c:f>'Dashboard_Eksposur Kurs'!$Y$53</c:f>
              <c:strCache>
                <c:ptCount val="1"/>
                <c:pt idx="0">
                  <c:v>Farmasi, Produk Obat Kimia dan Obat Tradisional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Kurs'!$Z$53</c:f>
              <c:numCache>
                <c:formatCode>0.00</c:formatCode>
                <c:ptCount val="1"/>
                <c:pt idx="0">
                  <c:v>38.440680547909572</c:v>
                </c:pt>
              </c:numCache>
            </c:numRef>
          </c:xVal>
          <c:yVal>
            <c:numRef>
              <c:f>'Dashboard_Eksposur Kurs'!$AA$53</c:f>
              <c:numCache>
                <c:formatCode>0.00</c:formatCode>
                <c:ptCount val="1"/>
                <c:pt idx="0">
                  <c:v>18.100142006329349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FFF-4913-BC0E-9FA62E6305D7}"/>
            </c:ext>
          </c:extLst>
        </c:ser>
        <c:ser>
          <c:idx val="36"/>
          <c:order val="61"/>
          <c:tx>
            <c:strRef>
              <c:f>'Dashboard_Eksposur Kurs'!$Y$54</c:f>
              <c:strCache>
                <c:ptCount val="1"/>
                <c:pt idx="0">
                  <c:v>Karet, Barang dari Karet dan Plastik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Kurs'!$Z$54</c:f>
              <c:numCache>
                <c:formatCode>0.00</c:formatCode>
                <c:ptCount val="1"/>
                <c:pt idx="0">
                  <c:v>16.74841257128919</c:v>
                </c:pt>
              </c:numCache>
            </c:numRef>
          </c:xVal>
          <c:yVal>
            <c:numRef>
              <c:f>'Dashboard_Eksposur Kurs'!$AA$66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FFF-4913-BC0E-9FA62E6305D7}"/>
            </c:ext>
          </c:extLst>
        </c:ser>
        <c:ser>
          <c:idx val="37"/>
          <c:order val="62"/>
          <c:tx>
            <c:strRef>
              <c:f>'Dashboard_Eksposur Kurs'!$Y$55</c:f>
              <c:strCache>
                <c:ptCount val="1"/>
                <c:pt idx="0">
                  <c:v>Barang Galian Bukan Logam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Kurs'!$Z$55</c:f>
              <c:numCache>
                <c:formatCode>0.00</c:formatCode>
                <c:ptCount val="1"/>
                <c:pt idx="0">
                  <c:v>20.69620253243027</c:v>
                </c:pt>
              </c:numCache>
            </c:numRef>
          </c:xVal>
          <c:yVal>
            <c:numRef>
              <c:f>'Dashboard_Eksposur Kurs'!$AA$55</c:f>
              <c:numCache>
                <c:formatCode>0.00</c:formatCode>
                <c:ptCount val="1"/>
                <c:pt idx="0">
                  <c:v>29.722374719770446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FFF-4913-BC0E-9FA62E6305D7}"/>
            </c:ext>
          </c:extLst>
        </c:ser>
        <c:ser>
          <c:idx val="38"/>
          <c:order val="63"/>
          <c:tx>
            <c:strRef>
              <c:f>'Dashboard_Eksposur Kurs'!$Y$56</c:f>
              <c:strCache>
                <c:ptCount val="1"/>
                <c:pt idx="0">
                  <c:v>Logam Dasar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Kurs'!$Z$56</c:f>
              <c:numCache>
                <c:formatCode>0.00</c:formatCode>
                <c:ptCount val="1"/>
                <c:pt idx="0">
                  <c:v>38.924375301981293</c:v>
                </c:pt>
              </c:numCache>
            </c:numRef>
          </c:xVal>
          <c:yVal>
            <c:numRef>
              <c:f>'Dashboard_Eksposur Kurs'!$AA$56</c:f>
              <c:numCache>
                <c:formatCode>0.00</c:formatCode>
                <c:ptCount val="1"/>
                <c:pt idx="0">
                  <c:v>47.999677447153836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FFF-4913-BC0E-9FA62E6305D7}"/>
            </c:ext>
          </c:extLst>
        </c:ser>
        <c:ser>
          <c:idx val="39"/>
          <c:order val="64"/>
          <c:tx>
            <c:strRef>
              <c:f>'Dashboard_Eksposur Kurs'!$Y$57</c:f>
              <c:strCache>
                <c:ptCount val="1"/>
                <c:pt idx="0">
                  <c:v>Barang Logam, Bukan Mesin dan Peralatannya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Kurs'!$Z$57</c:f>
              <c:numCache>
                <c:formatCode>0.00</c:formatCode>
                <c:ptCount val="1"/>
                <c:pt idx="0">
                  <c:v>30.673520143676004</c:v>
                </c:pt>
              </c:numCache>
            </c:numRef>
          </c:xVal>
          <c:yVal>
            <c:numRef>
              <c:f>'Dashboard_Eksposur Kurs'!$AA$57</c:f>
              <c:numCache>
                <c:formatCode>0.00</c:formatCode>
                <c:ptCount val="1"/>
                <c:pt idx="0">
                  <c:v>28.538670507454082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FFF-4913-BC0E-9FA62E6305D7}"/>
            </c:ext>
          </c:extLst>
        </c:ser>
        <c:ser>
          <c:idx val="40"/>
          <c:order val="65"/>
          <c:tx>
            <c:strRef>
              <c:f>'Dashboard_Eksposur Kurs'!$Y$58</c:f>
              <c:strCache>
                <c:ptCount val="1"/>
                <c:pt idx="0">
                  <c:v>Komputer, Barang Elektronik dan Optik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Kurs'!$Z$58</c:f>
              <c:numCache>
                <c:formatCode>0.00</c:formatCode>
                <c:ptCount val="1"/>
                <c:pt idx="0">
                  <c:v>65.3235450935275</c:v>
                </c:pt>
              </c:numCache>
            </c:numRef>
          </c:xVal>
          <c:yVal>
            <c:numRef>
              <c:f>'Dashboard_Eksposur Kurs'!$AA$58</c:f>
              <c:numCache>
                <c:formatCode>0.00</c:formatCode>
                <c:ptCount val="1"/>
                <c:pt idx="0">
                  <c:v>50.435337494786999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FFF-4913-BC0E-9FA62E6305D7}"/>
            </c:ext>
          </c:extLst>
        </c:ser>
        <c:ser>
          <c:idx val="41"/>
          <c:order val="66"/>
          <c:tx>
            <c:strRef>
              <c:f>'Dashboard_Eksposur Kurs'!$Y$59</c:f>
              <c:strCache>
                <c:ptCount val="1"/>
                <c:pt idx="0">
                  <c:v>Peralatan Listrik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Kurs'!$Z$59</c:f>
              <c:numCache>
                <c:formatCode>0.00</c:formatCode>
                <c:ptCount val="1"/>
                <c:pt idx="0">
                  <c:v>41.873258296855504</c:v>
                </c:pt>
              </c:numCache>
            </c:numRef>
          </c:xVal>
          <c:yVal>
            <c:numRef>
              <c:f>'Dashboard_Eksposur Kurs'!$AA$59</c:f>
              <c:numCache>
                <c:formatCode>0.00</c:formatCode>
                <c:ptCount val="1"/>
                <c:pt idx="0">
                  <c:v>29.191352937868889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FFF-4913-BC0E-9FA62E6305D7}"/>
            </c:ext>
          </c:extLst>
        </c:ser>
        <c:ser>
          <c:idx val="42"/>
          <c:order val="67"/>
          <c:tx>
            <c:strRef>
              <c:f>'Dashboard_Eksposur Kurs'!$Y$60</c:f>
              <c:strCache>
                <c:ptCount val="1"/>
                <c:pt idx="0">
                  <c:v>Mesin dan Perlengkapan ytdl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Kurs'!$Z$60</c:f>
              <c:numCache>
                <c:formatCode>0.00</c:formatCode>
                <c:ptCount val="1"/>
                <c:pt idx="0">
                  <c:v>35.180478122187253</c:v>
                </c:pt>
              </c:numCache>
            </c:numRef>
          </c:xVal>
          <c:yVal>
            <c:numRef>
              <c:f>'Dashboard_Eksposur Kurs'!$AA$60</c:f>
              <c:numCache>
                <c:formatCode>0.00</c:formatCode>
                <c:ptCount val="1"/>
                <c:pt idx="0">
                  <c:v>28.846572535723929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FFF-4913-BC0E-9FA62E6305D7}"/>
            </c:ext>
          </c:extLst>
        </c:ser>
        <c:ser>
          <c:idx val="43"/>
          <c:order val="68"/>
          <c:tx>
            <c:strRef>
              <c:f>'Dashboard_Eksposur Kurs'!$Y$61</c:f>
              <c:strCache>
                <c:ptCount val="1"/>
                <c:pt idx="0">
                  <c:v>Kendaraan Bermotor, Trailer dan Semi Trailer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Kurs'!$Z$61</c:f>
              <c:numCache>
                <c:formatCode>0.00</c:formatCode>
                <c:ptCount val="1"/>
                <c:pt idx="0">
                  <c:v>33.579929275223925</c:v>
                </c:pt>
              </c:numCache>
            </c:numRef>
          </c:xVal>
          <c:yVal>
            <c:numRef>
              <c:f>'Dashboard_Eksposur Kurs'!$AA$61</c:f>
              <c:numCache>
                <c:formatCode>0.00</c:formatCode>
                <c:ptCount val="1"/>
                <c:pt idx="0">
                  <c:v>31.3156424206319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FFF-4913-BC0E-9FA62E6305D7}"/>
            </c:ext>
          </c:extLst>
        </c:ser>
        <c:ser>
          <c:idx val="44"/>
          <c:order val="69"/>
          <c:tx>
            <c:strRef>
              <c:f>'Dashboard_Eksposur Kurs'!$Y$62</c:f>
              <c:strCache>
                <c:ptCount val="1"/>
                <c:pt idx="0">
                  <c:v>Alat Angkutan Lainnya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Kurs'!$Z$62</c:f>
              <c:numCache>
                <c:formatCode>0.00</c:formatCode>
                <c:ptCount val="1"/>
                <c:pt idx="0">
                  <c:v>29.737096074804636</c:v>
                </c:pt>
              </c:numCache>
            </c:numRef>
          </c:xVal>
          <c:yVal>
            <c:numRef>
              <c:f>'Dashboard_Eksposur Kurs'!$AA$62</c:f>
              <c:numCache>
                <c:formatCode>0.00</c:formatCode>
                <c:ptCount val="1"/>
                <c:pt idx="0">
                  <c:v>32.113344337097963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FFF-4913-BC0E-9FA62E6305D7}"/>
            </c:ext>
          </c:extLst>
        </c:ser>
        <c:ser>
          <c:idx val="45"/>
          <c:order val="70"/>
          <c:tx>
            <c:strRef>
              <c:f>'Dashboard_Eksposur Kurs'!$Y$63</c:f>
              <c:strCache>
                <c:ptCount val="1"/>
                <c:pt idx="0">
                  <c:v>Furnitur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Kurs'!$Z$63</c:f>
              <c:numCache>
                <c:formatCode>0.00</c:formatCode>
                <c:ptCount val="1"/>
                <c:pt idx="0">
                  <c:v>7.3534437291700341</c:v>
                </c:pt>
              </c:numCache>
            </c:numRef>
          </c:xVal>
          <c:yVal>
            <c:numRef>
              <c:f>'Dashboard_Eksposur Kurs'!$AA$40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FFF-4913-BC0E-9FA62E6305D7}"/>
            </c:ext>
          </c:extLst>
        </c:ser>
        <c:ser>
          <c:idx val="46"/>
          <c:order val="71"/>
          <c:tx>
            <c:strRef>
              <c:f>'Dashboard_Eksposur Kurs'!$Y$64</c:f>
              <c:strCache>
                <c:ptCount val="1"/>
                <c:pt idx="0">
                  <c:v>Pengolahan Lainnya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Kurs'!$Z$64</c:f>
              <c:numCache>
                <c:formatCode>0.00</c:formatCode>
                <c:ptCount val="1"/>
                <c:pt idx="0">
                  <c:v>54.077972556204358</c:v>
                </c:pt>
              </c:numCache>
            </c:numRef>
          </c:xVal>
          <c:yVal>
            <c:numRef>
              <c:f>'Dashboard_Eksposur Kurs'!$AA$64</c:f>
              <c:numCache>
                <c:formatCode>0.00</c:formatCode>
                <c:ptCount val="1"/>
                <c:pt idx="0">
                  <c:v>70.96773844309601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FFF-4913-BC0E-9FA62E6305D7}"/>
            </c:ext>
          </c:extLst>
        </c:ser>
        <c:ser>
          <c:idx val="47"/>
          <c:order val="72"/>
          <c:tx>
            <c:strRef>
              <c:f>'Dashboard_Eksposur Kurs'!$Y$65</c:f>
              <c:strCache>
                <c:ptCount val="1"/>
                <c:pt idx="0">
                  <c:v>Reparasi dan Pemasangan Mesin dan Peralatan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Kurs'!$Z$65</c:f>
              <c:numCache>
                <c:formatCode>0.00</c:formatCode>
                <c:ptCount val="1"/>
                <c:pt idx="0">
                  <c:v>36.784252304980654</c:v>
                </c:pt>
              </c:numCache>
            </c:numRef>
          </c:xVal>
          <c:yVal>
            <c:numRef>
              <c:f>'Dashboard_Eksposur Kurs'!$AA$65</c:f>
              <c:numCache>
                <c:formatCode>0.00</c:formatCode>
                <c:ptCount val="1"/>
                <c:pt idx="0">
                  <c:v>3.3333333333333335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FFF-4913-BC0E-9FA62E6305D7}"/>
            </c:ext>
          </c:extLst>
        </c:ser>
        <c:ser>
          <c:idx val="48"/>
          <c:order val="73"/>
          <c:tx>
            <c:v>Impor</c:v>
          </c:tx>
          <c:spPr>
            <a:ln w="19050">
              <a:noFill/>
            </a:ln>
          </c:spPr>
          <c:xVal>
            <c:numRef>
              <c:f>'Dashboard_Eksposur Kurs'!$AD$45:$AD$46</c:f>
              <c:numCache>
                <c:formatCode>0.00</c:formatCode>
                <c:ptCount val="2"/>
                <c:pt idx="0">
                  <c:v>27.317000559774954</c:v>
                </c:pt>
                <c:pt idx="1">
                  <c:v>27.317000559774954</c:v>
                </c:pt>
              </c:numCache>
            </c:numRef>
          </c:xVal>
          <c:yVal>
            <c:numRef>
              <c:f>'Dashboard_Eksposur Kurs'!$AE$45:$AE$46</c:f>
              <c:numCache>
                <c:formatCode>0.00</c:formatCode>
                <c:ptCount val="2"/>
                <c:pt idx="0">
                  <c:v>0</c:v>
                </c:pt>
                <c:pt idx="1">
                  <c:v>85.600600803403282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FFF-4913-BC0E-9FA62E6305D7}"/>
            </c:ext>
          </c:extLst>
        </c:ser>
        <c:ser>
          <c:idx val="49"/>
          <c:order val="74"/>
          <c:tx>
            <c:v>Ekspor</c:v>
          </c:tx>
          <c:spPr>
            <a:ln w="19050">
              <a:noFill/>
            </a:ln>
          </c:spPr>
          <c:xVal>
            <c:numRef>
              <c:f>'Dashboard_Eksposur Kurs'!$AD$49:$AD$50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71.855899602880257</c:v>
                </c:pt>
              </c:numCache>
            </c:numRef>
          </c:xVal>
          <c:yVal>
            <c:numRef>
              <c:f>'Dashboard_Eksposur Kurs'!$AE$49:$AE$50</c:f>
              <c:numCache>
                <c:formatCode>0.00</c:formatCode>
                <c:ptCount val="2"/>
                <c:pt idx="0">
                  <c:v>39.456601878176897</c:v>
                </c:pt>
                <c:pt idx="1">
                  <c:v>39.456601878176897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FFF-4913-BC0E-9FA62E6305D7}"/>
            </c:ext>
          </c:extLst>
        </c:ser>
        <c:ser>
          <c:idx val="0"/>
          <c:order val="75"/>
          <c:tx>
            <c:strRef>
              <c:f>'Dashboard_Eksposur Kurs'!$Y$42</c:f>
              <c:strCache>
                <c:ptCount val="1"/>
                <c:pt idx="0">
                  <c:v>Makanan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Kurs'!$Z$42</c:f>
              <c:numCache>
                <c:formatCode>0.00</c:formatCode>
                <c:ptCount val="1"/>
                <c:pt idx="0">
                  <c:v>10.286594567680474</c:v>
                </c:pt>
              </c:numCache>
            </c:numRef>
          </c:xVal>
          <c:yVal>
            <c:numRef>
              <c:f>'Dashboard_Eksposur Kurs'!$AA$42</c:f>
              <c:numCache>
                <c:formatCode>0.00</c:formatCode>
                <c:ptCount val="1"/>
                <c:pt idx="0">
                  <c:v>57.763515033079017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B-AFFF-4913-BC0E-9FA62E6305D7}"/>
            </c:ext>
          </c:extLst>
        </c:ser>
        <c:ser>
          <c:idx val="1"/>
          <c:order val="76"/>
          <c:tx>
            <c:strRef>
              <c:f>'Dashboard_Eksposur Kurs'!$Y$43</c:f>
              <c:strCache>
                <c:ptCount val="1"/>
                <c:pt idx="0">
                  <c:v>Minuman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Kurs'!$Z$43</c:f>
              <c:numCache>
                <c:formatCode>0.00</c:formatCode>
                <c:ptCount val="1"/>
                <c:pt idx="0">
                  <c:v>18.341960735669293</c:v>
                </c:pt>
              </c:numCache>
            </c:numRef>
          </c:xVal>
          <c:yVal>
            <c:numRef>
              <c:f>'Dashboard_Eksposur Kurs'!$AA$43</c:f>
              <c:numCache>
                <c:formatCode>0.00</c:formatCode>
                <c:ptCount val="1"/>
                <c:pt idx="0">
                  <c:v>12.082776770613844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C-AFFF-4913-BC0E-9FA62E6305D7}"/>
            </c:ext>
          </c:extLst>
        </c:ser>
        <c:ser>
          <c:idx val="2"/>
          <c:order val="77"/>
          <c:tx>
            <c:strRef>
              <c:f>'Dashboard_Eksposur Kurs'!$Y$44</c:f>
              <c:strCache>
                <c:ptCount val="1"/>
                <c:pt idx="0">
                  <c:v>Pengolahan Tembakau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Kurs'!$Z$44</c:f>
              <c:numCache>
                <c:formatCode>0.00</c:formatCode>
                <c:ptCount val="1"/>
                <c:pt idx="0">
                  <c:v>5.2597780739413693</c:v>
                </c:pt>
              </c:numCache>
            </c:numRef>
          </c:xVal>
          <c:yVal>
            <c:numRef>
              <c:f>'Dashboard_Eksposur Kurs'!$AA$44</c:f>
              <c:numCache>
                <c:formatCode>0.00</c:formatCode>
                <c:ptCount val="1"/>
                <c:pt idx="0">
                  <c:v>49.946392170674486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D-AFFF-4913-BC0E-9FA62E6305D7}"/>
            </c:ext>
          </c:extLst>
        </c:ser>
        <c:ser>
          <c:idx val="3"/>
          <c:order val="78"/>
          <c:tx>
            <c:strRef>
              <c:f>'Dashboard_Eksposur Kurs'!$Y$45</c:f>
              <c:strCache>
                <c:ptCount val="1"/>
                <c:pt idx="0">
                  <c:v>Tekstil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Kurs'!$Z$45</c:f>
              <c:numCache>
                <c:formatCode>0.00</c:formatCode>
                <c:ptCount val="1"/>
                <c:pt idx="0">
                  <c:v>26.924796416960699</c:v>
                </c:pt>
              </c:numCache>
            </c:numRef>
          </c:xVal>
          <c:yVal>
            <c:numRef>
              <c:f>'Dashboard_Eksposur Kurs'!$AA$45</c:f>
              <c:numCache>
                <c:formatCode>0.00</c:formatCode>
                <c:ptCount val="1"/>
                <c:pt idx="0">
                  <c:v>40.829237215215286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E-AFFF-4913-BC0E-9FA62E6305D7}"/>
            </c:ext>
          </c:extLst>
        </c:ser>
        <c:ser>
          <c:idx val="4"/>
          <c:order val="79"/>
          <c:tx>
            <c:strRef>
              <c:f>'Dashboard_Eksposur Kurs'!$Y$46</c:f>
              <c:strCache>
                <c:ptCount val="1"/>
                <c:pt idx="0">
                  <c:v>Pakaian Jadi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Kurs'!$Z$46</c:f>
              <c:numCache>
                <c:formatCode>0.00</c:formatCode>
                <c:ptCount val="1"/>
                <c:pt idx="0">
                  <c:v>40.379094559229671</c:v>
                </c:pt>
              </c:numCache>
            </c:numRef>
          </c:xVal>
          <c:yVal>
            <c:numRef>
              <c:f>'Dashboard_Eksposur Kurs'!$AA$47</c:f>
              <c:numCache>
                <c:formatCode>0.00</c:formatCode>
                <c:ptCount val="1"/>
                <c:pt idx="0">
                  <c:v>43.646983080702526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F-AFFF-4913-BC0E-9FA62E6305D7}"/>
            </c:ext>
          </c:extLst>
        </c:ser>
        <c:ser>
          <c:idx val="5"/>
          <c:order val="80"/>
          <c:tx>
            <c:strRef>
              <c:f>'Dashboard_Eksposur Kurs'!$Y$48</c:f>
              <c:strCache>
                <c:ptCount val="1"/>
                <c:pt idx="0">
                  <c:v>Kayu, Barang dari Kayu dan Gabus (Tidak Termasuk Furnitur) dan Barang Anyaman dari Bambu, Rotan dan Sejenisnya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Kurs'!$Z$48</c:f>
              <c:numCache>
                <c:formatCode>0.00</c:formatCode>
                <c:ptCount val="1"/>
                <c:pt idx="0">
                  <c:v>6.8987478009938261</c:v>
                </c:pt>
              </c:numCache>
            </c:numRef>
          </c:xVal>
          <c:yVal>
            <c:numRef>
              <c:f>'Dashboard_Eksposur Kurs'!$AA$48</c:f>
              <c:numCache>
                <c:formatCode>0.00</c:formatCode>
                <c:ptCount val="1"/>
                <c:pt idx="0">
                  <c:v>69.815778400619052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0-AFFF-4913-BC0E-9FA62E6305D7}"/>
            </c:ext>
          </c:extLst>
        </c:ser>
        <c:ser>
          <c:idx val="6"/>
          <c:order val="81"/>
          <c:tx>
            <c:strRef>
              <c:f>'Dashboard_Eksposur Kurs'!$Y$49</c:f>
              <c:strCache>
                <c:ptCount val="1"/>
                <c:pt idx="0">
                  <c:v>Kertas dan Barang dari Kertas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Kurs'!$Z$49</c:f>
              <c:numCache>
                <c:formatCode>0.00</c:formatCode>
                <c:ptCount val="1"/>
                <c:pt idx="0">
                  <c:v>14.748203875864254</c:v>
                </c:pt>
              </c:numCache>
            </c:numRef>
          </c:xVal>
          <c:yVal>
            <c:numRef>
              <c:f>'Dashboard_Eksposur Kurs'!$AA$49</c:f>
              <c:numCache>
                <c:formatCode>0.00</c:formatCode>
                <c:ptCount val="1"/>
                <c:pt idx="0">
                  <c:v>26.222460083614525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1-AFFF-4913-BC0E-9FA62E6305D7}"/>
            </c:ext>
          </c:extLst>
        </c:ser>
        <c:ser>
          <c:idx val="7"/>
          <c:order val="82"/>
          <c:tx>
            <c:strRef>
              <c:f>'Dashboard_Eksposur Kurs'!$Y$50</c:f>
              <c:strCache>
                <c:ptCount val="1"/>
                <c:pt idx="0">
                  <c:v>Pencetakan dan Reproduksi Media Rekaman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Kurs'!$Z$50</c:f>
              <c:numCache>
                <c:formatCode>0.00</c:formatCode>
                <c:ptCount val="1"/>
                <c:pt idx="0">
                  <c:v>8.0606693583710864</c:v>
                </c:pt>
              </c:numCache>
            </c:numRef>
          </c:xVal>
          <c:yVal>
            <c:numRef>
              <c:f>'Dashboard_Eksposur Kurs'!$AA$50</c:f>
              <c:numCache>
                <c:formatCode>0.00</c:formatCode>
                <c:ptCount val="1"/>
                <c:pt idx="0">
                  <c:v>22.251555555555555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2-AFFF-4913-BC0E-9FA62E6305D7}"/>
            </c:ext>
          </c:extLst>
        </c:ser>
        <c:ser>
          <c:idx val="8"/>
          <c:order val="83"/>
          <c:tx>
            <c:strRef>
              <c:f>'Dashboard_Eksposur Kurs'!$Y$51</c:f>
              <c:strCache>
                <c:ptCount val="1"/>
                <c:pt idx="0">
                  <c:v>Produk dari Batu Bara dan Pengilangan Minyak Bumi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Kurs'!$Z$51</c:f>
              <c:numCache>
                <c:formatCode>0.00</c:formatCode>
                <c:ptCount val="1"/>
                <c:pt idx="0">
                  <c:v>11.986768661340957</c:v>
                </c:pt>
              </c:numCache>
            </c:numRef>
          </c:xVal>
          <c:yVal>
            <c:numRef>
              <c:f>'Dashboard_Eksposur Kurs'!$AA$51</c:f>
              <c:numCache>
                <c:formatCode>0.00</c:formatCode>
                <c:ptCount val="1"/>
                <c:pt idx="0">
                  <c:v>38.045789473684209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3-AFFF-4913-BC0E-9FA62E6305D7}"/>
            </c:ext>
          </c:extLst>
        </c:ser>
        <c:ser>
          <c:idx val="9"/>
          <c:order val="84"/>
          <c:tx>
            <c:strRef>
              <c:f>'Dashboard_Eksposur Kurs'!$Y$52</c:f>
              <c:strCache>
                <c:ptCount val="1"/>
                <c:pt idx="0">
                  <c:v>Bahan Kimia dan Barang dari Bahan Kimia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Kurs'!$Z$52</c:f>
              <c:numCache>
                <c:formatCode>0.00</c:formatCode>
                <c:ptCount val="1"/>
                <c:pt idx="0">
                  <c:v>36.000408264268167</c:v>
                </c:pt>
              </c:numCache>
            </c:numRef>
          </c:xVal>
          <c:yVal>
            <c:numRef>
              <c:f>'Dashboard_Eksposur Kurs'!$AA$52</c:f>
              <c:numCache>
                <c:formatCode>0.00</c:formatCode>
                <c:ptCount val="1"/>
                <c:pt idx="0">
                  <c:v>32.896714640024506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4-AFFF-4913-BC0E-9FA62E6305D7}"/>
            </c:ext>
          </c:extLst>
        </c:ser>
        <c:ser>
          <c:idx val="10"/>
          <c:order val="85"/>
          <c:tx>
            <c:strRef>
              <c:f>'Dashboard_Eksposur Kurs'!$Y$53</c:f>
              <c:strCache>
                <c:ptCount val="1"/>
                <c:pt idx="0">
                  <c:v>Farmasi, Produk Obat Kimia dan Obat Tradisional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Kurs'!$Z$53</c:f>
              <c:numCache>
                <c:formatCode>0.00</c:formatCode>
                <c:ptCount val="1"/>
                <c:pt idx="0">
                  <c:v>38.440680547909572</c:v>
                </c:pt>
              </c:numCache>
            </c:numRef>
          </c:xVal>
          <c:yVal>
            <c:numRef>
              <c:f>'Dashboard_Eksposur Kurs'!$AA$53</c:f>
              <c:numCache>
                <c:formatCode>0.00</c:formatCode>
                <c:ptCount val="1"/>
                <c:pt idx="0">
                  <c:v>18.100142006329349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5-AFFF-4913-BC0E-9FA62E6305D7}"/>
            </c:ext>
          </c:extLst>
        </c:ser>
        <c:ser>
          <c:idx val="11"/>
          <c:order val="86"/>
          <c:tx>
            <c:strRef>
              <c:f>'Dashboard_Eksposur Kurs'!$Y$54</c:f>
              <c:strCache>
                <c:ptCount val="1"/>
                <c:pt idx="0">
                  <c:v>Karet, Barang dari Karet dan Plastik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Kurs'!$Z$54</c:f>
              <c:numCache>
                <c:formatCode>0.00</c:formatCode>
                <c:ptCount val="1"/>
                <c:pt idx="0">
                  <c:v>16.74841257128919</c:v>
                </c:pt>
              </c:numCache>
            </c:numRef>
          </c:xVal>
          <c:yVal>
            <c:numRef>
              <c:f>'Dashboard_Eksposur Kurs'!$AA$66</c:f>
              <c:numCache>
                <c:formatCode>General</c:formatCode>
                <c:ptCount val="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6-AFFF-4913-BC0E-9FA62E6305D7}"/>
            </c:ext>
          </c:extLst>
        </c:ser>
        <c:ser>
          <c:idx val="12"/>
          <c:order val="87"/>
          <c:tx>
            <c:strRef>
              <c:f>'Dashboard_Eksposur Kurs'!$Y$55</c:f>
              <c:strCache>
                <c:ptCount val="1"/>
                <c:pt idx="0">
                  <c:v>Barang Galian Bukan Logam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Kurs'!$Z$55</c:f>
              <c:numCache>
                <c:formatCode>0.00</c:formatCode>
                <c:ptCount val="1"/>
                <c:pt idx="0">
                  <c:v>20.69620253243027</c:v>
                </c:pt>
              </c:numCache>
            </c:numRef>
          </c:xVal>
          <c:yVal>
            <c:numRef>
              <c:f>'Dashboard_Eksposur Kurs'!$AA$55</c:f>
              <c:numCache>
                <c:formatCode>0.00</c:formatCode>
                <c:ptCount val="1"/>
                <c:pt idx="0">
                  <c:v>29.722374719770446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7-AFFF-4913-BC0E-9FA62E6305D7}"/>
            </c:ext>
          </c:extLst>
        </c:ser>
        <c:ser>
          <c:idx val="13"/>
          <c:order val="88"/>
          <c:tx>
            <c:strRef>
              <c:f>'Dashboard_Eksposur Kurs'!$Y$56</c:f>
              <c:strCache>
                <c:ptCount val="1"/>
                <c:pt idx="0">
                  <c:v>Logam Dasar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Kurs'!$Z$56</c:f>
              <c:numCache>
                <c:formatCode>0.00</c:formatCode>
                <c:ptCount val="1"/>
                <c:pt idx="0">
                  <c:v>38.924375301981293</c:v>
                </c:pt>
              </c:numCache>
            </c:numRef>
          </c:xVal>
          <c:yVal>
            <c:numRef>
              <c:f>'Dashboard_Eksposur Kurs'!$AA$56</c:f>
              <c:numCache>
                <c:formatCode>0.00</c:formatCode>
                <c:ptCount val="1"/>
                <c:pt idx="0">
                  <c:v>47.999677447153836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8-AFFF-4913-BC0E-9FA62E6305D7}"/>
            </c:ext>
          </c:extLst>
        </c:ser>
        <c:ser>
          <c:idx val="14"/>
          <c:order val="89"/>
          <c:tx>
            <c:strRef>
              <c:f>'Dashboard_Eksposur Kurs'!$Y$57</c:f>
              <c:strCache>
                <c:ptCount val="1"/>
                <c:pt idx="0">
                  <c:v>Barang Logam, Bukan Mesin dan Peralatannya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Kurs'!$Z$57</c:f>
              <c:numCache>
                <c:formatCode>0.00</c:formatCode>
                <c:ptCount val="1"/>
                <c:pt idx="0">
                  <c:v>30.673520143676004</c:v>
                </c:pt>
              </c:numCache>
            </c:numRef>
          </c:xVal>
          <c:yVal>
            <c:numRef>
              <c:f>'Dashboard_Eksposur Kurs'!$AA$57</c:f>
              <c:numCache>
                <c:formatCode>0.00</c:formatCode>
                <c:ptCount val="1"/>
                <c:pt idx="0">
                  <c:v>28.538670507454082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9-AFFF-4913-BC0E-9FA62E6305D7}"/>
            </c:ext>
          </c:extLst>
        </c:ser>
        <c:ser>
          <c:idx val="15"/>
          <c:order val="90"/>
          <c:tx>
            <c:strRef>
              <c:f>'Dashboard_Eksposur Kurs'!$Y$58</c:f>
              <c:strCache>
                <c:ptCount val="1"/>
                <c:pt idx="0">
                  <c:v>Komputer, Barang Elektronik dan Optik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Kurs'!$Z$58</c:f>
              <c:numCache>
                <c:formatCode>0.00</c:formatCode>
                <c:ptCount val="1"/>
                <c:pt idx="0">
                  <c:v>65.3235450935275</c:v>
                </c:pt>
              </c:numCache>
            </c:numRef>
          </c:xVal>
          <c:yVal>
            <c:numRef>
              <c:f>'Dashboard_Eksposur Kurs'!$AA$58</c:f>
              <c:numCache>
                <c:formatCode>0.00</c:formatCode>
                <c:ptCount val="1"/>
                <c:pt idx="0">
                  <c:v>50.435337494786999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A-AFFF-4913-BC0E-9FA62E6305D7}"/>
            </c:ext>
          </c:extLst>
        </c:ser>
        <c:ser>
          <c:idx val="16"/>
          <c:order val="91"/>
          <c:tx>
            <c:strRef>
              <c:f>'Dashboard_Eksposur Kurs'!$Y$59</c:f>
              <c:strCache>
                <c:ptCount val="1"/>
                <c:pt idx="0">
                  <c:v>Peralatan Listrik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Kurs'!$Z$59</c:f>
              <c:numCache>
                <c:formatCode>0.00</c:formatCode>
                <c:ptCount val="1"/>
                <c:pt idx="0">
                  <c:v>41.873258296855504</c:v>
                </c:pt>
              </c:numCache>
            </c:numRef>
          </c:xVal>
          <c:yVal>
            <c:numRef>
              <c:f>'Dashboard_Eksposur Kurs'!$AA$59</c:f>
              <c:numCache>
                <c:formatCode>0.00</c:formatCode>
                <c:ptCount val="1"/>
                <c:pt idx="0">
                  <c:v>29.191352937868889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B-AFFF-4913-BC0E-9FA62E6305D7}"/>
            </c:ext>
          </c:extLst>
        </c:ser>
        <c:ser>
          <c:idx val="17"/>
          <c:order val="92"/>
          <c:tx>
            <c:strRef>
              <c:f>'Dashboard_Eksposur Kurs'!$Y$60</c:f>
              <c:strCache>
                <c:ptCount val="1"/>
                <c:pt idx="0">
                  <c:v>Mesin dan Perlengkapan ytdl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Kurs'!$Z$60</c:f>
              <c:numCache>
                <c:formatCode>0.00</c:formatCode>
                <c:ptCount val="1"/>
                <c:pt idx="0">
                  <c:v>35.180478122187253</c:v>
                </c:pt>
              </c:numCache>
            </c:numRef>
          </c:xVal>
          <c:yVal>
            <c:numRef>
              <c:f>'Dashboard_Eksposur Kurs'!$AA$60</c:f>
              <c:numCache>
                <c:formatCode>0.00</c:formatCode>
                <c:ptCount val="1"/>
                <c:pt idx="0">
                  <c:v>28.846572535723929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C-AFFF-4913-BC0E-9FA62E6305D7}"/>
            </c:ext>
          </c:extLst>
        </c:ser>
        <c:ser>
          <c:idx val="18"/>
          <c:order val="93"/>
          <c:tx>
            <c:strRef>
              <c:f>'Dashboard_Eksposur Kurs'!$Y$61</c:f>
              <c:strCache>
                <c:ptCount val="1"/>
                <c:pt idx="0">
                  <c:v>Kendaraan Bermotor, Trailer dan Semi Trailer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Kurs'!$Z$61</c:f>
              <c:numCache>
                <c:formatCode>0.00</c:formatCode>
                <c:ptCount val="1"/>
                <c:pt idx="0">
                  <c:v>33.579929275223925</c:v>
                </c:pt>
              </c:numCache>
            </c:numRef>
          </c:xVal>
          <c:yVal>
            <c:numRef>
              <c:f>'Dashboard_Eksposur Kurs'!$AA$61</c:f>
              <c:numCache>
                <c:formatCode>0.00</c:formatCode>
                <c:ptCount val="1"/>
                <c:pt idx="0">
                  <c:v>31.3156424206319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D-AFFF-4913-BC0E-9FA62E6305D7}"/>
            </c:ext>
          </c:extLst>
        </c:ser>
        <c:ser>
          <c:idx val="19"/>
          <c:order val="94"/>
          <c:tx>
            <c:strRef>
              <c:f>'Dashboard_Eksposur Kurs'!$Y$62</c:f>
              <c:strCache>
                <c:ptCount val="1"/>
                <c:pt idx="0">
                  <c:v>Alat Angkutan Lainnya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Kurs'!$Z$62</c:f>
              <c:numCache>
                <c:formatCode>0.00</c:formatCode>
                <c:ptCount val="1"/>
                <c:pt idx="0">
                  <c:v>29.737096074804636</c:v>
                </c:pt>
              </c:numCache>
            </c:numRef>
          </c:xVal>
          <c:yVal>
            <c:numRef>
              <c:f>'Dashboard_Eksposur Kurs'!$AA$62</c:f>
              <c:numCache>
                <c:formatCode>0.00</c:formatCode>
                <c:ptCount val="1"/>
                <c:pt idx="0">
                  <c:v>32.113344337097963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E-AFFF-4913-BC0E-9FA62E6305D7}"/>
            </c:ext>
          </c:extLst>
        </c:ser>
        <c:ser>
          <c:idx val="20"/>
          <c:order val="95"/>
          <c:tx>
            <c:strRef>
              <c:f>'Dashboard_Eksposur Kurs'!$Y$63</c:f>
              <c:strCache>
                <c:ptCount val="1"/>
                <c:pt idx="0">
                  <c:v>Furnitur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Kurs'!$Z$63</c:f>
              <c:numCache>
                <c:formatCode>0.00</c:formatCode>
                <c:ptCount val="1"/>
                <c:pt idx="0">
                  <c:v>7.3534437291700341</c:v>
                </c:pt>
              </c:numCache>
            </c:numRef>
          </c:xVal>
          <c:yVal>
            <c:numRef>
              <c:f>'Dashboard_Eksposur Kurs'!$AA$40</c:f>
              <c:numCache>
                <c:formatCode>General</c:formatCode>
                <c:ptCount val="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F-AFFF-4913-BC0E-9FA62E6305D7}"/>
            </c:ext>
          </c:extLst>
        </c:ser>
        <c:ser>
          <c:idx val="21"/>
          <c:order val="96"/>
          <c:tx>
            <c:strRef>
              <c:f>'Dashboard_Eksposur Kurs'!$Y$64</c:f>
              <c:strCache>
                <c:ptCount val="1"/>
                <c:pt idx="0">
                  <c:v>Pengolahan Lainnya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Kurs'!$Z$64</c:f>
              <c:numCache>
                <c:formatCode>0.00</c:formatCode>
                <c:ptCount val="1"/>
                <c:pt idx="0">
                  <c:v>54.077972556204358</c:v>
                </c:pt>
              </c:numCache>
            </c:numRef>
          </c:xVal>
          <c:yVal>
            <c:numRef>
              <c:f>'Dashboard_Eksposur Kurs'!$AA$64</c:f>
              <c:numCache>
                <c:formatCode>0.00</c:formatCode>
                <c:ptCount val="1"/>
                <c:pt idx="0">
                  <c:v>70.96773844309601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0-AFFF-4913-BC0E-9FA62E6305D7}"/>
            </c:ext>
          </c:extLst>
        </c:ser>
        <c:ser>
          <c:idx val="22"/>
          <c:order val="97"/>
          <c:tx>
            <c:strRef>
              <c:f>'Dashboard_Eksposur Kurs'!$Y$65</c:f>
              <c:strCache>
                <c:ptCount val="1"/>
                <c:pt idx="0">
                  <c:v>Reparasi dan Pemasangan Mesin dan Peralatan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Kurs'!$Z$65</c:f>
              <c:numCache>
                <c:formatCode>0.00</c:formatCode>
                <c:ptCount val="1"/>
                <c:pt idx="0">
                  <c:v>36.784252304980654</c:v>
                </c:pt>
              </c:numCache>
            </c:numRef>
          </c:xVal>
          <c:yVal>
            <c:numRef>
              <c:f>'Dashboard_Eksposur Kurs'!$AA$65</c:f>
              <c:numCache>
                <c:formatCode>0.00</c:formatCode>
                <c:ptCount val="1"/>
                <c:pt idx="0">
                  <c:v>3.3333333333333335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1-AFFF-4913-BC0E-9FA62E6305D7}"/>
            </c:ext>
          </c:extLst>
        </c:ser>
        <c:ser>
          <c:idx val="23"/>
          <c:order val="98"/>
          <c:tx>
            <c:v>Impor</c:v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Pt>
            <c:idx val="0"/>
            <c:marker>
              <c:spPr>
                <a:noFill/>
                <a:ln>
                  <a:noFill/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2-AFFF-4913-BC0E-9FA62E6305D7}"/>
              </c:ext>
            </c:extLst>
          </c:dPt>
          <c:dPt>
            <c:idx val="1"/>
            <c:marker>
              <c:spPr>
                <a:noFill/>
                <a:ln>
                  <a:noFill/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3-AFFF-4913-BC0E-9FA62E6305D7}"/>
              </c:ext>
            </c:extLst>
          </c:dPt>
          <c:trendline>
            <c:trendlineType val="linear"/>
            <c:dispRSqr val="0"/>
            <c:dispEq val="0"/>
          </c:trendline>
          <c:xVal>
            <c:numRef>
              <c:f>'Dashboard_Eksposur Kurs'!$AD$45:$AD$46</c:f>
              <c:numCache>
                <c:formatCode>0.00</c:formatCode>
                <c:ptCount val="2"/>
                <c:pt idx="0">
                  <c:v>27.317000559774954</c:v>
                </c:pt>
                <c:pt idx="1">
                  <c:v>27.317000559774954</c:v>
                </c:pt>
              </c:numCache>
            </c:numRef>
          </c:xVal>
          <c:yVal>
            <c:numRef>
              <c:f>'Dashboard_Eksposur Kurs'!$AE$45:$AE$46</c:f>
              <c:numCache>
                <c:formatCode>0.00</c:formatCode>
                <c:ptCount val="2"/>
                <c:pt idx="0">
                  <c:v>0</c:v>
                </c:pt>
                <c:pt idx="1">
                  <c:v>85.600600803403282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5-AFFF-4913-BC0E-9FA62E6305D7}"/>
            </c:ext>
          </c:extLst>
        </c:ser>
        <c:ser>
          <c:idx val="24"/>
          <c:order val="99"/>
          <c:tx>
            <c:v>Ekspor</c:v>
          </c:tx>
          <c:spPr>
            <a:ln w="19050">
              <a:noFill/>
            </a:ln>
          </c:spPr>
          <c:marker>
            <c:symbol val="none"/>
          </c:marker>
          <c:xVal>
            <c:numRef>
              <c:f>'Dashboard_Eksposur Kurs'!$AD$49:$AD$50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71.855899602880257</c:v>
                </c:pt>
              </c:numCache>
            </c:numRef>
          </c:xVal>
          <c:yVal>
            <c:numRef>
              <c:f>'Dashboard_Eksposur Kurs'!$AE$49:$AE$50</c:f>
              <c:numCache>
                <c:formatCode>0.00</c:formatCode>
                <c:ptCount val="2"/>
                <c:pt idx="0">
                  <c:v>39.456601878176897</c:v>
                </c:pt>
                <c:pt idx="1">
                  <c:v>39.456601878176897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6-AFFF-4913-BC0E-9FA62E630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1000" b="1" i="0" u="none" strike="noStrike" kern="1200" baseline="0">
                    <a:solidFill>
                      <a:srgbClr val="000000"/>
                    </a:solidFill>
                  </a:rPr>
                  <a:t>Share Impor terhadap Total Biaya Input (%)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1000" b="1" i="0" u="none" strike="noStrike" kern="1200" baseline="0">
                    <a:solidFill>
                      <a:srgbClr val="000000"/>
                    </a:solidFill>
                  </a:rPr>
                  <a:t>Share Ekspor terhadap Total Penjualan (%)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sz="1400"/>
              <a:t>Share Impor </a:t>
            </a:r>
            <a:r>
              <a:rPr lang="en-GB" sz="1400" baseline="0"/>
              <a:t>vs Ekspor Perusahaan berdasarkan </a:t>
            </a:r>
            <a:r>
              <a:rPr lang="en-GB" sz="1400"/>
              <a:t>Provinsi, 2015 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0693308080808081"/>
          <c:y val="8.3333333333333329E-2"/>
          <c:w val="0.85536780303030302"/>
          <c:h val="0.82497357593814291"/>
        </c:manualLayout>
      </c:layout>
      <c:scatterChart>
        <c:scatterStyle val="lineMarker"/>
        <c:varyColors val="1"/>
        <c:ser>
          <c:idx val="36"/>
          <c:order val="0"/>
          <c:tx>
            <c:strRef>
              <c:f>'Dashboard_Eksposur Kurs'!$AH$42</c:f>
              <c:strCache>
                <c:ptCount val="1"/>
                <c:pt idx="0">
                  <c:v>Aceh</c:v>
                </c:pt>
              </c:strCache>
            </c:strRef>
          </c:tx>
          <c:spPr>
            <a:ln w="19050">
              <a:noFill/>
            </a:ln>
          </c:spPr>
          <c:xVal>
            <c:numRef>
              <c:f>'Dashboard_Eksposur Kurs'!$AI$42</c:f>
              <c:numCache>
                <c:formatCode>0.00</c:formatCode>
                <c:ptCount val="1"/>
                <c:pt idx="0">
                  <c:v>1.929859925632146</c:v>
                </c:pt>
              </c:numCache>
            </c:numRef>
          </c:xVal>
          <c:yVal>
            <c:numRef>
              <c:f>'Dashboard_Eksposur Kurs'!$AJ$42</c:f>
              <c:numCache>
                <c:formatCode>0.00</c:formatCode>
                <c:ptCount val="1"/>
                <c:pt idx="0">
                  <c:v>52.56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4F-47AF-BC20-EC33CED47F8E}"/>
            </c:ext>
          </c:extLst>
        </c:ser>
        <c:ser>
          <c:idx val="37"/>
          <c:order val="1"/>
          <c:tx>
            <c:strRef>
              <c:f>'Dashboard_Eksposur Kurs'!$AH$43</c:f>
              <c:strCache>
                <c:ptCount val="1"/>
                <c:pt idx="0">
                  <c:v>Sumatera Utara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Kurs'!$AI$43</c:f>
              <c:numCache>
                <c:formatCode>0.00</c:formatCode>
                <c:ptCount val="1"/>
                <c:pt idx="0">
                  <c:v>6.7991339115504994</c:v>
                </c:pt>
              </c:numCache>
            </c:numRef>
          </c:xVal>
          <c:yVal>
            <c:numRef>
              <c:f>'Dashboard_Eksposur Kurs'!$AJ$43</c:f>
              <c:numCache>
                <c:formatCode>0.00</c:formatCode>
                <c:ptCount val="1"/>
                <c:pt idx="0">
                  <c:v>73.708539000253751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4F-47AF-BC20-EC33CED47F8E}"/>
            </c:ext>
          </c:extLst>
        </c:ser>
        <c:ser>
          <c:idx val="38"/>
          <c:order val="2"/>
          <c:tx>
            <c:strRef>
              <c:f>'Dashboard_Eksposur Kurs'!$AH$44</c:f>
              <c:strCache>
                <c:ptCount val="1"/>
                <c:pt idx="0">
                  <c:v>Sumatera Barat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Kurs'!$AI$44</c:f>
              <c:numCache>
                <c:formatCode>0.00</c:formatCode>
                <c:ptCount val="1"/>
                <c:pt idx="0">
                  <c:v>0.73298033006151431</c:v>
                </c:pt>
              </c:numCache>
            </c:numRef>
          </c:xVal>
          <c:yVal>
            <c:numRef>
              <c:f>'Dashboard_Eksposur Kurs'!$AJ$44</c:f>
              <c:numCache>
                <c:formatCode>0.00</c:formatCode>
                <c:ptCount val="1"/>
                <c:pt idx="0">
                  <c:v>62.238102947337218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4F-47AF-BC20-EC33CED47F8E}"/>
            </c:ext>
          </c:extLst>
        </c:ser>
        <c:ser>
          <c:idx val="39"/>
          <c:order val="3"/>
          <c:tx>
            <c:strRef>
              <c:f>'Dashboard_Eksposur Kurs'!$AH$45</c:f>
              <c:strCache>
                <c:ptCount val="1"/>
                <c:pt idx="0">
                  <c:v>Riau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Kurs'!$AI$45</c:f>
              <c:numCache>
                <c:formatCode>0.00</c:formatCode>
                <c:ptCount val="1"/>
                <c:pt idx="0">
                  <c:v>0.47011442011741605</c:v>
                </c:pt>
              </c:numCache>
            </c:numRef>
          </c:xVal>
          <c:yVal>
            <c:numRef>
              <c:f>'Dashboard_Eksposur Kurs'!$AJ$45</c:f>
              <c:numCache>
                <c:formatCode>0.00</c:formatCode>
                <c:ptCount val="1"/>
                <c:pt idx="0">
                  <c:v>63.854099692619748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4F-47AF-BC20-EC33CED47F8E}"/>
            </c:ext>
          </c:extLst>
        </c:ser>
        <c:ser>
          <c:idx val="40"/>
          <c:order val="4"/>
          <c:tx>
            <c:strRef>
              <c:f>'Dashboard_Eksposur Kurs'!$AH$46</c:f>
              <c:strCache>
                <c:ptCount val="1"/>
                <c:pt idx="0">
                  <c:v>Jambi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Kurs'!$AI$46</c:f>
              <c:numCache>
                <c:formatCode>0.00</c:formatCode>
                <c:ptCount val="1"/>
                <c:pt idx="0">
                  <c:v>0.46810596147328976</c:v>
                </c:pt>
              </c:numCache>
            </c:numRef>
          </c:xVal>
          <c:yVal>
            <c:numRef>
              <c:f>'Dashboard_Eksposur Kurs'!$AJ$46</c:f>
              <c:numCache>
                <c:formatCode>0.00</c:formatCode>
                <c:ptCount val="1"/>
                <c:pt idx="0">
                  <c:v>71.364534034398872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4F-47AF-BC20-EC33CED47F8E}"/>
            </c:ext>
          </c:extLst>
        </c:ser>
        <c:ser>
          <c:idx val="41"/>
          <c:order val="5"/>
          <c:tx>
            <c:strRef>
              <c:f>'Dashboard_Eksposur Kurs'!$AH$47</c:f>
              <c:strCache>
                <c:ptCount val="1"/>
                <c:pt idx="0">
                  <c:v>Sumatera Selatan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Kurs'!$AI$47</c:f>
              <c:numCache>
                <c:formatCode>0.00</c:formatCode>
                <c:ptCount val="1"/>
                <c:pt idx="0">
                  <c:v>0.98438137574698803</c:v>
                </c:pt>
              </c:numCache>
            </c:numRef>
          </c:xVal>
          <c:yVal>
            <c:numRef>
              <c:f>'Dashboard_Eksposur Kurs'!$AJ$47</c:f>
              <c:numCache>
                <c:formatCode>0.00</c:formatCode>
                <c:ptCount val="1"/>
                <c:pt idx="0">
                  <c:v>82.283255813953488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4F-47AF-BC20-EC33CED47F8E}"/>
            </c:ext>
          </c:extLst>
        </c:ser>
        <c:ser>
          <c:idx val="42"/>
          <c:order val="6"/>
          <c:tx>
            <c:strRef>
              <c:f>'Dashboard_Eksposur Kurs'!$AH$48</c:f>
              <c:strCache>
                <c:ptCount val="1"/>
                <c:pt idx="0">
                  <c:v>Bengkulu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Kurs'!$AI$48</c:f>
              <c:numCache>
                <c:formatCode>0.00</c:formatCode>
                <c:ptCount val="1"/>
                <c:pt idx="0">
                  <c:v>7.7126132794589066E-3</c:v>
                </c:pt>
              </c:numCache>
            </c:numRef>
          </c:xVal>
          <c:yVal>
            <c:numRef>
              <c:f>'Dashboard_Eksposur Kurs'!$AJ$48</c:f>
              <c:numCache>
                <c:formatCode>0.00</c:formatCode>
                <c:ptCount val="1"/>
                <c:pt idx="0">
                  <c:v>86.891999999999996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A4F-47AF-BC20-EC33CED47F8E}"/>
            </c:ext>
          </c:extLst>
        </c:ser>
        <c:ser>
          <c:idx val="43"/>
          <c:order val="7"/>
          <c:tx>
            <c:strRef>
              <c:f>'Dashboard_Eksposur Kurs'!$AH$49</c:f>
              <c:strCache>
                <c:ptCount val="1"/>
                <c:pt idx="0">
                  <c:v>Lampung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Kurs'!$AI$49</c:f>
              <c:numCache>
                <c:formatCode>0.00</c:formatCode>
                <c:ptCount val="1"/>
                <c:pt idx="0">
                  <c:v>13.294370087488325</c:v>
                </c:pt>
              </c:numCache>
            </c:numRef>
          </c:xVal>
          <c:yVal>
            <c:numRef>
              <c:f>'Dashboard_Eksposur Kurs'!$AJ$49</c:f>
              <c:numCache>
                <c:formatCode>0.00</c:formatCode>
                <c:ptCount val="1"/>
                <c:pt idx="0">
                  <c:v>66.907638888888883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A4F-47AF-BC20-EC33CED47F8E}"/>
            </c:ext>
          </c:extLst>
        </c:ser>
        <c:ser>
          <c:idx val="44"/>
          <c:order val="8"/>
          <c:tx>
            <c:strRef>
              <c:f>'Dashboard_Eksposur Kurs'!$AH$50</c:f>
              <c:strCache>
                <c:ptCount val="1"/>
                <c:pt idx="0">
                  <c:v>Bangka Belitung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Kurs'!$AI$50</c:f>
              <c:numCache>
                <c:formatCode>0.00</c:formatCode>
                <c:ptCount val="1"/>
                <c:pt idx="0">
                  <c:v>0.39376654288572144</c:v>
                </c:pt>
              </c:numCache>
            </c:numRef>
          </c:xVal>
          <c:yVal>
            <c:numRef>
              <c:f>'Dashboard_Eksposur Kurs'!$AJ$50</c:f>
              <c:numCache>
                <c:formatCode>0.00</c:formatCode>
                <c:ptCount val="1"/>
                <c:pt idx="0">
                  <c:v>88.029707214493683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A4F-47AF-BC20-EC33CED47F8E}"/>
            </c:ext>
          </c:extLst>
        </c:ser>
        <c:ser>
          <c:idx val="45"/>
          <c:order val="9"/>
          <c:tx>
            <c:strRef>
              <c:f>'Dashboard_Eksposur Kurs'!$AH$51</c:f>
              <c:strCache>
                <c:ptCount val="1"/>
                <c:pt idx="0">
                  <c:v>Kepulauan Riau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Kurs'!$AI$51</c:f>
              <c:numCache>
                <c:formatCode>0.00</c:formatCode>
                <c:ptCount val="1"/>
                <c:pt idx="0">
                  <c:v>38.265498903606506</c:v>
                </c:pt>
              </c:numCache>
            </c:numRef>
          </c:xVal>
          <c:yVal>
            <c:numRef>
              <c:f>'Dashboard_Eksposur Kurs'!$AJ$51</c:f>
              <c:numCache>
                <c:formatCode>0.00</c:formatCode>
                <c:ptCount val="1"/>
                <c:pt idx="0">
                  <c:v>77.710719236364028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A4F-47AF-BC20-EC33CED47F8E}"/>
            </c:ext>
          </c:extLst>
        </c:ser>
        <c:ser>
          <c:idx val="46"/>
          <c:order val="10"/>
          <c:tx>
            <c:strRef>
              <c:f>'Dashboard_Eksposur Kurs'!$AH$52</c:f>
              <c:strCache>
                <c:ptCount val="1"/>
                <c:pt idx="0">
                  <c:v>Dki Jakarta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Kurs'!$AI$52</c:f>
              <c:numCache>
                <c:formatCode>0.00</c:formatCode>
                <c:ptCount val="1"/>
                <c:pt idx="0">
                  <c:v>30.348546028602978</c:v>
                </c:pt>
              </c:numCache>
            </c:numRef>
          </c:xVal>
          <c:yVal>
            <c:numRef>
              <c:f>'Dashboard_Eksposur Kurs'!$AJ$52</c:f>
              <c:numCache>
                <c:formatCode>0.00</c:formatCode>
                <c:ptCount val="1"/>
                <c:pt idx="0">
                  <c:v>38.218826762575027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A4F-47AF-BC20-EC33CED47F8E}"/>
            </c:ext>
          </c:extLst>
        </c:ser>
        <c:ser>
          <c:idx val="47"/>
          <c:order val="11"/>
          <c:tx>
            <c:strRef>
              <c:f>'Dashboard_Eksposur Kurs'!$AH$53</c:f>
              <c:strCache>
                <c:ptCount val="1"/>
                <c:pt idx="0">
                  <c:v>Jawa Barat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Kurs'!$AI$53</c:f>
              <c:numCache>
                <c:formatCode>0.00</c:formatCode>
                <c:ptCount val="1"/>
                <c:pt idx="0">
                  <c:v>38.159048027228323</c:v>
                </c:pt>
              </c:numCache>
            </c:numRef>
          </c:xVal>
          <c:yVal>
            <c:numRef>
              <c:f>'Dashboard_Eksposur Kurs'!$AJ$53</c:f>
              <c:numCache>
                <c:formatCode>0.00</c:formatCode>
                <c:ptCount val="1"/>
                <c:pt idx="0">
                  <c:v>36.321701528575787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A4F-47AF-BC20-EC33CED47F8E}"/>
            </c:ext>
          </c:extLst>
        </c:ser>
        <c:ser>
          <c:idx val="48"/>
          <c:order val="12"/>
          <c:tx>
            <c:strRef>
              <c:f>'Dashboard_Eksposur Kurs'!$AH$54</c:f>
              <c:strCache>
                <c:ptCount val="1"/>
                <c:pt idx="0">
                  <c:v>Jawa Tengah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Kurs'!$AI$54</c:f>
              <c:numCache>
                <c:formatCode>0.00</c:formatCode>
                <c:ptCount val="1"/>
                <c:pt idx="0">
                  <c:v>20.383104570680779</c:v>
                </c:pt>
              </c:numCache>
            </c:numRef>
          </c:xVal>
          <c:yVal>
            <c:numRef>
              <c:f>'Dashboard_Eksposur Kurs'!$AJ$54</c:f>
              <c:numCache>
                <c:formatCode>0.00</c:formatCode>
                <c:ptCount val="1"/>
                <c:pt idx="0">
                  <c:v>74.558131852465024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A4F-47AF-BC20-EC33CED47F8E}"/>
            </c:ext>
          </c:extLst>
        </c:ser>
        <c:ser>
          <c:idx val="49"/>
          <c:order val="13"/>
          <c:tx>
            <c:strRef>
              <c:f>'Dashboard_Eksposur Kurs'!$AH$55</c:f>
              <c:strCache>
                <c:ptCount val="1"/>
                <c:pt idx="0">
                  <c:v>Di Yogyakarta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Kurs'!$AI$55</c:f>
              <c:numCache>
                <c:formatCode>0.00</c:formatCode>
                <c:ptCount val="1"/>
                <c:pt idx="0">
                  <c:v>31.068102571012485</c:v>
                </c:pt>
              </c:numCache>
            </c:numRef>
          </c:xVal>
          <c:yVal>
            <c:numRef>
              <c:f>'Dashboard_Eksposur Kurs'!$AJ$55</c:f>
              <c:numCache>
                <c:formatCode>0.00</c:formatCode>
                <c:ptCount val="1"/>
                <c:pt idx="0">
                  <c:v>77.384182029778884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A4F-47AF-BC20-EC33CED47F8E}"/>
            </c:ext>
          </c:extLst>
        </c:ser>
        <c:ser>
          <c:idx val="50"/>
          <c:order val="14"/>
          <c:tx>
            <c:strRef>
              <c:f>'Dashboard_Eksposur Kurs'!$AH$56</c:f>
              <c:strCache>
                <c:ptCount val="1"/>
                <c:pt idx="0">
                  <c:v>Jawa Timur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Kurs'!$AI$56</c:f>
              <c:numCache>
                <c:formatCode>0.00</c:formatCode>
                <c:ptCount val="1"/>
                <c:pt idx="0">
                  <c:v>21.309498325981874</c:v>
                </c:pt>
              </c:numCache>
            </c:numRef>
          </c:xVal>
          <c:yVal>
            <c:numRef>
              <c:f>'Dashboard_Eksposur Kurs'!$AJ$56</c:f>
              <c:numCache>
                <c:formatCode>0.00</c:formatCode>
                <c:ptCount val="1"/>
                <c:pt idx="0">
                  <c:v>43.31582197885821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A4F-47AF-BC20-EC33CED47F8E}"/>
            </c:ext>
          </c:extLst>
        </c:ser>
        <c:ser>
          <c:idx val="51"/>
          <c:order val="15"/>
          <c:tx>
            <c:strRef>
              <c:f>'Dashboard_Eksposur Kurs'!$AH$57</c:f>
              <c:strCache>
                <c:ptCount val="1"/>
                <c:pt idx="0">
                  <c:v>Banten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Kurs'!$AI$57</c:f>
              <c:numCache>
                <c:formatCode>0.00</c:formatCode>
                <c:ptCount val="1"/>
                <c:pt idx="0">
                  <c:v>29.487721766550308</c:v>
                </c:pt>
              </c:numCache>
            </c:numRef>
          </c:xVal>
          <c:yVal>
            <c:numRef>
              <c:f>'Dashboard_Eksposur Kurs'!$AJ$57</c:f>
              <c:numCache>
                <c:formatCode>0.00</c:formatCode>
                <c:ptCount val="1"/>
                <c:pt idx="0">
                  <c:v>36.117925642920071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A4F-47AF-BC20-EC33CED47F8E}"/>
            </c:ext>
          </c:extLst>
        </c:ser>
        <c:ser>
          <c:idx val="52"/>
          <c:order val="16"/>
          <c:tx>
            <c:strRef>
              <c:f>'Dashboard_Eksposur Kurs'!$AH$58</c:f>
              <c:strCache>
                <c:ptCount val="1"/>
                <c:pt idx="0">
                  <c:v>Bali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Kurs'!$AI$58</c:f>
              <c:numCache>
                <c:formatCode>0.00</c:formatCode>
                <c:ptCount val="1"/>
                <c:pt idx="0">
                  <c:v>16.101761344195907</c:v>
                </c:pt>
              </c:numCache>
            </c:numRef>
          </c:xVal>
          <c:yVal>
            <c:numRef>
              <c:f>'Dashboard_Eksposur Kurs'!$AJ$58</c:f>
              <c:numCache>
                <c:formatCode>0.00</c:formatCode>
                <c:ptCount val="1"/>
                <c:pt idx="0">
                  <c:v>75.207097984399795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CA4F-47AF-BC20-EC33CED47F8E}"/>
            </c:ext>
          </c:extLst>
        </c:ser>
        <c:ser>
          <c:idx val="53"/>
          <c:order val="17"/>
          <c:tx>
            <c:strRef>
              <c:f>'Dashboard_Eksposur Kurs'!$AH$59</c:f>
              <c:strCache>
                <c:ptCount val="1"/>
                <c:pt idx="0">
                  <c:v>Nusa Tenggara Barat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Kurs'!$AI$59</c:f>
              <c:numCache>
                <c:formatCode>0.00</c:formatCode>
                <c:ptCount val="1"/>
                <c:pt idx="0">
                  <c:v>0.19869823007315399</c:v>
                </c:pt>
              </c:numCache>
            </c:numRef>
          </c:xVal>
          <c:yVal>
            <c:numRef>
              <c:f>'Dashboard_Eksposur Kurs'!$AJ$59</c:f>
              <c:numCache>
                <c:formatCode>0.00</c:formatCode>
                <c:ptCount val="1"/>
                <c:pt idx="0">
                  <c:v>68.24666666666667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CA4F-47AF-BC20-EC33CED47F8E}"/>
            </c:ext>
          </c:extLst>
        </c:ser>
        <c:ser>
          <c:idx val="54"/>
          <c:order val="18"/>
          <c:tx>
            <c:strRef>
              <c:f>'Dashboard_Eksposur Kurs'!$AH$60</c:f>
              <c:strCache>
                <c:ptCount val="1"/>
                <c:pt idx="0">
                  <c:v>Nusa Tenggara Timur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Kurs'!$AI$60</c:f>
              <c:numCache>
                <c:formatCode>0.00</c:formatCode>
                <c:ptCount val="1"/>
                <c:pt idx="0">
                  <c:v>0.28042439538072655</c:v>
                </c:pt>
              </c:numCache>
            </c:numRef>
          </c:xVal>
          <c:yVal>
            <c:numRef>
              <c:f>'Dashboard_Eksposur Kurs'!$AJ$60</c:f>
              <c:numCache>
                <c:formatCode>0.00</c:formatCode>
                <c:ptCount val="1"/>
                <c:pt idx="0">
                  <c:v>56.023333333333333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CA4F-47AF-BC20-EC33CED47F8E}"/>
            </c:ext>
          </c:extLst>
        </c:ser>
        <c:ser>
          <c:idx val="55"/>
          <c:order val="19"/>
          <c:tx>
            <c:strRef>
              <c:f>'Dashboard_Eksposur Kurs'!$AH$61</c:f>
              <c:strCache>
                <c:ptCount val="1"/>
                <c:pt idx="0">
                  <c:v>Kalimantan Barat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Kurs'!$AI$61</c:f>
              <c:numCache>
                <c:formatCode>0.00</c:formatCode>
                <c:ptCount val="1"/>
                <c:pt idx="0">
                  <c:v>1.342485736821704</c:v>
                </c:pt>
              </c:numCache>
            </c:numRef>
          </c:xVal>
          <c:yVal>
            <c:numRef>
              <c:f>'Dashboard_Eksposur Kurs'!$AJ$61</c:f>
              <c:numCache>
                <c:formatCode>0.00</c:formatCode>
                <c:ptCount val="1"/>
                <c:pt idx="0">
                  <c:v>72.314516129032256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CA4F-47AF-BC20-EC33CED47F8E}"/>
            </c:ext>
          </c:extLst>
        </c:ser>
        <c:ser>
          <c:idx val="56"/>
          <c:order val="20"/>
          <c:tx>
            <c:strRef>
              <c:f>'Dashboard_Eksposur Kurs'!$AH$62</c:f>
              <c:strCache>
                <c:ptCount val="1"/>
                <c:pt idx="0">
                  <c:v>Kalimantan Tengah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Kurs'!$AI$62</c:f>
              <c:numCache>
                <c:formatCode>0.00</c:formatCode>
                <c:ptCount val="1"/>
                <c:pt idx="0">
                  <c:v>4.6489773354598134E-2</c:v>
                </c:pt>
              </c:numCache>
            </c:numRef>
          </c:xVal>
          <c:yVal>
            <c:numRef>
              <c:f>'Dashboard_Eksposur Kurs'!$AJ$62</c:f>
              <c:numCache>
                <c:formatCode>0.00</c:formatCode>
                <c:ptCount val="1"/>
                <c:pt idx="0">
                  <c:v>77.509251313827363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CA4F-47AF-BC20-EC33CED47F8E}"/>
            </c:ext>
          </c:extLst>
        </c:ser>
        <c:ser>
          <c:idx val="57"/>
          <c:order val="21"/>
          <c:tx>
            <c:strRef>
              <c:f>'Dashboard_Eksposur Kurs'!$AH$63</c:f>
              <c:strCache>
                <c:ptCount val="1"/>
                <c:pt idx="0">
                  <c:v>Kalimantan Selatan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Kurs'!$AI$63</c:f>
              <c:numCache>
                <c:formatCode>0.00</c:formatCode>
                <c:ptCount val="1"/>
                <c:pt idx="0">
                  <c:v>3.1259433780205863</c:v>
                </c:pt>
              </c:numCache>
            </c:numRef>
          </c:xVal>
          <c:yVal>
            <c:numRef>
              <c:f>'Dashboard_Eksposur Kurs'!$AJ$63</c:f>
              <c:numCache>
                <c:formatCode>0.00</c:formatCode>
                <c:ptCount val="1"/>
                <c:pt idx="0">
                  <c:v>68.413124999999994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CA4F-47AF-BC20-EC33CED47F8E}"/>
            </c:ext>
          </c:extLst>
        </c:ser>
        <c:ser>
          <c:idx val="58"/>
          <c:order val="22"/>
          <c:tx>
            <c:strRef>
              <c:f>'Dashboard_Eksposur Kurs'!$AH$64</c:f>
              <c:strCache>
                <c:ptCount val="1"/>
                <c:pt idx="0">
                  <c:v>Kalimantan Timur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Kurs'!$AI$64</c:f>
              <c:numCache>
                <c:formatCode>0.00</c:formatCode>
                <c:ptCount val="1"/>
                <c:pt idx="0">
                  <c:v>1.343861383581932</c:v>
                </c:pt>
              </c:numCache>
            </c:numRef>
          </c:xVal>
          <c:yVal>
            <c:numRef>
              <c:f>'Dashboard_Eksposur Kurs'!$AJ$64</c:f>
              <c:numCache>
                <c:formatCode>0.00</c:formatCode>
                <c:ptCount val="1"/>
                <c:pt idx="0">
                  <c:v>50.526144770635135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CA4F-47AF-BC20-EC33CED47F8E}"/>
            </c:ext>
          </c:extLst>
        </c:ser>
        <c:ser>
          <c:idx val="59"/>
          <c:order val="23"/>
          <c:tx>
            <c:strRef>
              <c:f>'Dashboard_Eksposur Kurs'!$AH$65</c:f>
              <c:strCache>
                <c:ptCount val="1"/>
                <c:pt idx="0">
                  <c:v>Kalimantan Utara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Kurs'!$AI$65</c:f>
              <c:numCache>
                <c:formatCode>0.00</c:formatCode>
                <c:ptCount val="1"/>
                <c:pt idx="0">
                  <c:v>2.4233882812982643</c:v>
                </c:pt>
              </c:numCache>
            </c:numRef>
          </c:xVal>
          <c:yVal>
            <c:numRef>
              <c:f>'Dashboard_Eksposur Kurs'!$AJ$65</c:f>
              <c:numCache>
                <c:formatCode>0.00</c:formatCode>
                <c:ptCount val="1"/>
                <c:pt idx="0">
                  <c:v>88.94517294241794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CA4F-47AF-BC20-EC33CED47F8E}"/>
            </c:ext>
          </c:extLst>
        </c:ser>
        <c:ser>
          <c:idx val="60"/>
          <c:order val="24"/>
          <c:tx>
            <c:strRef>
              <c:f>'Dashboard_Eksposur Kurs'!$AH$66</c:f>
              <c:strCache>
                <c:ptCount val="1"/>
                <c:pt idx="0">
                  <c:v>Sulawesi Utara</c:v>
                </c:pt>
              </c:strCache>
            </c:strRef>
          </c:tx>
          <c:spPr>
            <a:ln w="12700">
              <a:solidFill>
                <a:srgbClr val="E59A3C"/>
              </a:solidFill>
              <a:prstDash val="solid"/>
            </a:ln>
          </c:spPr>
          <c:marker>
            <c:symbol val="none"/>
          </c:marker>
          <c:xVal>
            <c:numRef>
              <c:f>'Dashboard_Eksposur Kurs'!$AI$66</c:f>
              <c:numCache>
                <c:formatCode>0.00</c:formatCode>
                <c:ptCount val="1"/>
                <c:pt idx="0">
                  <c:v>1.6310036026666115</c:v>
                </c:pt>
              </c:numCache>
            </c:numRef>
          </c:xVal>
          <c:yVal>
            <c:numRef>
              <c:f>'Dashboard_Eksposur Kurs'!$AJ$66</c:f>
              <c:numCache>
                <c:formatCode>0.00</c:formatCode>
                <c:ptCount val="1"/>
                <c:pt idx="0">
                  <c:v>61.759705882352939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CA4F-47AF-BC20-EC33CED47F8E}"/>
            </c:ext>
          </c:extLst>
        </c:ser>
        <c:ser>
          <c:idx val="61"/>
          <c:order val="25"/>
          <c:tx>
            <c:strRef>
              <c:f>'Dashboard_Eksposur Kurs'!$AH$67</c:f>
              <c:strCache>
                <c:ptCount val="1"/>
                <c:pt idx="0">
                  <c:v>Sulawesi Tengah</c:v>
                </c:pt>
              </c:strCache>
            </c:strRef>
          </c:tx>
          <c:spPr>
            <a:ln w="12700">
              <a:solidFill>
                <a:srgbClr val="E59A3C"/>
              </a:solidFill>
              <a:prstDash val="solid"/>
            </a:ln>
          </c:spPr>
          <c:marker>
            <c:symbol val="none"/>
          </c:marker>
          <c:xVal>
            <c:numRef>
              <c:f>'Dashboard_Eksposur Kurs'!$AI$67</c:f>
              <c:numCache>
                <c:formatCode>0.00</c:formatCode>
                <c:ptCount val="1"/>
                <c:pt idx="0">
                  <c:v>6.3964781868707021E-2</c:v>
                </c:pt>
              </c:numCache>
            </c:numRef>
          </c:xVal>
          <c:yVal>
            <c:numRef>
              <c:f>'Dashboard_Eksposur Kurs'!$AJ$67</c:f>
              <c:numCache>
                <c:formatCode>0.00</c:formatCode>
                <c:ptCount val="1"/>
                <c:pt idx="0">
                  <c:v>73.008181818181825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CA4F-47AF-BC20-EC33CED47F8E}"/>
            </c:ext>
          </c:extLst>
        </c:ser>
        <c:ser>
          <c:idx val="62"/>
          <c:order val="26"/>
          <c:tx>
            <c:strRef>
              <c:f>'Dashboard_Eksposur Kurs'!$AH$68</c:f>
              <c:strCache>
                <c:ptCount val="1"/>
                <c:pt idx="0">
                  <c:v>Sulawesi Selatan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6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65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Kurs'!$AI$68</c:f>
              <c:numCache>
                <c:formatCode>0.00</c:formatCode>
                <c:ptCount val="1"/>
                <c:pt idx="0">
                  <c:v>15.628928388257011</c:v>
                </c:pt>
              </c:numCache>
            </c:numRef>
          </c:xVal>
          <c:yVal>
            <c:numRef>
              <c:f>'Dashboard_Eksposur Kurs'!$AJ$68</c:f>
              <c:numCache>
                <c:formatCode>0.00</c:formatCode>
                <c:ptCount val="1"/>
                <c:pt idx="0">
                  <c:v>67.40150537634409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CA4F-47AF-BC20-EC33CED47F8E}"/>
            </c:ext>
          </c:extLst>
        </c:ser>
        <c:ser>
          <c:idx val="63"/>
          <c:order val="27"/>
          <c:tx>
            <c:strRef>
              <c:f>'Dashboard_Eksposur Kurs'!$AH$69</c:f>
              <c:strCache>
                <c:ptCount val="1"/>
                <c:pt idx="0">
                  <c:v>Sulawesi Tenggara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6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65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Kurs'!$AI$69</c:f>
              <c:numCache>
                <c:formatCode>0.00</c:formatCode>
                <c:ptCount val="1"/>
                <c:pt idx="0">
                  <c:v>0.23156513296862685</c:v>
                </c:pt>
              </c:numCache>
            </c:numRef>
          </c:xVal>
          <c:yVal>
            <c:numRef>
              <c:f>'Dashboard_Eksposur Kurs'!$AJ$69</c:f>
              <c:numCache>
                <c:formatCode>0.00</c:formatCode>
                <c:ptCount val="1"/>
                <c:pt idx="0">
                  <c:v>96.578947368421055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CA4F-47AF-BC20-EC33CED47F8E}"/>
            </c:ext>
          </c:extLst>
        </c:ser>
        <c:ser>
          <c:idx val="64"/>
          <c:order val="28"/>
          <c:tx>
            <c:strRef>
              <c:f>'Dashboard_Eksposur Kurs'!$AH$70</c:f>
              <c:strCache>
                <c:ptCount val="1"/>
                <c:pt idx="0">
                  <c:v>Gorontalo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6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65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Kurs'!$AI$70</c:f>
              <c:numCache>
                <c:formatCode>0.00</c:formatCode>
                <c:ptCount val="1"/>
                <c:pt idx="0">
                  <c:v>1.9962619298038233</c:v>
                </c:pt>
              </c:numCache>
            </c:numRef>
          </c:xVal>
          <c:yVal>
            <c:numRef>
              <c:f>'Dashboard_Eksposur Kurs'!$AJ$70</c:f>
              <c:numCache>
                <c:formatCode>0.00</c:formatCode>
                <c:ptCount val="1"/>
                <c:pt idx="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CA4F-47AF-BC20-EC33CED47F8E}"/>
            </c:ext>
          </c:extLst>
        </c:ser>
        <c:ser>
          <c:idx val="65"/>
          <c:order val="29"/>
          <c:tx>
            <c:strRef>
              <c:f>'Dashboard_Eksposur Kurs'!$AH$71</c:f>
              <c:strCache>
                <c:ptCount val="1"/>
                <c:pt idx="0">
                  <c:v>Sulawesi Barat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6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65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Kurs'!$AI$71</c:f>
              <c:numCache>
                <c:formatCode>0.00</c:formatCode>
                <c:ptCount val="1"/>
                <c:pt idx="0">
                  <c:v>0.29562665500740692</c:v>
                </c:pt>
              </c:numCache>
            </c:numRef>
          </c:xVal>
          <c:yVal>
            <c:numRef>
              <c:f>'Dashboard_Eksposur Kurs'!$AJ$71</c:f>
              <c:numCache>
                <c:formatCode>0.00</c:formatCode>
                <c:ptCount val="1"/>
                <c:pt idx="0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CA4F-47AF-BC20-EC33CED47F8E}"/>
            </c:ext>
          </c:extLst>
        </c:ser>
        <c:ser>
          <c:idx val="66"/>
          <c:order val="30"/>
          <c:tx>
            <c:strRef>
              <c:f>'Dashboard_Eksposur Kurs'!$AH$72</c:f>
              <c:strCache>
                <c:ptCount val="1"/>
                <c:pt idx="0">
                  <c:v>Maluku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6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65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Kurs'!$AI$72</c:f>
              <c:numCache>
                <c:formatCode>0.00</c:formatCode>
                <c:ptCount val="1"/>
                <c:pt idx="0">
                  <c:v>7.864306856810957E-2</c:v>
                </c:pt>
              </c:numCache>
            </c:numRef>
          </c:xVal>
          <c:yVal>
            <c:numRef>
              <c:f>'Dashboard_Eksposur Kurs'!$AJ$72</c:f>
              <c:numCache>
                <c:formatCode>0.00</c:formatCode>
                <c:ptCount val="1"/>
                <c:pt idx="0">
                  <c:v>93.843571428571423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CA4F-47AF-BC20-EC33CED47F8E}"/>
            </c:ext>
          </c:extLst>
        </c:ser>
        <c:ser>
          <c:idx val="67"/>
          <c:order val="31"/>
          <c:tx>
            <c:strRef>
              <c:f>'Dashboard_Eksposur Kurs'!$AH$73</c:f>
              <c:strCache>
                <c:ptCount val="1"/>
                <c:pt idx="0">
                  <c:v>Maluku Utara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6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65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Kurs'!$AI$73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'Dashboard_Eksposur Kurs'!$AJ$73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CA4F-47AF-BC20-EC33CED47F8E}"/>
            </c:ext>
          </c:extLst>
        </c:ser>
        <c:ser>
          <c:idx val="68"/>
          <c:order val="32"/>
          <c:tx>
            <c:strRef>
              <c:f>'Dashboard_Eksposur Kurs'!$AH$74</c:f>
              <c:strCache>
                <c:ptCount val="1"/>
                <c:pt idx="0">
                  <c:v>Papua Barat</c:v>
                </c:pt>
              </c:strCache>
            </c:strRef>
          </c:tx>
          <c:spPr>
            <a:ln w="1905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65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Kurs'!$AI$74</c:f>
              <c:numCache>
                <c:formatCode>0.00</c:formatCode>
                <c:ptCount val="1"/>
                <c:pt idx="0">
                  <c:v>3.7155316166160226</c:v>
                </c:pt>
              </c:numCache>
            </c:numRef>
          </c:xVal>
          <c:yVal>
            <c:numRef>
              <c:f>'Dashboard_Eksposur Kurs'!$AJ$74</c:f>
              <c:numCache>
                <c:formatCode>0.00</c:formatCode>
                <c:ptCount val="1"/>
                <c:pt idx="0">
                  <c:v>80.656000000000006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CA4F-47AF-BC20-EC33CED47F8E}"/>
            </c:ext>
          </c:extLst>
        </c:ser>
        <c:ser>
          <c:idx val="69"/>
          <c:order val="33"/>
          <c:tx>
            <c:strRef>
              <c:f>'Dashboard_Eksposur Kurs'!$AH$75</c:f>
              <c:strCache>
                <c:ptCount val="1"/>
                <c:pt idx="0">
                  <c:v>Papua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xVal>
            <c:numRef>
              <c:f>'Dashboard_Eksposur Kurs'!$AI$75</c:f>
              <c:numCache>
                <c:formatCode>0.00</c:formatCode>
                <c:ptCount val="1"/>
                <c:pt idx="0">
                  <c:v>9.9857625028971202E-3</c:v>
                </c:pt>
              </c:numCache>
            </c:numRef>
          </c:xVal>
          <c:yVal>
            <c:numRef>
              <c:f>'Dashboard_Eksposur Kurs'!$AJ$75</c:f>
              <c:numCache>
                <c:formatCode>0.00</c:formatCode>
                <c:ptCount val="1"/>
                <c:pt idx="0">
                  <c:v>67.930430626477431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CA4F-47AF-BC20-EC33CED47F8E}"/>
            </c:ext>
          </c:extLst>
        </c:ser>
        <c:ser>
          <c:idx val="70"/>
          <c:order val="34"/>
          <c:tx>
            <c:v>Impor</c:v>
          </c:tx>
          <c:spPr>
            <a:ln w="19050">
              <a:noFill/>
            </a:ln>
          </c:spPr>
          <c:xVal>
            <c:numRef>
              <c:f>'Dashboard_Eksposur Kurs'!$AM$59:$AM$60</c:f>
              <c:numCache>
                <c:formatCode>0.00</c:formatCode>
                <c:ptCount val="2"/>
                <c:pt idx="0">
                  <c:v>1.4874324931242717</c:v>
                </c:pt>
                <c:pt idx="1">
                  <c:v>1.4874324931242717</c:v>
                </c:pt>
              </c:numCache>
            </c:numRef>
          </c:xVal>
          <c:yVal>
            <c:numRef>
              <c:f>'Dashboard_Eksposur Kurs'!$AN$59:$AN$60</c:f>
              <c:numCache>
                <c:formatCode>0.00</c:formatCode>
                <c:ptCount val="2"/>
                <c:pt idx="0">
                  <c:v>0</c:v>
                </c:pt>
                <c:pt idx="1">
                  <c:v>110.00000000000001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CA4F-47AF-BC20-EC33CED47F8E}"/>
            </c:ext>
          </c:extLst>
        </c:ser>
        <c:ser>
          <c:idx val="71"/>
          <c:order val="35"/>
          <c:tx>
            <c:v>Ekspor</c:v>
          </c:tx>
          <c:spPr>
            <a:ln w="19050">
              <a:noFill/>
            </a:ln>
          </c:spPr>
          <c:xVal>
            <c:numRef>
              <c:f>'Dashboard_Eksposur Kurs'!$AM$63:$AM$64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42.092048793967159</c:v>
                </c:pt>
              </c:numCache>
            </c:numRef>
          </c:xVal>
          <c:yVal>
            <c:numRef>
              <c:f>'Dashboard_Eksposur Kurs'!$AN$63:$AN$64</c:f>
              <c:numCache>
                <c:formatCode>0.00</c:formatCode>
                <c:ptCount val="2"/>
                <c:pt idx="0">
                  <c:v>71.839525081715564</c:v>
                </c:pt>
                <c:pt idx="1">
                  <c:v>71.839525081715564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CA4F-47AF-BC20-EC33CED47F8E}"/>
            </c:ext>
          </c:extLst>
        </c:ser>
        <c:ser>
          <c:idx val="0"/>
          <c:order val="36"/>
          <c:tx>
            <c:strRef>
              <c:f>'Dashboard_Eksposur Kurs'!$AH$42</c:f>
              <c:strCache>
                <c:ptCount val="1"/>
                <c:pt idx="0">
                  <c:v>Aceh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'Dashboard_Eksposur Kurs'!$AI$42</c:f>
              <c:numCache>
                <c:formatCode>0.00</c:formatCode>
                <c:ptCount val="1"/>
                <c:pt idx="0">
                  <c:v>1.929859925632146</c:v>
                </c:pt>
              </c:numCache>
            </c:numRef>
          </c:xVal>
          <c:yVal>
            <c:numRef>
              <c:f>'Dashboard_Eksposur Kurs'!$AJ$42</c:f>
              <c:numCache>
                <c:formatCode>0.00</c:formatCode>
                <c:ptCount val="1"/>
                <c:pt idx="0">
                  <c:v>52.56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CA4F-47AF-BC20-EC33CED47F8E}"/>
            </c:ext>
          </c:extLst>
        </c:ser>
        <c:ser>
          <c:idx val="1"/>
          <c:order val="37"/>
          <c:tx>
            <c:strRef>
              <c:f>'Dashboard_Eksposur Kurs'!$AH$43</c:f>
              <c:strCache>
                <c:ptCount val="1"/>
                <c:pt idx="0">
                  <c:v>Sumatera Utara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Kurs'!$AI$43</c:f>
              <c:numCache>
                <c:formatCode>0.00</c:formatCode>
                <c:ptCount val="1"/>
                <c:pt idx="0">
                  <c:v>6.7991339115504994</c:v>
                </c:pt>
              </c:numCache>
            </c:numRef>
          </c:xVal>
          <c:yVal>
            <c:numRef>
              <c:f>'Dashboard_Eksposur Kurs'!$AJ$43</c:f>
              <c:numCache>
                <c:formatCode>0.00</c:formatCode>
                <c:ptCount val="1"/>
                <c:pt idx="0">
                  <c:v>73.708539000253751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CA4F-47AF-BC20-EC33CED47F8E}"/>
            </c:ext>
          </c:extLst>
        </c:ser>
        <c:ser>
          <c:idx val="2"/>
          <c:order val="38"/>
          <c:tx>
            <c:strRef>
              <c:f>'Dashboard_Eksposur Kurs'!$AH$44</c:f>
              <c:strCache>
                <c:ptCount val="1"/>
                <c:pt idx="0">
                  <c:v>Sumatera Barat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Kurs'!$AI$44</c:f>
              <c:numCache>
                <c:formatCode>0.00</c:formatCode>
                <c:ptCount val="1"/>
                <c:pt idx="0">
                  <c:v>0.73298033006151431</c:v>
                </c:pt>
              </c:numCache>
            </c:numRef>
          </c:xVal>
          <c:yVal>
            <c:numRef>
              <c:f>'Dashboard_Eksposur Kurs'!$AJ$44</c:f>
              <c:numCache>
                <c:formatCode>0.00</c:formatCode>
                <c:ptCount val="1"/>
                <c:pt idx="0">
                  <c:v>62.238102947337218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CA4F-47AF-BC20-EC33CED47F8E}"/>
            </c:ext>
          </c:extLst>
        </c:ser>
        <c:ser>
          <c:idx val="3"/>
          <c:order val="39"/>
          <c:tx>
            <c:strRef>
              <c:f>'Dashboard_Eksposur Kurs'!$AH$45</c:f>
              <c:strCache>
                <c:ptCount val="1"/>
                <c:pt idx="0">
                  <c:v>Riau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Kurs'!$AI$45</c:f>
              <c:numCache>
                <c:formatCode>0.00</c:formatCode>
                <c:ptCount val="1"/>
                <c:pt idx="0">
                  <c:v>0.47011442011741605</c:v>
                </c:pt>
              </c:numCache>
            </c:numRef>
          </c:xVal>
          <c:yVal>
            <c:numRef>
              <c:f>'Dashboard_Eksposur Kurs'!$AJ$45</c:f>
              <c:numCache>
                <c:formatCode>0.00</c:formatCode>
                <c:ptCount val="1"/>
                <c:pt idx="0">
                  <c:v>63.854099692619748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7-CA4F-47AF-BC20-EC33CED47F8E}"/>
            </c:ext>
          </c:extLst>
        </c:ser>
        <c:ser>
          <c:idx val="4"/>
          <c:order val="40"/>
          <c:tx>
            <c:strRef>
              <c:f>'Dashboard_Eksposur Kurs'!$AH$46</c:f>
              <c:strCache>
                <c:ptCount val="1"/>
                <c:pt idx="0">
                  <c:v>Jambi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Kurs'!$AI$46</c:f>
              <c:numCache>
                <c:formatCode>0.00</c:formatCode>
                <c:ptCount val="1"/>
                <c:pt idx="0">
                  <c:v>0.46810596147328976</c:v>
                </c:pt>
              </c:numCache>
            </c:numRef>
          </c:xVal>
          <c:yVal>
            <c:numRef>
              <c:f>'Dashboard_Eksposur Kurs'!$AJ$46</c:f>
              <c:numCache>
                <c:formatCode>0.00</c:formatCode>
                <c:ptCount val="1"/>
                <c:pt idx="0">
                  <c:v>71.364534034398872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8-CA4F-47AF-BC20-EC33CED47F8E}"/>
            </c:ext>
          </c:extLst>
        </c:ser>
        <c:ser>
          <c:idx val="5"/>
          <c:order val="41"/>
          <c:tx>
            <c:strRef>
              <c:f>'Dashboard_Eksposur Kurs'!$AH$47</c:f>
              <c:strCache>
                <c:ptCount val="1"/>
                <c:pt idx="0">
                  <c:v>Sumatera Selatan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Kurs'!$AI$47</c:f>
              <c:numCache>
                <c:formatCode>0.00</c:formatCode>
                <c:ptCount val="1"/>
                <c:pt idx="0">
                  <c:v>0.98438137574698803</c:v>
                </c:pt>
              </c:numCache>
            </c:numRef>
          </c:xVal>
          <c:yVal>
            <c:numRef>
              <c:f>'Dashboard_Eksposur Kurs'!$AJ$47</c:f>
              <c:numCache>
                <c:formatCode>0.00</c:formatCode>
                <c:ptCount val="1"/>
                <c:pt idx="0">
                  <c:v>82.283255813953488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9-CA4F-47AF-BC20-EC33CED47F8E}"/>
            </c:ext>
          </c:extLst>
        </c:ser>
        <c:ser>
          <c:idx val="6"/>
          <c:order val="42"/>
          <c:tx>
            <c:strRef>
              <c:f>'Dashboard_Eksposur Kurs'!$AH$48</c:f>
              <c:strCache>
                <c:ptCount val="1"/>
                <c:pt idx="0">
                  <c:v>Bengkulu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Kurs'!$AI$48</c:f>
              <c:numCache>
                <c:formatCode>0.00</c:formatCode>
                <c:ptCount val="1"/>
                <c:pt idx="0">
                  <c:v>7.7126132794589066E-3</c:v>
                </c:pt>
              </c:numCache>
            </c:numRef>
          </c:xVal>
          <c:yVal>
            <c:numRef>
              <c:f>'Dashboard_Eksposur Kurs'!$AJ$48</c:f>
              <c:numCache>
                <c:formatCode>0.00</c:formatCode>
                <c:ptCount val="1"/>
                <c:pt idx="0">
                  <c:v>86.891999999999996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A-CA4F-47AF-BC20-EC33CED47F8E}"/>
            </c:ext>
          </c:extLst>
        </c:ser>
        <c:ser>
          <c:idx val="7"/>
          <c:order val="43"/>
          <c:tx>
            <c:strRef>
              <c:f>'Dashboard_Eksposur Kurs'!$AH$49</c:f>
              <c:strCache>
                <c:ptCount val="1"/>
                <c:pt idx="0">
                  <c:v>Lampung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Kurs'!$AI$49</c:f>
              <c:numCache>
                <c:formatCode>0.00</c:formatCode>
                <c:ptCount val="1"/>
                <c:pt idx="0">
                  <c:v>13.294370087488325</c:v>
                </c:pt>
              </c:numCache>
            </c:numRef>
          </c:xVal>
          <c:yVal>
            <c:numRef>
              <c:f>'Dashboard_Eksposur Kurs'!$AJ$49</c:f>
              <c:numCache>
                <c:formatCode>0.00</c:formatCode>
                <c:ptCount val="1"/>
                <c:pt idx="0">
                  <c:v>66.907638888888883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C-CA4F-47AF-BC20-EC33CED47F8E}"/>
            </c:ext>
          </c:extLst>
        </c:ser>
        <c:ser>
          <c:idx val="8"/>
          <c:order val="44"/>
          <c:tx>
            <c:strRef>
              <c:f>'Dashboard_Eksposur Kurs'!$AH$50</c:f>
              <c:strCache>
                <c:ptCount val="1"/>
                <c:pt idx="0">
                  <c:v>Bangka Belitung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Kurs'!$AI$50</c:f>
              <c:numCache>
                <c:formatCode>0.00</c:formatCode>
                <c:ptCount val="1"/>
                <c:pt idx="0">
                  <c:v>0.39376654288572144</c:v>
                </c:pt>
              </c:numCache>
            </c:numRef>
          </c:xVal>
          <c:yVal>
            <c:numRef>
              <c:f>'Dashboard_Eksposur Kurs'!$AJ$50</c:f>
              <c:numCache>
                <c:formatCode>0.00</c:formatCode>
                <c:ptCount val="1"/>
                <c:pt idx="0">
                  <c:v>88.029707214493683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D-CA4F-47AF-BC20-EC33CED47F8E}"/>
            </c:ext>
          </c:extLst>
        </c:ser>
        <c:ser>
          <c:idx val="9"/>
          <c:order val="45"/>
          <c:tx>
            <c:strRef>
              <c:f>'Dashboard_Eksposur Kurs'!$AH$51</c:f>
              <c:strCache>
                <c:ptCount val="1"/>
                <c:pt idx="0">
                  <c:v>Kepulauan Riau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Kurs'!$AI$51</c:f>
              <c:numCache>
                <c:formatCode>0.00</c:formatCode>
                <c:ptCount val="1"/>
                <c:pt idx="0">
                  <c:v>38.265498903606506</c:v>
                </c:pt>
              </c:numCache>
            </c:numRef>
          </c:xVal>
          <c:yVal>
            <c:numRef>
              <c:f>'Dashboard_Eksposur Kurs'!$AJ$51</c:f>
              <c:numCache>
                <c:formatCode>0.00</c:formatCode>
                <c:ptCount val="1"/>
                <c:pt idx="0">
                  <c:v>77.710719236364028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E-CA4F-47AF-BC20-EC33CED47F8E}"/>
            </c:ext>
          </c:extLst>
        </c:ser>
        <c:ser>
          <c:idx val="10"/>
          <c:order val="46"/>
          <c:tx>
            <c:strRef>
              <c:f>'Dashboard_Eksposur Kurs'!$AH$52</c:f>
              <c:strCache>
                <c:ptCount val="1"/>
                <c:pt idx="0">
                  <c:v>Dki Jakarta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Kurs'!$AI$52</c:f>
              <c:numCache>
                <c:formatCode>0.00</c:formatCode>
                <c:ptCount val="1"/>
                <c:pt idx="0">
                  <c:v>30.348546028602978</c:v>
                </c:pt>
              </c:numCache>
            </c:numRef>
          </c:xVal>
          <c:yVal>
            <c:numRef>
              <c:f>'Dashboard_Eksposur Kurs'!$AJ$52</c:f>
              <c:numCache>
                <c:formatCode>0.00</c:formatCode>
                <c:ptCount val="1"/>
                <c:pt idx="0">
                  <c:v>38.218826762575027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F-CA4F-47AF-BC20-EC33CED47F8E}"/>
            </c:ext>
          </c:extLst>
        </c:ser>
        <c:ser>
          <c:idx val="11"/>
          <c:order val="47"/>
          <c:tx>
            <c:strRef>
              <c:f>'Dashboard_Eksposur Kurs'!$AH$53</c:f>
              <c:strCache>
                <c:ptCount val="1"/>
                <c:pt idx="0">
                  <c:v>Jawa Barat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Kurs'!$AI$53</c:f>
              <c:numCache>
                <c:formatCode>0.00</c:formatCode>
                <c:ptCount val="1"/>
                <c:pt idx="0">
                  <c:v>38.159048027228323</c:v>
                </c:pt>
              </c:numCache>
            </c:numRef>
          </c:xVal>
          <c:yVal>
            <c:numRef>
              <c:f>'Dashboard_Eksposur Kurs'!$AJ$53</c:f>
              <c:numCache>
                <c:formatCode>0.00</c:formatCode>
                <c:ptCount val="1"/>
                <c:pt idx="0">
                  <c:v>36.321701528575787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0-CA4F-47AF-BC20-EC33CED47F8E}"/>
            </c:ext>
          </c:extLst>
        </c:ser>
        <c:ser>
          <c:idx val="12"/>
          <c:order val="48"/>
          <c:tx>
            <c:strRef>
              <c:f>'Dashboard_Eksposur Kurs'!$AH$54</c:f>
              <c:strCache>
                <c:ptCount val="1"/>
                <c:pt idx="0">
                  <c:v>Jawa Tengah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Kurs'!$AI$54</c:f>
              <c:numCache>
                <c:formatCode>0.00</c:formatCode>
                <c:ptCount val="1"/>
                <c:pt idx="0">
                  <c:v>20.383104570680779</c:v>
                </c:pt>
              </c:numCache>
            </c:numRef>
          </c:xVal>
          <c:yVal>
            <c:numRef>
              <c:f>'Dashboard_Eksposur Kurs'!$AJ$54</c:f>
              <c:numCache>
                <c:formatCode>0.00</c:formatCode>
                <c:ptCount val="1"/>
                <c:pt idx="0">
                  <c:v>74.558131852465024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1-CA4F-47AF-BC20-EC33CED47F8E}"/>
            </c:ext>
          </c:extLst>
        </c:ser>
        <c:ser>
          <c:idx val="13"/>
          <c:order val="49"/>
          <c:tx>
            <c:strRef>
              <c:f>'Dashboard_Eksposur Kurs'!$AH$55</c:f>
              <c:strCache>
                <c:ptCount val="1"/>
                <c:pt idx="0">
                  <c:v>Di Yogyakarta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Kurs'!$AI$55</c:f>
              <c:numCache>
                <c:formatCode>0.00</c:formatCode>
                <c:ptCount val="1"/>
                <c:pt idx="0">
                  <c:v>31.068102571012485</c:v>
                </c:pt>
              </c:numCache>
            </c:numRef>
          </c:xVal>
          <c:yVal>
            <c:numRef>
              <c:f>'Dashboard_Eksposur Kurs'!$AJ$55</c:f>
              <c:numCache>
                <c:formatCode>0.00</c:formatCode>
                <c:ptCount val="1"/>
                <c:pt idx="0">
                  <c:v>77.384182029778884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2-CA4F-47AF-BC20-EC33CED47F8E}"/>
            </c:ext>
          </c:extLst>
        </c:ser>
        <c:ser>
          <c:idx val="14"/>
          <c:order val="50"/>
          <c:tx>
            <c:strRef>
              <c:f>'Dashboard_Eksposur Kurs'!$AH$56</c:f>
              <c:strCache>
                <c:ptCount val="1"/>
                <c:pt idx="0">
                  <c:v>Jawa Timur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Kurs'!$AI$56</c:f>
              <c:numCache>
                <c:formatCode>0.00</c:formatCode>
                <c:ptCount val="1"/>
                <c:pt idx="0">
                  <c:v>21.309498325981874</c:v>
                </c:pt>
              </c:numCache>
            </c:numRef>
          </c:xVal>
          <c:yVal>
            <c:numRef>
              <c:f>'Dashboard_Eksposur Kurs'!$AJ$56</c:f>
              <c:numCache>
                <c:formatCode>0.00</c:formatCode>
                <c:ptCount val="1"/>
                <c:pt idx="0">
                  <c:v>43.31582197885821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3-CA4F-47AF-BC20-EC33CED47F8E}"/>
            </c:ext>
          </c:extLst>
        </c:ser>
        <c:ser>
          <c:idx val="15"/>
          <c:order val="51"/>
          <c:tx>
            <c:strRef>
              <c:f>'Dashboard_Eksposur Kurs'!$AH$57</c:f>
              <c:strCache>
                <c:ptCount val="1"/>
                <c:pt idx="0">
                  <c:v>Banten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Kurs'!$AI$57</c:f>
              <c:numCache>
                <c:formatCode>0.00</c:formatCode>
                <c:ptCount val="1"/>
                <c:pt idx="0">
                  <c:v>29.487721766550308</c:v>
                </c:pt>
              </c:numCache>
            </c:numRef>
          </c:xVal>
          <c:yVal>
            <c:numRef>
              <c:f>'Dashboard_Eksposur Kurs'!$AJ$57</c:f>
              <c:numCache>
                <c:formatCode>0.00</c:formatCode>
                <c:ptCount val="1"/>
                <c:pt idx="0">
                  <c:v>36.117925642920071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4-CA4F-47AF-BC20-EC33CED47F8E}"/>
            </c:ext>
          </c:extLst>
        </c:ser>
        <c:ser>
          <c:idx val="16"/>
          <c:order val="52"/>
          <c:tx>
            <c:strRef>
              <c:f>'Dashboard_Eksposur Kurs'!$AH$58</c:f>
              <c:strCache>
                <c:ptCount val="1"/>
                <c:pt idx="0">
                  <c:v>Bali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Kurs'!$AI$58</c:f>
              <c:numCache>
                <c:formatCode>0.00</c:formatCode>
                <c:ptCount val="1"/>
                <c:pt idx="0">
                  <c:v>16.101761344195907</c:v>
                </c:pt>
              </c:numCache>
            </c:numRef>
          </c:xVal>
          <c:yVal>
            <c:numRef>
              <c:f>'Dashboard_Eksposur Kurs'!$AJ$58</c:f>
              <c:numCache>
                <c:formatCode>0.00</c:formatCode>
                <c:ptCount val="1"/>
                <c:pt idx="0">
                  <c:v>75.207097984399795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5-CA4F-47AF-BC20-EC33CED47F8E}"/>
            </c:ext>
          </c:extLst>
        </c:ser>
        <c:ser>
          <c:idx val="17"/>
          <c:order val="53"/>
          <c:tx>
            <c:strRef>
              <c:f>'Dashboard_Eksposur Kurs'!$AH$59</c:f>
              <c:strCache>
                <c:ptCount val="1"/>
                <c:pt idx="0">
                  <c:v>Nusa Tenggara Barat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Kurs'!$AI$59</c:f>
              <c:numCache>
                <c:formatCode>0.00</c:formatCode>
                <c:ptCount val="1"/>
                <c:pt idx="0">
                  <c:v>0.19869823007315399</c:v>
                </c:pt>
              </c:numCache>
            </c:numRef>
          </c:xVal>
          <c:yVal>
            <c:numRef>
              <c:f>'Dashboard_Eksposur Kurs'!$AJ$59</c:f>
              <c:numCache>
                <c:formatCode>0.00</c:formatCode>
                <c:ptCount val="1"/>
                <c:pt idx="0">
                  <c:v>68.24666666666667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6-CA4F-47AF-BC20-EC33CED47F8E}"/>
            </c:ext>
          </c:extLst>
        </c:ser>
        <c:ser>
          <c:idx val="18"/>
          <c:order val="54"/>
          <c:tx>
            <c:strRef>
              <c:f>'Dashboard_Eksposur Kurs'!$AH$60</c:f>
              <c:strCache>
                <c:ptCount val="1"/>
                <c:pt idx="0">
                  <c:v>Nusa Tenggara Timur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Kurs'!$AI$60</c:f>
              <c:numCache>
                <c:formatCode>0.00</c:formatCode>
                <c:ptCount val="1"/>
                <c:pt idx="0">
                  <c:v>0.28042439538072655</c:v>
                </c:pt>
              </c:numCache>
            </c:numRef>
          </c:xVal>
          <c:yVal>
            <c:numRef>
              <c:f>'Dashboard_Eksposur Kurs'!$AJ$60</c:f>
              <c:numCache>
                <c:formatCode>0.00</c:formatCode>
                <c:ptCount val="1"/>
                <c:pt idx="0">
                  <c:v>56.023333333333333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7-CA4F-47AF-BC20-EC33CED47F8E}"/>
            </c:ext>
          </c:extLst>
        </c:ser>
        <c:ser>
          <c:idx val="19"/>
          <c:order val="55"/>
          <c:tx>
            <c:strRef>
              <c:f>'Dashboard_Eksposur Kurs'!$AH$61</c:f>
              <c:strCache>
                <c:ptCount val="1"/>
                <c:pt idx="0">
                  <c:v>Kalimantan Barat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Kurs'!$AI$61</c:f>
              <c:numCache>
                <c:formatCode>0.00</c:formatCode>
                <c:ptCount val="1"/>
                <c:pt idx="0">
                  <c:v>1.342485736821704</c:v>
                </c:pt>
              </c:numCache>
            </c:numRef>
          </c:xVal>
          <c:yVal>
            <c:numRef>
              <c:f>'Dashboard_Eksposur Kurs'!$AJ$61</c:f>
              <c:numCache>
                <c:formatCode>0.00</c:formatCode>
                <c:ptCount val="1"/>
                <c:pt idx="0">
                  <c:v>72.314516129032256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8-CA4F-47AF-BC20-EC33CED47F8E}"/>
            </c:ext>
          </c:extLst>
        </c:ser>
        <c:ser>
          <c:idx val="20"/>
          <c:order val="56"/>
          <c:tx>
            <c:strRef>
              <c:f>'Dashboard_Eksposur Kurs'!$AH$62</c:f>
              <c:strCache>
                <c:ptCount val="1"/>
                <c:pt idx="0">
                  <c:v>Kalimantan Tengah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Kurs'!$AI$62</c:f>
              <c:numCache>
                <c:formatCode>0.00</c:formatCode>
                <c:ptCount val="1"/>
                <c:pt idx="0">
                  <c:v>4.6489773354598134E-2</c:v>
                </c:pt>
              </c:numCache>
            </c:numRef>
          </c:xVal>
          <c:yVal>
            <c:numRef>
              <c:f>'Dashboard_Eksposur Kurs'!$AJ$62</c:f>
              <c:numCache>
                <c:formatCode>0.00</c:formatCode>
                <c:ptCount val="1"/>
                <c:pt idx="0">
                  <c:v>77.509251313827363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9-CA4F-47AF-BC20-EC33CED47F8E}"/>
            </c:ext>
          </c:extLst>
        </c:ser>
        <c:ser>
          <c:idx val="21"/>
          <c:order val="57"/>
          <c:tx>
            <c:strRef>
              <c:f>'Dashboard_Eksposur Kurs'!$AH$63</c:f>
              <c:strCache>
                <c:ptCount val="1"/>
                <c:pt idx="0">
                  <c:v>Kalimantan Selatan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Kurs'!$AI$63</c:f>
              <c:numCache>
                <c:formatCode>0.00</c:formatCode>
                <c:ptCount val="1"/>
                <c:pt idx="0">
                  <c:v>3.1259433780205863</c:v>
                </c:pt>
              </c:numCache>
            </c:numRef>
          </c:xVal>
          <c:yVal>
            <c:numRef>
              <c:f>'Dashboard_Eksposur Kurs'!$AJ$63</c:f>
              <c:numCache>
                <c:formatCode>0.00</c:formatCode>
                <c:ptCount val="1"/>
                <c:pt idx="0">
                  <c:v>68.413124999999994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A-CA4F-47AF-BC20-EC33CED47F8E}"/>
            </c:ext>
          </c:extLst>
        </c:ser>
        <c:ser>
          <c:idx val="22"/>
          <c:order val="58"/>
          <c:tx>
            <c:strRef>
              <c:f>'Dashboard_Eksposur Kurs'!$AH$64</c:f>
              <c:strCache>
                <c:ptCount val="1"/>
                <c:pt idx="0">
                  <c:v>Kalimantan Timur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Kurs'!$AI$64</c:f>
              <c:numCache>
                <c:formatCode>0.00</c:formatCode>
                <c:ptCount val="1"/>
                <c:pt idx="0">
                  <c:v>1.343861383581932</c:v>
                </c:pt>
              </c:numCache>
            </c:numRef>
          </c:xVal>
          <c:yVal>
            <c:numRef>
              <c:f>'Dashboard_Eksposur Kurs'!$AJ$64</c:f>
              <c:numCache>
                <c:formatCode>0.00</c:formatCode>
                <c:ptCount val="1"/>
                <c:pt idx="0">
                  <c:v>50.526144770635135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B-CA4F-47AF-BC20-EC33CED47F8E}"/>
            </c:ext>
          </c:extLst>
        </c:ser>
        <c:ser>
          <c:idx val="23"/>
          <c:order val="59"/>
          <c:tx>
            <c:strRef>
              <c:f>'Dashboard_Eksposur Kurs'!$AH$65</c:f>
              <c:strCache>
                <c:ptCount val="1"/>
                <c:pt idx="0">
                  <c:v>Kalimantan Utara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xVal>
            <c:numRef>
              <c:f>'Dashboard_Eksposur Kurs'!$AI$65</c:f>
              <c:numCache>
                <c:formatCode>0.00</c:formatCode>
                <c:ptCount val="1"/>
                <c:pt idx="0">
                  <c:v>2.4233882812982643</c:v>
                </c:pt>
              </c:numCache>
            </c:numRef>
          </c:xVal>
          <c:yVal>
            <c:numRef>
              <c:f>'Dashboard_Eksposur Kurs'!$AJ$65</c:f>
              <c:numCache>
                <c:formatCode>0.00</c:formatCode>
                <c:ptCount val="1"/>
                <c:pt idx="0">
                  <c:v>88.94517294241794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C-CA4F-47AF-BC20-EC33CED47F8E}"/>
            </c:ext>
          </c:extLst>
        </c:ser>
        <c:ser>
          <c:idx val="24"/>
          <c:order val="60"/>
          <c:tx>
            <c:strRef>
              <c:f>'Dashboard_Eksposur Kurs'!$AH$66</c:f>
              <c:strCache>
                <c:ptCount val="1"/>
                <c:pt idx="0">
                  <c:v>Sulawesi Utara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xVal>
            <c:numRef>
              <c:f>'Dashboard_Eksposur Kurs'!$AI$66</c:f>
              <c:numCache>
                <c:formatCode>0.00</c:formatCode>
                <c:ptCount val="1"/>
                <c:pt idx="0">
                  <c:v>1.6310036026666115</c:v>
                </c:pt>
              </c:numCache>
            </c:numRef>
          </c:xVal>
          <c:yVal>
            <c:numRef>
              <c:f>'Dashboard_Eksposur Kurs'!$AJ$66</c:f>
              <c:numCache>
                <c:formatCode>0.00</c:formatCode>
                <c:ptCount val="1"/>
                <c:pt idx="0">
                  <c:v>61.759705882352939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D-CA4F-47AF-BC20-EC33CED47F8E}"/>
            </c:ext>
          </c:extLst>
        </c:ser>
        <c:ser>
          <c:idx val="25"/>
          <c:order val="61"/>
          <c:tx>
            <c:strRef>
              <c:f>'Dashboard_Eksposur Kurs'!$AH$67</c:f>
              <c:strCache>
                <c:ptCount val="1"/>
                <c:pt idx="0">
                  <c:v>Sulawesi Tengah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xVal>
            <c:numRef>
              <c:f>'Dashboard_Eksposur Kurs'!$AI$67</c:f>
              <c:numCache>
                <c:formatCode>0.00</c:formatCode>
                <c:ptCount val="1"/>
                <c:pt idx="0">
                  <c:v>6.3964781868707021E-2</c:v>
                </c:pt>
              </c:numCache>
            </c:numRef>
          </c:xVal>
          <c:yVal>
            <c:numRef>
              <c:f>'Dashboard_Eksposur Kurs'!$AJ$67</c:f>
              <c:numCache>
                <c:formatCode>0.00</c:formatCode>
                <c:ptCount val="1"/>
                <c:pt idx="0">
                  <c:v>73.008181818181825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E-CA4F-47AF-BC20-EC33CED47F8E}"/>
            </c:ext>
          </c:extLst>
        </c:ser>
        <c:ser>
          <c:idx val="26"/>
          <c:order val="62"/>
          <c:tx>
            <c:strRef>
              <c:f>'Dashboard_Eksposur Kurs'!$AH$68</c:f>
              <c:strCache>
                <c:ptCount val="1"/>
                <c:pt idx="0">
                  <c:v>Sulawesi Selatan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6B4233"/>
              </a:solidFill>
              <a:ln>
                <a:noFill/>
              </a:ln>
            </c:spPr>
          </c:marker>
          <c:xVal>
            <c:numRef>
              <c:f>'Dashboard_Eksposur Kurs'!$AI$68</c:f>
              <c:numCache>
                <c:formatCode>0.00</c:formatCode>
                <c:ptCount val="1"/>
                <c:pt idx="0">
                  <c:v>15.628928388257011</c:v>
                </c:pt>
              </c:numCache>
            </c:numRef>
          </c:xVal>
          <c:yVal>
            <c:numRef>
              <c:f>'Dashboard_Eksposur Kurs'!$AJ$68</c:f>
              <c:numCache>
                <c:formatCode>0.00</c:formatCode>
                <c:ptCount val="1"/>
                <c:pt idx="0">
                  <c:v>67.40150537634409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CA4F-47AF-BC20-EC33CED47F8E}"/>
            </c:ext>
          </c:extLst>
        </c:ser>
        <c:ser>
          <c:idx val="27"/>
          <c:order val="63"/>
          <c:tx>
            <c:strRef>
              <c:f>'Dashboard_Eksposur Kurs'!$AH$69</c:f>
              <c:strCache>
                <c:ptCount val="1"/>
                <c:pt idx="0">
                  <c:v>Sulawesi Tenggara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6B4233"/>
              </a:solidFill>
              <a:ln>
                <a:noFill/>
              </a:ln>
            </c:spPr>
          </c:marker>
          <c:xVal>
            <c:numRef>
              <c:f>'Dashboard_Eksposur Kurs'!$AI$69</c:f>
              <c:numCache>
                <c:formatCode>0.00</c:formatCode>
                <c:ptCount val="1"/>
                <c:pt idx="0">
                  <c:v>0.23156513296862685</c:v>
                </c:pt>
              </c:numCache>
            </c:numRef>
          </c:xVal>
          <c:yVal>
            <c:numRef>
              <c:f>'Dashboard_Eksposur Kurs'!$AJ$69</c:f>
              <c:numCache>
                <c:formatCode>0.00</c:formatCode>
                <c:ptCount val="1"/>
                <c:pt idx="0">
                  <c:v>96.578947368421055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CA4F-47AF-BC20-EC33CED47F8E}"/>
            </c:ext>
          </c:extLst>
        </c:ser>
        <c:ser>
          <c:idx val="28"/>
          <c:order val="64"/>
          <c:tx>
            <c:strRef>
              <c:f>'Dashboard_Eksposur Kurs'!$AH$70</c:f>
              <c:strCache>
                <c:ptCount val="1"/>
                <c:pt idx="0">
                  <c:v>Gorontalo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6B4233"/>
              </a:solidFill>
              <a:ln>
                <a:noFill/>
              </a:ln>
            </c:spPr>
          </c:marker>
          <c:xVal>
            <c:numRef>
              <c:f>'Dashboard_Eksposur Kurs'!$AI$70</c:f>
              <c:numCache>
                <c:formatCode>0.00</c:formatCode>
                <c:ptCount val="1"/>
                <c:pt idx="0">
                  <c:v>1.9962619298038233</c:v>
                </c:pt>
              </c:numCache>
            </c:numRef>
          </c:xVal>
          <c:yVal>
            <c:numRef>
              <c:f>'Dashboard_Eksposur Kurs'!$AJ$70</c:f>
              <c:numCache>
                <c:formatCode>0.00</c:formatCode>
                <c:ptCount val="1"/>
                <c:pt idx="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CA4F-47AF-BC20-EC33CED47F8E}"/>
            </c:ext>
          </c:extLst>
        </c:ser>
        <c:ser>
          <c:idx val="29"/>
          <c:order val="65"/>
          <c:tx>
            <c:strRef>
              <c:f>'Dashboard_Eksposur Kurs'!$AH$71</c:f>
              <c:strCache>
                <c:ptCount val="1"/>
                <c:pt idx="0">
                  <c:v>Sulawesi Barat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6B4233"/>
              </a:solidFill>
              <a:ln>
                <a:noFill/>
              </a:ln>
            </c:spPr>
          </c:marker>
          <c:xVal>
            <c:numRef>
              <c:f>'Dashboard_Eksposur Kurs'!$AI$71</c:f>
              <c:numCache>
                <c:formatCode>0.00</c:formatCode>
                <c:ptCount val="1"/>
                <c:pt idx="0">
                  <c:v>0.29562665500740692</c:v>
                </c:pt>
              </c:numCache>
            </c:numRef>
          </c:xVal>
          <c:yVal>
            <c:numRef>
              <c:f>'Dashboard_Eksposur Kurs'!$AJ$71</c:f>
              <c:numCache>
                <c:formatCode>0.00</c:formatCode>
                <c:ptCount val="1"/>
                <c:pt idx="0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CA4F-47AF-BC20-EC33CED47F8E}"/>
            </c:ext>
          </c:extLst>
        </c:ser>
        <c:ser>
          <c:idx val="30"/>
          <c:order val="66"/>
          <c:tx>
            <c:strRef>
              <c:f>'Dashboard_Eksposur Kurs'!$AH$72</c:f>
              <c:strCache>
                <c:ptCount val="1"/>
                <c:pt idx="0">
                  <c:v>Maluku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6B4233"/>
              </a:solidFill>
              <a:ln>
                <a:noFill/>
              </a:ln>
            </c:spPr>
          </c:marker>
          <c:xVal>
            <c:numRef>
              <c:f>'Dashboard_Eksposur Kurs'!$AI$72</c:f>
              <c:numCache>
                <c:formatCode>0.00</c:formatCode>
                <c:ptCount val="1"/>
                <c:pt idx="0">
                  <c:v>7.864306856810957E-2</c:v>
                </c:pt>
              </c:numCache>
            </c:numRef>
          </c:xVal>
          <c:yVal>
            <c:numRef>
              <c:f>'Dashboard_Eksposur Kurs'!$AJ$72</c:f>
              <c:numCache>
                <c:formatCode>0.00</c:formatCode>
                <c:ptCount val="1"/>
                <c:pt idx="0">
                  <c:v>93.843571428571423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CA4F-47AF-BC20-EC33CED47F8E}"/>
            </c:ext>
          </c:extLst>
        </c:ser>
        <c:ser>
          <c:idx val="31"/>
          <c:order val="67"/>
          <c:tx>
            <c:strRef>
              <c:f>'Dashboard_Eksposur Kurs'!$AH$73</c:f>
              <c:strCache>
                <c:ptCount val="1"/>
                <c:pt idx="0">
                  <c:v>Maluku Utara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6"/>
            <c:spPr>
              <a:noFill/>
              <a:ln>
                <a:noFill/>
              </a:ln>
            </c:spPr>
          </c:marker>
          <c:xVal>
            <c:numRef>
              <c:f>'Dashboard_Eksposur Kurs'!$AI$73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'Dashboard_Eksposur Kurs'!$AJ$73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CA4F-47AF-BC20-EC33CED47F8E}"/>
            </c:ext>
          </c:extLst>
        </c:ser>
        <c:ser>
          <c:idx val="32"/>
          <c:order val="68"/>
          <c:tx>
            <c:strRef>
              <c:f>'Dashboard_Eksposur Kurs'!$AH$74</c:f>
              <c:strCache>
                <c:ptCount val="1"/>
                <c:pt idx="0">
                  <c:v>Papua Barat</c:v>
                </c:pt>
              </c:strCache>
            </c:strRef>
          </c:tx>
          <c:spPr>
            <a:ln w="19050">
              <a:noFill/>
            </a:ln>
          </c:spPr>
          <c:marker>
            <c:spPr>
              <a:solidFill>
                <a:srgbClr val="6B4233"/>
              </a:solidFill>
              <a:ln>
                <a:noFill/>
              </a:ln>
            </c:spPr>
          </c:marker>
          <c:xVal>
            <c:numRef>
              <c:f>'Dashboard_Eksposur Kurs'!$AI$74</c:f>
              <c:numCache>
                <c:formatCode>0.00</c:formatCode>
                <c:ptCount val="1"/>
                <c:pt idx="0">
                  <c:v>3.7155316166160226</c:v>
                </c:pt>
              </c:numCache>
            </c:numRef>
          </c:xVal>
          <c:yVal>
            <c:numRef>
              <c:f>'Dashboard_Eksposur Kurs'!$AJ$74</c:f>
              <c:numCache>
                <c:formatCode>0.00</c:formatCode>
                <c:ptCount val="1"/>
                <c:pt idx="0">
                  <c:v>80.656000000000006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CA4F-47AF-BC20-EC33CED47F8E}"/>
            </c:ext>
          </c:extLst>
        </c:ser>
        <c:ser>
          <c:idx val="33"/>
          <c:order val="69"/>
          <c:tx>
            <c:strRef>
              <c:f>'Dashboard_Eksposur Kurs'!$AH$75</c:f>
              <c:strCache>
                <c:ptCount val="1"/>
                <c:pt idx="0">
                  <c:v>Papua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xVal>
            <c:numRef>
              <c:f>'Dashboard_Eksposur Kurs'!$AI$75</c:f>
              <c:numCache>
                <c:formatCode>0.00</c:formatCode>
                <c:ptCount val="1"/>
                <c:pt idx="0">
                  <c:v>9.9857625028971202E-3</c:v>
                </c:pt>
              </c:numCache>
            </c:numRef>
          </c:xVal>
          <c:yVal>
            <c:numRef>
              <c:f>'Dashboard_Eksposur Kurs'!$AJ$75</c:f>
              <c:numCache>
                <c:formatCode>0.00</c:formatCode>
                <c:ptCount val="1"/>
                <c:pt idx="0">
                  <c:v>67.930430626477431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CA4F-47AF-BC20-EC33CED47F8E}"/>
            </c:ext>
          </c:extLst>
        </c:ser>
        <c:ser>
          <c:idx val="34"/>
          <c:order val="70"/>
          <c:spPr>
            <a:ln w="19050">
              <a:solidFill>
                <a:srgbClr val="E59A3C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'Dashboard_Eksposur Kurs'!$AM$45:$AM$46</c:f>
              <c:numCache>
                <c:formatCode>0.00</c:formatCode>
                <c:ptCount val="2"/>
                <c:pt idx="0">
                  <c:v>8.3122502594966114</c:v>
                </c:pt>
                <c:pt idx="1">
                  <c:v>8.3122502594966114</c:v>
                </c:pt>
              </c:numCache>
            </c:numRef>
          </c:xVal>
          <c:yVal>
            <c:numRef>
              <c:f>'Dashboard_Eksposur Kurs'!$AN$45:$AN$46</c:f>
              <c:numCache>
                <c:formatCode>0.00</c:formatCode>
                <c:ptCount val="2"/>
                <c:pt idx="0">
                  <c:v>0</c:v>
                </c:pt>
                <c:pt idx="1">
                  <c:v>110.00000000000001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CA4F-47AF-BC20-EC33CED47F8E}"/>
            </c:ext>
          </c:extLst>
        </c:ser>
        <c:ser>
          <c:idx val="35"/>
          <c:order val="71"/>
          <c:spPr>
            <a:ln w="19050">
              <a:solidFill>
                <a:srgbClr val="E59A3C"/>
              </a:solidFill>
            </a:ln>
          </c:spPr>
          <c:marker>
            <c:symbol val="circle"/>
            <c:size val="6"/>
            <c:spPr>
              <a:noFill/>
              <a:ln>
                <a:noFill/>
              </a:ln>
            </c:spPr>
          </c:marker>
          <c:xVal>
            <c:numRef>
              <c:f>'Dashboard_Eksposur Kurs'!$AM$49:$AM$50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42.092048793967159</c:v>
                </c:pt>
              </c:numCache>
            </c:numRef>
          </c:xVal>
          <c:yVal>
            <c:numRef>
              <c:f>'Dashboard_Eksposur Kurs'!$AN$49:$AN$50</c:f>
              <c:numCache>
                <c:formatCode>0.00</c:formatCode>
                <c:ptCount val="2"/>
                <c:pt idx="0">
                  <c:v>67.936142272474839</c:v>
                </c:pt>
                <c:pt idx="1">
                  <c:v>67.936142272474839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CA4F-47AF-BC20-EC33CED47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Share Impor terhadap Total Biaya</a:t>
                </a:r>
                <a:r>
                  <a:rPr lang="en-GB" baseline="0"/>
                  <a:t> Input (%</a:t>
                </a:r>
                <a:r>
                  <a:rPr lang="en-GB"/>
                  <a:t>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baseline="0"/>
                  <a:t>Share Ekspor terhadap</a:t>
                </a:r>
                <a:r>
                  <a:rPr lang="en-GB"/>
                  <a:t> Total Penjualan</a:t>
                </a:r>
                <a:r>
                  <a:rPr lang="en-GB" baseline="0"/>
                  <a:t> (%)</a:t>
                </a:r>
                <a:endParaRPr lang="en-GB"/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sz="1400"/>
              <a:t>Share Perusahaan</a:t>
            </a:r>
            <a:r>
              <a:rPr lang="en-GB" sz="1400" baseline="0"/>
              <a:t> yang Melakukan Impor vs Ekspor berdasarkan Sektor, </a:t>
            </a:r>
            <a:r>
              <a:rPr lang="en-GB" sz="1400"/>
              <a:t>2022 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4970707070707067E-2"/>
          <c:y val="9.8777777777777784E-2"/>
          <c:w val="0.87847474747474752"/>
          <c:h val="0.83430244444444446"/>
        </c:manualLayout>
      </c:layout>
      <c:scatterChart>
        <c:scatterStyle val="lineMarker"/>
        <c:varyColors val="1"/>
        <c:ser>
          <c:idx val="0"/>
          <c:order val="0"/>
          <c:tx>
            <c:v>Makanan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(2)'!$B$72</c:f>
              <c:numCache>
                <c:formatCode>General</c:formatCode>
                <c:ptCount val="1"/>
                <c:pt idx="0">
                  <c:v>2.8762540817260742</c:v>
                </c:pt>
              </c:numCache>
            </c:numRef>
          </c:xVal>
          <c:yVal>
            <c:numRef>
              <c:f>'[1]Summary Kuadran (2)'!$C$72</c:f>
              <c:numCache>
                <c:formatCode>General</c:formatCode>
                <c:ptCount val="1"/>
                <c:pt idx="0">
                  <c:v>7.3043479919433594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27-420F-A2D1-F1A7C7F73002}"/>
            </c:ext>
          </c:extLst>
        </c:ser>
        <c:ser>
          <c:idx val="1"/>
          <c:order val="1"/>
          <c:tx>
            <c:v>Minuman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(2)'!$B$73</c:f>
              <c:numCache>
                <c:formatCode>General</c:formatCode>
                <c:ptCount val="1"/>
                <c:pt idx="0">
                  <c:v>3.099730491638184</c:v>
                </c:pt>
              </c:numCache>
            </c:numRef>
          </c:xVal>
          <c:yVal>
            <c:numRef>
              <c:f>'[1]Summary Kuadran (2)'!$C$73</c:f>
              <c:numCache>
                <c:formatCode>General</c:formatCode>
                <c:ptCount val="1"/>
                <c:pt idx="0">
                  <c:v>3.3692722320556641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27-420F-A2D1-F1A7C7F73002}"/>
            </c:ext>
          </c:extLst>
        </c:ser>
        <c:ser>
          <c:idx val="2"/>
          <c:order val="2"/>
          <c:tx>
            <c:v>Pengolahan Tembakau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(2)'!$B$74</c:f>
              <c:numCache>
                <c:formatCode>General</c:formatCode>
                <c:ptCount val="1"/>
                <c:pt idx="0">
                  <c:v>3.4013607501983638</c:v>
                </c:pt>
              </c:numCache>
            </c:numRef>
          </c:xVal>
          <c:yVal>
            <c:numRef>
              <c:f>'[1]Summary Kuadran (2)'!$C$74</c:f>
              <c:numCache>
                <c:formatCode>General</c:formatCode>
                <c:ptCount val="1"/>
                <c:pt idx="0">
                  <c:v>6.6666669845581046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E27-420F-A2D1-F1A7C7F73002}"/>
            </c:ext>
          </c:extLst>
        </c:ser>
        <c:ser>
          <c:idx val="3"/>
          <c:order val="3"/>
          <c:tx>
            <c:v>Tekstil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(2)'!$B$75</c:f>
              <c:numCache>
                <c:formatCode>General</c:formatCode>
                <c:ptCount val="1"/>
                <c:pt idx="0">
                  <c:v>8.0907745361328125</c:v>
                </c:pt>
              </c:numCache>
            </c:numRef>
          </c:xVal>
          <c:yVal>
            <c:numRef>
              <c:f>'[1]Summary Kuadran (2)'!$C$75</c:f>
              <c:numCache>
                <c:formatCode>General</c:formatCode>
                <c:ptCount val="1"/>
                <c:pt idx="0">
                  <c:v>9.0281200408935547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E27-420F-A2D1-F1A7C7F73002}"/>
            </c:ext>
          </c:extLst>
        </c:ser>
        <c:ser>
          <c:idx val="4"/>
          <c:order val="4"/>
          <c:tx>
            <c:v>Pakaian Jadi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(2)'!$B$76</c:f>
              <c:numCache>
                <c:formatCode>General</c:formatCode>
                <c:ptCount val="1"/>
                <c:pt idx="0">
                  <c:v>8.5138540267944336</c:v>
                </c:pt>
              </c:numCache>
            </c:numRef>
          </c:xVal>
          <c:yVal>
            <c:numRef>
              <c:f>'[1]Summary Kuadran (2)'!$C$76</c:f>
              <c:numCache>
                <c:formatCode>General</c:formatCode>
                <c:ptCount val="1"/>
                <c:pt idx="0">
                  <c:v>14.105793952941889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E27-420F-A2D1-F1A7C7F73002}"/>
            </c:ext>
          </c:extLst>
        </c:ser>
        <c:ser>
          <c:idx val="5"/>
          <c:order val="5"/>
          <c:tx>
            <c:v>Kulit. Barang dari Kulit dan Alas Kaki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(2)'!$B$77</c:f>
              <c:numCache>
                <c:formatCode>General</c:formatCode>
                <c:ptCount val="1"/>
                <c:pt idx="0">
                  <c:v>11.973684310913089</c:v>
                </c:pt>
              </c:numCache>
            </c:numRef>
          </c:xVal>
          <c:yVal>
            <c:numRef>
              <c:f>'[1]Summary Kuadran (2)'!$C$77</c:f>
              <c:numCache>
                <c:formatCode>General</c:formatCode>
                <c:ptCount val="1"/>
                <c:pt idx="0">
                  <c:v>15.00000095367432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E27-420F-A2D1-F1A7C7F73002}"/>
            </c:ext>
          </c:extLst>
        </c:ser>
        <c:ser>
          <c:idx val="6"/>
          <c:order val="6"/>
          <c:tx>
            <c:v>Kayu. Barang dari Kayu dan Gabus (Tidak Termasuk Furnitur) dan Barang Anyaman dari Bambu. Rotan dan Sejenisnya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(2)'!$B$78</c:f>
              <c:numCache>
                <c:formatCode>General</c:formatCode>
                <c:ptCount val="1"/>
                <c:pt idx="0">
                  <c:v>3.7390611171722412</c:v>
                </c:pt>
              </c:numCache>
            </c:numRef>
          </c:xVal>
          <c:yVal>
            <c:numRef>
              <c:f>'[1]Summary Kuadran (2)'!$C$78</c:f>
              <c:numCache>
                <c:formatCode>General</c:formatCode>
                <c:ptCount val="1"/>
                <c:pt idx="0">
                  <c:v>35.640411376953118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E27-420F-A2D1-F1A7C7F73002}"/>
            </c:ext>
          </c:extLst>
        </c:ser>
        <c:ser>
          <c:idx val="7"/>
          <c:order val="7"/>
          <c:tx>
            <c:v>Kertas dan Barang dari Kertas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(2)'!$B$79</c:f>
              <c:numCache>
                <c:formatCode>General</c:formatCode>
                <c:ptCount val="1"/>
                <c:pt idx="0">
                  <c:v>9.7271652221679688</c:v>
                </c:pt>
              </c:numCache>
            </c:numRef>
          </c:xVal>
          <c:yVal>
            <c:numRef>
              <c:f>'[1]Summary Kuadran (2)'!$C$79</c:f>
              <c:numCache>
                <c:formatCode>General</c:formatCode>
                <c:ptCount val="1"/>
                <c:pt idx="0">
                  <c:v>7.4733095169067383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E27-420F-A2D1-F1A7C7F73002}"/>
            </c:ext>
          </c:extLst>
        </c:ser>
        <c:ser>
          <c:idx val="8"/>
          <c:order val="8"/>
          <c:tx>
            <c:v>Pencetakan dan Reproduksi Media Rekaman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(2)'!$B$80</c:f>
              <c:numCache>
                <c:formatCode>General</c:formatCode>
                <c:ptCount val="1"/>
                <c:pt idx="0">
                  <c:v>2.8538811206817631</c:v>
                </c:pt>
              </c:numCache>
            </c:numRef>
          </c:xVal>
          <c:yVal>
            <c:numRef>
              <c:f>'[1]Summary Kuadran (2)'!$C$80</c:f>
              <c:numCache>
                <c:formatCode>General</c:formatCode>
                <c:ptCount val="1"/>
                <c:pt idx="0">
                  <c:v>1.7123287916183469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E27-420F-A2D1-F1A7C7F73002}"/>
            </c:ext>
          </c:extLst>
        </c:ser>
        <c:ser>
          <c:idx val="9"/>
          <c:order val="9"/>
          <c:tx>
            <c:v>Produk dari Batu Bara dan Pengilangan Minyak Bumi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(2)'!$B$81</c:f>
              <c:numCache>
                <c:formatCode>General</c:formatCode>
                <c:ptCount val="1"/>
                <c:pt idx="0">
                  <c:v>4.9382715225219727</c:v>
                </c:pt>
              </c:numCache>
            </c:numRef>
          </c:xVal>
          <c:yVal>
            <c:numRef>
              <c:f>'[1]Summary Kuadran (2)'!$C$81</c:f>
              <c:numCache>
                <c:formatCode>General</c:formatCode>
                <c:ptCount val="1"/>
                <c:pt idx="0">
                  <c:v>4.3209877014160156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E27-420F-A2D1-F1A7C7F73002}"/>
            </c:ext>
          </c:extLst>
        </c:ser>
        <c:ser>
          <c:idx val="10"/>
          <c:order val="10"/>
          <c:tx>
            <c:v>Bahan Kimia dan Barang dari Bahan Kimia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(2)'!$B$82</c:f>
              <c:numCache>
                <c:formatCode>General</c:formatCode>
                <c:ptCount val="1"/>
                <c:pt idx="0">
                  <c:v>10.81354236602783</c:v>
                </c:pt>
              </c:numCache>
            </c:numRef>
          </c:xVal>
          <c:yVal>
            <c:numRef>
              <c:f>'[1]Summary Kuadran (2)'!$C$82</c:f>
              <c:numCache>
                <c:formatCode>General</c:formatCode>
                <c:ptCount val="1"/>
                <c:pt idx="0">
                  <c:v>12.63264274597168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E27-420F-A2D1-F1A7C7F73002}"/>
            </c:ext>
          </c:extLst>
        </c:ser>
        <c:ser>
          <c:idx val="11"/>
          <c:order val="11"/>
          <c:tx>
            <c:v>Farmasi. Produk Obat Kimia dan Obat Tradisional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(2)'!$B$83</c:f>
              <c:numCache>
                <c:formatCode>General</c:formatCode>
                <c:ptCount val="1"/>
                <c:pt idx="0">
                  <c:v>16.546762466430661</c:v>
                </c:pt>
              </c:numCache>
            </c:numRef>
          </c:xVal>
          <c:yVal>
            <c:numRef>
              <c:f>'[1]Summary Kuadran (2)'!$C$83</c:f>
              <c:numCache>
                <c:formatCode>General</c:formatCode>
                <c:ptCount val="1"/>
                <c:pt idx="0">
                  <c:v>7.1942448616027832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BE27-420F-A2D1-F1A7C7F73002}"/>
            </c:ext>
          </c:extLst>
        </c:ser>
        <c:ser>
          <c:idx val="12"/>
          <c:order val="12"/>
          <c:tx>
            <c:v>Karet. Barang dari Karet dan Plastik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(2)'!$B$84</c:f>
              <c:numCache>
                <c:formatCode>General</c:formatCode>
                <c:ptCount val="1"/>
                <c:pt idx="0">
                  <c:v>9.9927330017089844</c:v>
                </c:pt>
              </c:numCache>
            </c:numRef>
          </c:xVal>
          <c:yVal>
            <c:numRef>
              <c:f>'[1]Summary Kuadran (2)'!$C$84</c:f>
              <c:numCache>
                <c:formatCode>General</c:formatCode>
                <c:ptCount val="1"/>
                <c:pt idx="0">
                  <c:v>9.9927330017089844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BE27-420F-A2D1-F1A7C7F73002}"/>
            </c:ext>
          </c:extLst>
        </c:ser>
        <c:ser>
          <c:idx val="13"/>
          <c:order val="13"/>
          <c:tx>
            <c:v>Barang Galian Bukan Logam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(2)'!$B$85</c:f>
              <c:numCache>
                <c:formatCode>General</c:formatCode>
                <c:ptCount val="1"/>
                <c:pt idx="0">
                  <c:v>4.0067720413208008</c:v>
                </c:pt>
              </c:numCache>
            </c:numRef>
          </c:xVal>
          <c:yVal>
            <c:numRef>
              <c:f>'[1]Summary Kuadran (2)'!$C$85</c:f>
              <c:numCache>
                <c:formatCode>General</c:formatCode>
                <c:ptCount val="1"/>
                <c:pt idx="0">
                  <c:v>4.57110595703125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BE27-420F-A2D1-F1A7C7F73002}"/>
            </c:ext>
          </c:extLst>
        </c:ser>
        <c:ser>
          <c:idx val="14"/>
          <c:order val="14"/>
          <c:tx>
            <c:v>Logam Dasar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(2)'!$B$86</c:f>
              <c:numCache>
                <c:formatCode>General</c:formatCode>
                <c:ptCount val="1"/>
                <c:pt idx="0">
                  <c:v>14.681892395019529</c:v>
                </c:pt>
              </c:numCache>
            </c:numRef>
          </c:xVal>
          <c:yVal>
            <c:numRef>
              <c:f>'[1]Summary Kuadran (2)'!$C$86</c:f>
              <c:numCache>
                <c:formatCode>General</c:formatCode>
                <c:ptCount val="1"/>
                <c:pt idx="0">
                  <c:v>14.845024108886721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BE27-420F-A2D1-F1A7C7F73002}"/>
            </c:ext>
          </c:extLst>
        </c:ser>
        <c:ser>
          <c:idx val="15"/>
          <c:order val="15"/>
          <c:tx>
            <c:v>Barang Logam. Bukan Mesin dan Peralatannya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(2)'!$B$87</c:f>
              <c:numCache>
                <c:formatCode>General</c:formatCode>
                <c:ptCount val="1"/>
                <c:pt idx="0">
                  <c:v>9.3230400085449219</c:v>
                </c:pt>
              </c:numCache>
            </c:numRef>
          </c:xVal>
          <c:yVal>
            <c:numRef>
              <c:f>'[1]Summary Kuadran (2)'!$C$87</c:f>
              <c:numCache>
                <c:formatCode>General</c:formatCode>
                <c:ptCount val="1"/>
                <c:pt idx="0">
                  <c:v>5.6413302421569824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BE27-420F-A2D1-F1A7C7F73002}"/>
            </c:ext>
          </c:extLst>
        </c:ser>
        <c:ser>
          <c:idx val="16"/>
          <c:order val="16"/>
          <c:tx>
            <c:v>Komputer. Barang Elektronik dan Optik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(2)'!$B$88</c:f>
              <c:numCache>
                <c:formatCode>General</c:formatCode>
                <c:ptCount val="1"/>
                <c:pt idx="0">
                  <c:v>18.181818008422852</c:v>
                </c:pt>
              </c:numCache>
            </c:numRef>
          </c:xVal>
          <c:yVal>
            <c:numRef>
              <c:f>'[1]Summary Kuadran (2)'!$C$88</c:f>
              <c:numCache>
                <c:formatCode>General</c:formatCode>
                <c:ptCount val="1"/>
                <c:pt idx="0">
                  <c:v>22.038566589355469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BE27-420F-A2D1-F1A7C7F73002}"/>
            </c:ext>
          </c:extLst>
        </c:ser>
        <c:ser>
          <c:idx val="17"/>
          <c:order val="17"/>
          <c:tx>
            <c:v>Peralatan Listrik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(2)'!$B$89</c:f>
              <c:numCache>
                <c:formatCode>General</c:formatCode>
                <c:ptCount val="1"/>
                <c:pt idx="0">
                  <c:v>15.242880821228029</c:v>
                </c:pt>
              </c:numCache>
            </c:numRef>
          </c:xVal>
          <c:yVal>
            <c:numRef>
              <c:f>'[1]Summary Kuadran (2)'!$C$89</c:f>
              <c:numCache>
                <c:formatCode>General</c:formatCode>
                <c:ptCount val="1"/>
                <c:pt idx="0">
                  <c:v>9.7152423858642578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BE27-420F-A2D1-F1A7C7F73002}"/>
            </c:ext>
          </c:extLst>
        </c:ser>
        <c:ser>
          <c:idx val="18"/>
          <c:order val="18"/>
          <c:tx>
            <c:v>Mesin dan Perlengkapan ytdl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(2)'!$B$90</c:f>
              <c:numCache>
                <c:formatCode>General</c:formatCode>
                <c:ptCount val="1"/>
                <c:pt idx="0">
                  <c:v>10.8875732421875</c:v>
                </c:pt>
              </c:numCache>
            </c:numRef>
          </c:xVal>
          <c:yVal>
            <c:numRef>
              <c:f>'[1]Summary Kuadran (2)'!$C$90</c:f>
              <c:numCache>
                <c:formatCode>General</c:formatCode>
                <c:ptCount val="1"/>
                <c:pt idx="0">
                  <c:v>8.1656808853149414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BE27-420F-A2D1-F1A7C7F73002}"/>
            </c:ext>
          </c:extLst>
        </c:ser>
        <c:ser>
          <c:idx val="19"/>
          <c:order val="19"/>
          <c:tx>
            <c:v>Kendaraan Bermotor. Trailer dan Semi Trailer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(2)'!$B$91</c:f>
              <c:numCache>
                <c:formatCode>General</c:formatCode>
                <c:ptCount val="1"/>
                <c:pt idx="0">
                  <c:v>7.4358978271484384</c:v>
                </c:pt>
              </c:numCache>
            </c:numRef>
          </c:xVal>
          <c:yVal>
            <c:numRef>
              <c:f>'[1]Summary Kuadran (2)'!$C$91</c:f>
              <c:numCache>
                <c:formatCode>General</c:formatCode>
                <c:ptCount val="1"/>
                <c:pt idx="0">
                  <c:v>7.5641026496887207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BE27-420F-A2D1-F1A7C7F73002}"/>
            </c:ext>
          </c:extLst>
        </c:ser>
        <c:ser>
          <c:idx val="20"/>
          <c:order val="20"/>
          <c:tx>
            <c:v>Alat Angkutan Lainnya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(2)'!$B$92</c:f>
              <c:numCache>
                <c:formatCode>General</c:formatCode>
                <c:ptCount val="1"/>
                <c:pt idx="0">
                  <c:v>10.12658214569092</c:v>
                </c:pt>
              </c:numCache>
            </c:numRef>
          </c:xVal>
          <c:yVal>
            <c:numRef>
              <c:f>'[1]Summary Kuadran (2)'!$C$92</c:f>
              <c:numCache>
                <c:formatCode>General</c:formatCode>
                <c:ptCount val="1"/>
                <c:pt idx="0">
                  <c:v>6.1181435585021973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BE27-420F-A2D1-F1A7C7F73002}"/>
            </c:ext>
          </c:extLst>
        </c:ser>
        <c:ser>
          <c:idx val="21"/>
          <c:order val="21"/>
          <c:tx>
            <c:v>Furnitur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(2)'!$B$93</c:f>
              <c:numCache>
                <c:formatCode>General</c:formatCode>
                <c:ptCount val="1"/>
                <c:pt idx="0">
                  <c:v>5.2142858505249023</c:v>
                </c:pt>
              </c:numCache>
            </c:numRef>
          </c:xVal>
          <c:yVal>
            <c:numRef>
              <c:f>'[1]Summary Kuadran (2)'!$C$93</c:f>
              <c:numCache>
                <c:formatCode>General</c:formatCode>
                <c:ptCount val="1"/>
                <c:pt idx="0">
                  <c:v>35.714286804199219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BE27-420F-A2D1-F1A7C7F73002}"/>
            </c:ext>
          </c:extLst>
        </c:ser>
        <c:ser>
          <c:idx val="22"/>
          <c:order val="22"/>
          <c:tx>
            <c:v>Pengolahan Lainnya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(2)'!$B$94</c:f>
              <c:numCache>
                <c:formatCode>General</c:formatCode>
                <c:ptCount val="1"/>
                <c:pt idx="0">
                  <c:v>17.14601898193359</c:v>
                </c:pt>
              </c:numCache>
            </c:numRef>
          </c:xVal>
          <c:yVal>
            <c:numRef>
              <c:f>'[1]Summary Kuadran (2)'!$C$94</c:f>
              <c:numCache>
                <c:formatCode>General</c:formatCode>
                <c:ptCount val="1"/>
                <c:pt idx="0">
                  <c:v>21.681415557861332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BE27-420F-A2D1-F1A7C7F73002}"/>
            </c:ext>
          </c:extLst>
        </c:ser>
        <c:ser>
          <c:idx val="23"/>
          <c:order val="23"/>
          <c:tx>
            <c:v>Jasa Reparasi dan Pemasangan Mesin dan Peralatan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(2)'!$B$95</c:f>
              <c:numCache>
                <c:formatCode>General</c:formatCode>
                <c:ptCount val="1"/>
                <c:pt idx="0">
                  <c:v>5.089820384979248</c:v>
                </c:pt>
              </c:numCache>
            </c:numRef>
          </c:xVal>
          <c:yVal>
            <c:numRef>
              <c:f>'[1]Summary Kuadran (2)'!$C$95</c:f>
              <c:numCache>
                <c:formatCode>General</c:formatCode>
                <c:ptCount val="1"/>
                <c:pt idx="0">
                  <c:v>1.796407222747803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BE27-420F-A2D1-F1A7C7F73002}"/>
            </c:ext>
          </c:extLst>
        </c:ser>
        <c:ser>
          <c:idx val="24"/>
          <c:order val="24"/>
          <c:tx>
            <c:v>Ambang Impor</c:v>
          </c:tx>
          <c:spPr>
            <a:ln w="12700">
              <a:solidFill>
                <a:srgbClr val="E59A3C"/>
              </a:solidFill>
              <a:prstDash val="solid"/>
            </a:ln>
          </c:spPr>
          <c:marker>
            <c:symbol val="none"/>
          </c:marker>
          <c:xVal>
            <c:numRef>
              <c:f>'[1]Summary Kuadran (2)'!$F$75:$F$76</c:f>
              <c:numCache>
                <c:formatCode>General</c:formatCode>
                <c:ptCount val="2"/>
                <c:pt idx="0">
                  <c:v>8.9126523633797969</c:v>
                </c:pt>
                <c:pt idx="1">
                  <c:v>8.9126523633797969</c:v>
                </c:pt>
              </c:numCache>
            </c:numRef>
          </c:xVal>
          <c:yVal>
            <c:numRef>
              <c:f>'[1]Summary Kuadran (2)'!$G$75:$G$76</c:f>
              <c:numCache>
                <c:formatCode>General</c:formatCode>
                <c:ptCount val="2"/>
                <c:pt idx="0">
                  <c:v>0</c:v>
                </c:pt>
                <c:pt idx="1">
                  <c:v>39.285715484619146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BE27-420F-A2D1-F1A7C7F73002}"/>
            </c:ext>
          </c:extLst>
        </c:ser>
        <c:ser>
          <c:idx val="25"/>
          <c:order val="25"/>
          <c:tx>
            <c:v>Ambang Ekspor</c:v>
          </c:tx>
          <c:spPr>
            <a:ln w="12700">
              <a:solidFill>
                <a:srgbClr val="E59A3C"/>
              </a:solidFill>
              <a:prstDash val="solid"/>
            </a:ln>
          </c:spPr>
          <c:marker>
            <c:symbol val="none"/>
          </c:marker>
          <c:xVal>
            <c:numRef>
              <c:f>'[1]Summary Kuadran (2)'!$F$79:$F$80</c:f>
              <c:numCache>
                <c:formatCode>General</c:formatCode>
                <c:ptCount val="2"/>
                <c:pt idx="0">
                  <c:v>0</c:v>
                </c:pt>
                <c:pt idx="1">
                  <c:v>19.999999809265137</c:v>
                </c:pt>
              </c:numCache>
            </c:numRef>
          </c:xVal>
          <c:yVal>
            <c:numRef>
              <c:f>'[1]Summary Kuadran (2)'!$G$79:$G$80</c:f>
              <c:numCache>
                <c:formatCode>General</c:formatCode>
                <c:ptCount val="2"/>
                <c:pt idx="0">
                  <c:v>11.345506921410561</c:v>
                </c:pt>
                <c:pt idx="1">
                  <c:v>11.345506921410561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BE27-420F-A2D1-F1A7C7F73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1000" b="1" i="0" u="none" strike="noStrike" kern="1200" baseline="0">
                    <a:solidFill>
                      <a:srgbClr val="000000"/>
                    </a:solidFill>
                  </a:rPr>
                  <a:t>Share Perusahaan yang Impor Bahan Baku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4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1000" b="1" i="0" u="none" strike="noStrike" kern="1200" baseline="0">
                    <a:solidFill>
                      <a:srgbClr val="000000"/>
                    </a:solidFill>
                  </a:rPr>
                  <a:t>Share Perusahaan yang  Ekspor Produk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sz="1400" b="1" i="0" u="none" strike="noStrike" kern="1200" baseline="0">
                <a:solidFill>
                  <a:srgbClr val="000000"/>
                </a:solidFill>
              </a:rPr>
              <a:t>Share Perusahaan yang Melakukan Impor vs Ekspor berdasarkan Provinsi, 2022 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7.5728282828282825E-2"/>
          <c:y val="9.5955555555555558E-2"/>
          <c:w val="0.89771717171717158"/>
          <c:h val="0.81172466666666676"/>
        </c:manualLayout>
      </c:layout>
      <c:scatterChart>
        <c:scatterStyle val="lineMarker"/>
        <c:varyColors val="1"/>
        <c:ser>
          <c:idx val="0"/>
          <c:order val="0"/>
          <c:tx>
            <c:v>Aceh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(2)'!$B$101</c:f>
              <c:numCache>
                <c:formatCode>General</c:formatCode>
                <c:ptCount val="1"/>
                <c:pt idx="0">
                  <c:v>1.149425268173218</c:v>
                </c:pt>
              </c:numCache>
            </c:numRef>
          </c:xVal>
          <c:yVal>
            <c:numRef>
              <c:f>'[1]Summary Kuadran (2)'!$C$101</c:f>
              <c:numCache>
                <c:formatCode>General</c:formatCode>
                <c:ptCount val="1"/>
                <c:pt idx="0">
                  <c:v>4.5977010726928711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02-426C-866D-FBB69C91C756}"/>
            </c:ext>
          </c:extLst>
        </c:ser>
        <c:ser>
          <c:idx val="1"/>
          <c:order val="1"/>
          <c:tx>
            <c:v>Sumatera Utara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(2)'!$B$102</c:f>
              <c:numCache>
                <c:formatCode>General</c:formatCode>
                <c:ptCount val="1"/>
                <c:pt idx="0">
                  <c:v>8.7816457748413086</c:v>
                </c:pt>
              </c:numCache>
            </c:numRef>
          </c:xVal>
          <c:yVal>
            <c:numRef>
              <c:f>'[1]Summary Kuadran (2)'!$C$102</c:f>
              <c:numCache>
                <c:formatCode>General</c:formatCode>
                <c:ptCount val="1"/>
                <c:pt idx="0">
                  <c:v>11.708860397338871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02-426C-866D-FBB69C91C756}"/>
            </c:ext>
          </c:extLst>
        </c:ser>
        <c:ser>
          <c:idx val="2"/>
          <c:order val="2"/>
          <c:tx>
            <c:v>Sumatera Barat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(2)'!$B$103</c:f>
              <c:numCache>
                <c:formatCode>General</c:formatCode>
                <c:ptCount val="1"/>
                <c:pt idx="0">
                  <c:v>3.0612244606018071</c:v>
                </c:pt>
              </c:numCache>
            </c:numRef>
          </c:xVal>
          <c:yVal>
            <c:numRef>
              <c:f>'[1]Summary Kuadran (2)'!$C$103</c:f>
              <c:numCache>
                <c:formatCode>General</c:formatCode>
                <c:ptCount val="1"/>
                <c:pt idx="0">
                  <c:v>9.1836738586425781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802-426C-866D-FBB69C91C756}"/>
            </c:ext>
          </c:extLst>
        </c:ser>
        <c:ser>
          <c:idx val="3"/>
          <c:order val="3"/>
          <c:tx>
            <c:v>Riau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(2)'!$B$104</c:f>
              <c:numCache>
                <c:formatCode>General</c:formatCode>
                <c:ptCount val="1"/>
                <c:pt idx="0">
                  <c:v>0.5181347131729126</c:v>
                </c:pt>
              </c:numCache>
            </c:numRef>
          </c:xVal>
          <c:yVal>
            <c:numRef>
              <c:f>'[1]Summary Kuadran (2)'!$C$104</c:f>
              <c:numCache>
                <c:formatCode>General</c:formatCode>
                <c:ptCount val="1"/>
                <c:pt idx="0">
                  <c:v>5.1813473701477051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802-426C-866D-FBB69C91C756}"/>
            </c:ext>
          </c:extLst>
        </c:ser>
        <c:ser>
          <c:idx val="4"/>
          <c:order val="4"/>
          <c:tx>
            <c:v>Jambi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(2)'!$B$105</c:f>
              <c:numCache>
                <c:formatCode>General</c:formatCode>
                <c:ptCount val="1"/>
                <c:pt idx="0">
                  <c:v>1.036269426345825</c:v>
                </c:pt>
              </c:numCache>
            </c:numRef>
          </c:xVal>
          <c:yVal>
            <c:numRef>
              <c:f>'[1]Summary Kuadran (2)'!$C$105</c:f>
              <c:numCache>
                <c:formatCode>General</c:formatCode>
                <c:ptCount val="1"/>
                <c:pt idx="0">
                  <c:v>10.36269474029541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802-426C-866D-FBB69C91C756}"/>
            </c:ext>
          </c:extLst>
        </c:ser>
        <c:ser>
          <c:idx val="5"/>
          <c:order val="5"/>
          <c:tx>
            <c:v>Sumatera Selatan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(2)'!$B$106</c:f>
              <c:numCache>
                <c:formatCode>General</c:formatCode>
                <c:ptCount val="1"/>
                <c:pt idx="0">
                  <c:v>4.5016074180603027</c:v>
                </c:pt>
              </c:numCache>
            </c:numRef>
          </c:xVal>
          <c:yVal>
            <c:numRef>
              <c:f>'[1]Summary Kuadran (2)'!$C$106</c:f>
              <c:numCache>
                <c:formatCode>General</c:formatCode>
                <c:ptCount val="1"/>
                <c:pt idx="0">
                  <c:v>8.0385847091674805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802-426C-866D-FBB69C91C756}"/>
            </c:ext>
          </c:extLst>
        </c:ser>
        <c:ser>
          <c:idx val="6"/>
          <c:order val="6"/>
          <c:tx>
            <c:v>Bengkulu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(2)'!$B$107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'[1]Summary Kuadran (2)'!$C$107</c:f>
              <c:numCache>
                <c:formatCode>General</c:formatCode>
                <c:ptCount val="1"/>
                <c:pt idx="0">
                  <c:v>8.1081075668334961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802-426C-866D-FBB69C91C756}"/>
            </c:ext>
          </c:extLst>
        </c:ser>
        <c:ser>
          <c:idx val="7"/>
          <c:order val="7"/>
          <c:tx>
            <c:v>Lampung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(2)'!$B$108</c:f>
              <c:numCache>
                <c:formatCode>General</c:formatCode>
                <c:ptCount val="1"/>
                <c:pt idx="0">
                  <c:v>2.403846263885498</c:v>
                </c:pt>
              </c:numCache>
            </c:numRef>
          </c:xVal>
          <c:yVal>
            <c:numRef>
              <c:f>'[1]Summary Kuadran (2)'!$C$108</c:f>
              <c:numCache>
                <c:formatCode>General</c:formatCode>
                <c:ptCount val="1"/>
                <c:pt idx="0">
                  <c:v>7.9326920509338379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802-426C-866D-FBB69C91C756}"/>
            </c:ext>
          </c:extLst>
        </c:ser>
        <c:ser>
          <c:idx val="8"/>
          <c:order val="8"/>
          <c:tx>
            <c:v>Bangka Belitung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(2)'!$B$109</c:f>
              <c:numCache>
                <c:formatCode>General</c:formatCode>
                <c:ptCount val="1"/>
                <c:pt idx="0">
                  <c:v>3.6363635063171391</c:v>
                </c:pt>
              </c:numCache>
            </c:numRef>
          </c:xVal>
          <c:yVal>
            <c:numRef>
              <c:f>'[1]Summary Kuadran (2)'!$C$109</c:f>
              <c:numCache>
                <c:formatCode>General</c:formatCode>
                <c:ptCount val="1"/>
                <c:pt idx="0">
                  <c:v>23.6363639831543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802-426C-866D-FBB69C91C756}"/>
            </c:ext>
          </c:extLst>
        </c:ser>
        <c:ser>
          <c:idx val="9"/>
          <c:order val="9"/>
          <c:tx>
            <c:v>Kepulauan Riau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(2)'!$B$110</c:f>
              <c:numCache>
                <c:formatCode>General</c:formatCode>
                <c:ptCount val="1"/>
                <c:pt idx="0">
                  <c:v>35.159816741943359</c:v>
                </c:pt>
              </c:numCache>
            </c:numRef>
          </c:xVal>
          <c:yVal>
            <c:numRef>
              <c:f>'[1]Summary Kuadran (2)'!$C$110</c:f>
              <c:numCache>
                <c:formatCode>General</c:formatCode>
                <c:ptCount val="1"/>
                <c:pt idx="0">
                  <c:v>31.963470458984379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802-426C-866D-FBB69C91C756}"/>
            </c:ext>
          </c:extLst>
        </c:ser>
        <c:ser>
          <c:idx val="10"/>
          <c:order val="10"/>
          <c:tx>
            <c:v>Dki Jakarta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(2)'!$B$111</c:f>
              <c:numCache>
                <c:formatCode>General</c:formatCode>
                <c:ptCount val="1"/>
                <c:pt idx="0">
                  <c:v>5.0963330268859863</c:v>
                </c:pt>
              </c:numCache>
            </c:numRef>
          </c:xVal>
          <c:yVal>
            <c:numRef>
              <c:f>'[1]Summary Kuadran (2)'!$C$111</c:f>
              <c:numCache>
                <c:formatCode>General</c:formatCode>
                <c:ptCount val="1"/>
                <c:pt idx="0">
                  <c:v>5.3449349403381348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802-426C-866D-FBB69C91C756}"/>
            </c:ext>
          </c:extLst>
        </c:ser>
        <c:ser>
          <c:idx val="11"/>
          <c:order val="11"/>
          <c:tx>
            <c:v>Jawa Barat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(2)'!$B$112</c:f>
              <c:numCache>
                <c:formatCode>General</c:formatCode>
                <c:ptCount val="1"/>
                <c:pt idx="0">
                  <c:v>7.1264634132385254</c:v>
                </c:pt>
              </c:numCache>
            </c:numRef>
          </c:xVal>
          <c:yVal>
            <c:numRef>
              <c:f>'[1]Summary Kuadran (2)'!$C$112</c:f>
              <c:numCache>
                <c:formatCode>General</c:formatCode>
                <c:ptCount val="1"/>
                <c:pt idx="0">
                  <c:v>8.2510900497436523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802-426C-866D-FBB69C91C756}"/>
            </c:ext>
          </c:extLst>
        </c:ser>
        <c:ser>
          <c:idx val="12"/>
          <c:order val="12"/>
          <c:tx>
            <c:v>Jawa Tengah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(2)'!$B$113</c:f>
              <c:numCache>
                <c:formatCode>General</c:formatCode>
                <c:ptCount val="1"/>
                <c:pt idx="0">
                  <c:v>8.0108623504638672</c:v>
                </c:pt>
              </c:numCache>
            </c:numRef>
          </c:xVal>
          <c:yVal>
            <c:numRef>
              <c:f>'[1]Summary Kuadran (2)'!$C$113</c:f>
              <c:numCache>
                <c:formatCode>General</c:formatCode>
                <c:ptCount val="1"/>
                <c:pt idx="0">
                  <c:v>19.37089920043945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8802-426C-866D-FBB69C91C756}"/>
            </c:ext>
          </c:extLst>
        </c:ser>
        <c:ser>
          <c:idx val="13"/>
          <c:order val="13"/>
          <c:tx>
            <c:v>Di Yogyakarta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(2)'!$B$114</c:f>
              <c:numCache>
                <c:formatCode>General</c:formatCode>
                <c:ptCount val="1"/>
                <c:pt idx="0">
                  <c:v>6.8222618103027344</c:v>
                </c:pt>
              </c:numCache>
            </c:numRef>
          </c:xVal>
          <c:yVal>
            <c:numRef>
              <c:f>'[1]Summary Kuadran (2)'!$C$114</c:f>
              <c:numCache>
                <c:formatCode>General</c:formatCode>
                <c:ptCount val="1"/>
                <c:pt idx="0">
                  <c:v>24.057451248168949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8802-426C-866D-FBB69C91C756}"/>
            </c:ext>
          </c:extLst>
        </c:ser>
        <c:ser>
          <c:idx val="14"/>
          <c:order val="14"/>
          <c:tx>
            <c:v>Jawa Timur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(2)'!$B$115</c:f>
              <c:numCache>
                <c:formatCode>General</c:formatCode>
                <c:ptCount val="1"/>
                <c:pt idx="0">
                  <c:v>8.1613216400146484</c:v>
                </c:pt>
              </c:numCache>
            </c:numRef>
          </c:xVal>
          <c:yVal>
            <c:numRef>
              <c:f>'[1]Summary Kuadran (2)'!$C$115</c:f>
              <c:numCache>
                <c:formatCode>General</c:formatCode>
                <c:ptCount val="1"/>
                <c:pt idx="0">
                  <c:v>11.49571323394775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8802-426C-866D-FBB69C91C756}"/>
            </c:ext>
          </c:extLst>
        </c:ser>
        <c:ser>
          <c:idx val="15"/>
          <c:order val="15"/>
          <c:tx>
            <c:v>Banten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(2)'!$B$116</c:f>
              <c:numCache>
                <c:formatCode>General</c:formatCode>
                <c:ptCount val="1"/>
                <c:pt idx="0">
                  <c:v>6.2205958366394043</c:v>
                </c:pt>
              </c:numCache>
            </c:numRef>
          </c:xVal>
          <c:yVal>
            <c:numRef>
              <c:f>'[1]Summary Kuadran (2)'!$C$116</c:f>
              <c:numCache>
                <c:formatCode>General</c:formatCode>
                <c:ptCount val="1"/>
                <c:pt idx="0">
                  <c:v>5.0967068672180176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8802-426C-866D-FBB69C91C756}"/>
            </c:ext>
          </c:extLst>
        </c:ser>
        <c:ser>
          <c:idx val="16"/>
          <c:order val="16"/>
          <c:tx>
            <c:v>Bali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(2)'!$B$117</c:f>
              <c:numCache>
                <c:formatCode>General</c:formatCode>
                <c:ptCount val="1"/>
                <c:pt idx="0">
                  <c:v>10.82352924346924</c:v>
                </c:pt>
              </c:numCache>
            </c:numRef>
          </c:xVal>
          <c:yVal>
            <c:numRef>
              <c:f>'[1]Summary Kuadran (2)'!$C$117</c:f>
              <c:numCache>
                <c:formatCode>General</c:formatCode>
                <c:ptCount val="1"/>
                <c:pt idx="0">
                  <c:v>31.529411315917969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8802-426C-866D-FBB69C91C756}"/>
            </c:ext>
          </c:extLst>
        </c:ser>
        <c:ser>
          <c:idx val="17"/>
          <c:order val="17"/>
          <c:tx>
            <c:v>Nusa Tenggara Barat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(2)'!$B$118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'[1]Summary Kuadran (2)'!$C$118</c:f>
              <c:numCache>
                <c:formatCode>General</c:formatCode>
                <c:ptCount val="1"/>
                <c:pt idx="0">
                  <c:v>0.94339621067047119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8802-426C-866D-FBB69C91C756}"/>
            </c:ext>
          </c:extLst>
        </c:ser>
        <c:ser>
          <c:idx val="18"/>
          <c:order val="18"/>
          <c:tx>
            <c:v>Nusa Tenggara Timur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(2)'!$B$119</c:f>
              <c:numCache>
                <c:formatCode>General</c:formatCode>
                <c:ptCount val="1"/>
                <c:pt idx="0">
                  <c:v>1.315789461135864</c:v>
                </c:pt>
              </c:numCache>
            </c:numRef>
          </c:xVal>
          <c:yVal>
            <c:numRef>
              <c:f>'[1]Summary Kuadran (2)'!$C$119</c:f>
              <c:numCache>
                <c:formatCode>General</c:formatCode>
                <c:ptCount val="1"/>
                <c:pt idx="0">
                  <c:v>1.315789461135864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8802-426C-866D-FBB69C91C756}"/>
            </c:ext>
          </c:extLst>
        </c:ser>
        <c:ser>
          <c:idx val="19"/>
          <c:order val="19"/>
          <c:tx>
            <c:v>Kalimantan Barat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(2)'!$B$120</c:f>
              <c:numCache>
                <c:formatCode>General</c:formatCode>
                <c:ptCount val="1"/>
                <c:pt idx="0">
                  <c:v>6.0606060028076172</c:v>
                </c:pt>
              </c:numCache>
            </c:numRef>
          </c:xVal>
          <c:yVal>
            <c:numRef>
              <c:f>'[1]Summary Kuadran (2)'!$C$120</c:f>
              <c:numCache>
                <c:formatCode>General</c:formatCode>
                <c:ptCount val="1"/>
                <c:pt idx="0">
                  <c:v>9.0909090042114258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8802-426C-866D-FBB69C91C756}"/>
            </c:ext>
          </c:extLst>
        </c:ser>
        <c:ser>
          <c:idx val="20"/>
          <c:order val="20"/>
          <c:tx>
            <c:v>Kalimantan Tengah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(2)'!$B$121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'[1]Summary Kuadran (2)'!$C$121</c:f>
              <c:numCache>
                <c:formatCode>General</c:formatCode>
                <c:ptCount val="1"/>
                <c:pt idx="0">
                  <c:v>6.6265063285827637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8802-426C-866D-FBB69C91C756}"/>
            </c:ext>
          </c:extLst>
        </c:ser>
        <c:ser>
          <c:idx val="21"/>
          <c:order val="21"/>
          <c:tx>
            <c:v>Kalimantan Selatan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(2)'!$B$122</c:f>
              <c:numCache>
                <c:formatCode>General</c:formatCode>
                <c:ptCount val="1"/>
                <c:pt idx="0">
                  <c:v>1.809954881668091</c:v>
                </c:pt>
              </c:numCache>
            </c:numRef>
          </c:xVal>
          <c:yVal>
            <c:numRef>
              <c:f>'[1]Summary Kuadran (2)'!$C$122</c:f>
              <c:numCache>
                <c:formatCode>General</c:formatCode>
                <c:ptCount val="1"/>
                <c:pt idx="0">
                  <c:v>12.21719455718994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8802-426C-866D-FBB69C91C756}"/>
            </c:ext>
          </c:extLst>
        </c:ser>
        <c:ser>
          <c:idx val="22"/>
          <c:order val="22"/>
          <c:tx>
            <c:v>Kalimantan Timur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(2)'!$B$123</c:f>
              <c:numCache>
                <c:formatCode>General</c:formatCode>
                <c:ptCount val="1"/>
                <c:pt idx="0">
                  <c:v>1.7730497121810911</c:v>
                </c:pt>
              </c:numCache>
            </c:numRef>
          </c:xVal>
          <c:yVal>
            <c:numRef>
              <c:f>'[1]Summary Kuadran (2)'!$C$123</c:f>
              <c:numCache>
                <c:formatCode>General</c:formatCode>
                <c:ptCount val="1"/>
                <c:pt idx="0">
                  <c:v>3.5460994243621831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8802-426C-866D-FBB69C91C756}"/>
            </c:ext>
          </c:extLst>
        </c:ser>
        <c:ser>
          <c:idx val="23"/>
          <c:order val="23"/>
          <c:tx>
            <c:v>Kalimantan Utara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(2)'!$B$124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'[1]Summary Kuadran (2)'!$C$124</c:f>
              <c:numCache>
                <c:formatCode>General</c:formatCode>
                <c:ptCount val="1"/>
                <c:pt idx="0">
                  <c:v>21.052631378173832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8802-426C-866D-FBB69C91C756}"/>
            </c:ext>
          </c:extLst>
        </c:ser>
        <c:ser>
          <c:idx val="24"/>
          <c:order val="24"/>
          <c:tx>
            <c:v>Sulawesi Utara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(2)'!$B$125</c:f>
              <c:numCache>
                <c:formatCode>General</c:formatCode>
                <c:ptCount val="1"/>
                <c:pt idx="0">
                  <c:v>7.407407283782959</c:v>
                </c:pt>
              </c:numCache>
            </c:numRef>
          </c:xVal>
          <c:yVal>
            <c:numRef>
              <c:f>'[1]Summary Kuadran (2)'!$C$125</c:f>
              <c:numCache>
                <c:formatCode>General</c:formatCode>
                <c:ptCount val="1"/>
                <c:pt idx="0">
                  <c:v>21.296297073364261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8802-426C-866D-FBB69C91C756}"/>
            </c:ext>
          </c:extLst>
        </c:ser>
        <c:ser>
          <c:idx val="25"/>
          <c:order val="25"/>
          <c:tx>
            <c:v>Sulawesi Tengah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(2)'!$B$126</c:f>
              <c:numCache>
                <c:formatCode>General</c:formatCode>
                <c:ptCount val="1"/>
                <c:pt idx="0">
                  <c:v>6.3829789161682129</c:v>
                </c:pt>
              </c:numCache>
            </c:numRef>
          </c:xVal>
          <c:yVal>
            <c:numRef>
              <c:f>'[1]Summary Kuadran (2)'!$C$126</c:f>
              <c:numCache>
                <c:formatCode>General</c:formatCode>
                <c:ptCount val="1"/>
                <c:pt idx="0">
                  <c:v>18.08510589599609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8802-426C-866D-FBB69C91C756}"/>
            </c:ext>
          </c:extLst>
        </c:ser>
        <c:ser>
          <c:idx val="26"/>
          <c:order val="26"/>
          <c:tx>
            <c:v>Sulawesi Selatan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(2)'!$B$127</c:f>
              <c:numCache>
                <c:formatCode>General</c:formatCode>
                <c:ptCount val="1"/>
                <c:pt idx="0">
                  <c:v>2.1459226608276372</c:v>
                </c:pt>
              </c:numCache>
            </c:numRef>
          </c:xVal>
          <c:yVal>
            <c:numRef>
              <c:f>'[1]Summary Kuadran (2)'!$C$127</c:f>
              <c:numCache>
                <c:formatCode>General</c:formatCode>
                <c:ptCount val="1"/>
                <c:pt idx="0">
                  <c:v>8.5836906433105469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8802-426C-866D-FBB69C91C756}"/>
            </c:ext>
          </c:extLst>
        </c:ser>
        <c:ser>
          <c:idx val="27"/>
          <c:order val="27"/>
          <c:tx>
            <c:v>Sulawesi Tenggara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(2)'!$B$128</c:f>
              <c:numCache>
                <c:formatCode>General</c:formatCode>
                <c:ptCount val="1"/>
                <c:pt idx="0">
                  <c:v>0.746268630027771</c:v>
                </c:pt>
              </c:numCache>
            </c:numRef>
          </c:xVal>
          <c:yVal>
            <c:numRef>
              <c:f>'[1]Summary Kuadran (2)'!$C$128</c:f>
              <c:numCache>
                <c:formatCode>General</c:formatCode>
                <c:ptCount val="1"/>
                <c:pt idx="0">
                  <c:v>5.2238807678222656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8802-426C-866D-FBB69C91C756}"/>
            </c:ext>
          </c:extLst>
        </c:ser>
        <c:ser>
          <c:idx val="28"/>
          <c:order val="28"/>
          <c:tx>
            <c:v>Gorontalo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(2)'!$B$129</c:f>
              <c:numCache>
                <c:formatCode>General</c:formatCode>
                <c:ptCount val="1"/>
                <c:pt idx="0">
                  <c:v>3.4482758045196529</c:v>
                </c:pt>
              </c:numCache>
            </c:numRef>
          </c:xVal>
          <c:yVal>
            <c:numRef>
              <c:f>'[1]Summary Kuadran (2)'!$C$129</c:f>
              <c:numCache>
                <c:formatCode>General</c:formatCode>
                <c:ptCount val="1"/>
                <c:pt idx="0">
                  <c:v>3.4482758045196529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8802-426C-866D-FBB69C91C756}"/>
            </c:ext>
          </c:extLst>
        </c:ser>
        <c:ser>
          <c:idx val="29"/>
          <c:order val="29"/>
          <c:tx>
            <c:v>Sulawesi Barat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(2)'!$B$130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'[1]Summary Kuadran (2)'!$C$130</c:f>
              <c:numCache>
                <c:formatCode>General</c:formatCode>
                <c:ptCount val="1"/>
                <c:pt idx="0">
                  <c:v>11.111111640930179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8802-426C-866D-FBB69C91C756}"/>
            </c:ext>
          </c:extLst>
        </c:ser>
        <c:ser>
          <c:idx val="30"/>
          <c:order val="30"/>
          <c:tx>
            <c:v>Maluku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(2)'!$B$131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'[1]Summary Kuadran (2)'!$C$131</c:f>
              <c:numCache>
                <c:formatCode>General</c:formatCode>
                <c:ptCount val="1"/>
                <c:pt idx="0">
                  <c:v>21.052631378173832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8802-426C-866D-FBB69C91C756}"/>
            </c:ext>
          </c:extLst>
        </c:ser>
        <c:ser>
          <c:idx val="31"/>
          <c:order val="31"/>
          <c:tx>
            <c:v>Maluku Utara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(2)'!$B$132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'[1]Summary Kuadran (2)'!$C$132</c:f>
              <c:numCache>
                <c:formatCode>General</c:formatCode>
                <c:ptCount val="1"/>
                <c:pt idx="0">
                  <c:v>24.137929916381839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8802-426C-866D-FBB69C91C756}"/>
            </c:ext>
          </c:extLst>
        </c:ser>
        <c:ser>
          <c:idx val="32"/>
          <c:order val="32"/>
          <c:tx>
            <c:v>Papua Barat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(2)'!$B$133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'[1]Summary Kuadran (2)'!$C$133</c:f>
              <c:numCache>
                <c:formatCode>General</c:formatCode>
                <c:ptCount val="1"/>
                <c:pt idx="0">
                  <c:v>12.5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8802-426C-866D-FBB69C91C756}"/>
            </c:ext>
          </c:extLst>
        </c:ser>
        <c:ser>
          <c:idx val="33"/>
          <c:order val="33"/>
          <c:tx>
            <c:v>Papua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(2)'!$B$134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'[1]Summary Kuadran (2)'!$C$134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8802-426C-866D-FBB69C91C756}"/>
            </c:ext>
          </c:extLst>
        </c:ser>
        <c:ser>
          <c:idx val="34"/>
          <c:order val="34"/>
          <c:tx>
            <c:v>Ambang Impor</c:v>
          </c:tx>
          <c:spPr>
            <a:ln w="12700">
              <a:solidFill>
                <a:srgbClr val="E59A3C"/>
              </a:solidFill>
              <a:prstDash val="solid"/>
            </a:ln>
          </c:spPr>
          <c:marker>
            <c:symbol val="none"/>
          </c:marker>
          <c:xVal>
            <c:numRef>
              <c:f>'[1]Summary Kuadran (2)'!$F$104:$F$105</c:f>
              <c:numCache>
                <c:formatCode>General</c:formatCode>
                <c:ptCount val="2"/>
                <c:pt idx="0">
                  <c:v>4.2970574778669022</c:v>
                </c:pt>
                <c:pt idx="1">
                  <c:v>4.2970574778669022</c:v>
                </c:pt>
              </c:numCache>
            </c:numRef>
          </c:xVal>
          <c:yVal>
            <c:numRef>
              <c:f>'[1]Summary Kuadran (2)'!$G$104:$G$105</c:f>
              <c:numCache>
                <c:formatCode>General</c:formatCode>
                <c:ptCount val="2"/>
                <c:pt idx="0">
                  <c:v>0</c:v>
                </c:pt>
                <c:pt idx="1">
                  <c:v>35.159817504882817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8802-426C-866D-FBB69C91C756}"/>
            </c:ext>
          </c:extLst>
        </c:ser>
        <c:ser>
          <c:idx val="35"/>
          <c:order val="35"/>
          <c:tx>
            <c:v>Ambang Ekspor</c:v>
          </c:tx>
          <c:spPr>
            <a:ln w="12700">
              <a:solidFill>
                <a:srgbClr val="E59A3C"/>
              </a:solidFill>
              <a:prstDash val="solid"/>
            </a:ln>
          </c:spPr>
          <c:marker>
            <c:symbol val="none"/>
          </c:marker>
          <c:xVal>
            <c:numRef>
              <c:f>'[1]Summary Kuadran (2)'!$F$108:$F$109</c:f>
              <c:numCache>
                <c:formatCode>General</c:formatCode>
                <c:ptCount val="2"/>
                <c:pt idx="0">
                  <c:v>0</c:v>
                </c:pt>
                <c:pt idx="1">
                  <c:v>38.675798416137695</c:v>
                </c:pt>
              </c:numCache>
            </c:numRef>
          </c:xVal>
          <c:yVal>
            <c:numRef>
              <c:f>'[1]Summary Kuadran (2)'!$G$108:$G$109</c:f>
              <c:numCache>
                <c:formatCode>General</c:formatCode>
                <c:ptCount val="2"/>
                <c:pt idx="0">
                  <c:v>11.943857427905588</c:v>
                </c:pt>
                <c:pt idx="1">
                  <c:v>11.943857427905588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8802-426C-866D-FBB69C91C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1000" b="1" i="0" u="none" strike="noStrike" kern="1200" baseline="0">
                    <a:solidFill>
                      <a:srgbClr val="000000"/>
                    </a:solidFill>
                  </a:rPr>
                  <a:t>Share Perusahaan yang  Impor Bahan Baku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1000" b="1" i="0" u="none" strike="noStrike" kern="1200" baseline="0">
                    <a:solidFill>
                      <a:srgbClr val="000000"/>
                    </a:solidFill>
                  </a:rPr>
                  <a:t>Share Perusahaan yang  Ekspor Produk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GB" sz="1400" b="1" i="0" u="none" strike="noStrike" kern="1200" baseline="0">
                <a:solidFill>
                  <a:srgbClr val="000000"/>
                </a:solidFill>
              </a:rPr>
              <a:t>Share Impor vs Ekspor Perusahaan berdasarkan Sektor, 2015 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1826286210729441E-2"/>
          <c:y val="7.717099927519265E-2"/>
          <c:w val="0.8703828211087381"/>
          <c:h val="0.82706043624781078"/>
        </c:manualLayout>
      </c:layout>
      <c:scatterChart>
        <c:scatterStyle val="lineMarker"/>
        <c:varyColors val="1"/>
        <c:ser>
          <c:idx val="50"/>
          <c:order val="0"/>
          <c:tx>
            <c:strRef>
              <c:f>Summary!$A$4</c:f>
              <c:strCache>
                <c:ptCount val="1"/>
                <c:pt idx="0">
                  <c:v>Makanan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Summary!$B$4</c:f>
              <c:numCache>
                <c:formatCode>0.00</c:formatCode>
                <c:ptCount val="1"/>
                <c:pt idx="0">
                  <c:v>10.286594567680474</c:v>
                </c:pt>
              </c:numCache>
            </c:numRef>
          </c:xVal>
          <c:yVal>
            <c:numRef>
              <c:f>Summary!$C$4</c:f>
              <c:numCache>
                <c:formatCode>0.00</c:formatCode>
                <c:ptCount val="1"/>
                <c:pt idx="0">
                  <c:v>57.763515033079017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C-0D46-FA41-8FA9-BF5B06A07F02}"/>
            </c:ext>
          </c:extLst>
        </c:ser>
        <c:ser>
          <c:idx val="51"/>
          <c:order val="1"/>
          <c:tx>
            <c:strRef>
              <c:f>Summary!$A$5</c:f>
              <c:strCache>
                <c:ptCount val="1"/>
                <c:pt idx="0">
                  <c:v>Minuman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Summary!$B$5</c:f>
              <c:numCache>
                <c:formatCode>0.00</c:formatCode>
                <c:ptCount val="1"/>
                <c:pt idx="0">
                  <c:v>18.341960735669293</c:v>
                </c:pt>
              </c:numCache>
            </c:numRef>
          </c:xVal>
          <c:yVal>
            <c:numRef>
              <c:f>Summary!$C$5</c:f>
              <c:numCache>
                <c:formatCode>0.00</c:formatCode>
                <c:ptCount val="1"/>
                <c:pt idx="0">
                  <c:v>12.082776770613844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D-0D46-FA41-8FA9-BF5B06A07F02}"/>
            </c:ext>
          </c:extLst>
        </c:ser>
        <c:ser>
          <c:idx val="52"/>
          <c:order val="2"/>
          <c:tx>
            <c:strRef>
              <c:f>Summary!$A$6</c:f>
              <c:strCache>
                <c:ptCount val="1"/>
                <c:pt idx="0">
                  <c:v>Pengolahan Tembakau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Summary!$B$6</c:f>
              <c:numCache>
                <c:formatCode>0.00</c:formatCode>
                <c:ptCount val="1"/>
                <c:pt idx="0">
                  <c:v>5.2597780739413693</c:v>
                </c:pt>
              </c:numCache>
            </c:numRef>
          </c:xVal>
          <c:yVal>
            <c:numRef>
              <c:f>Summary!$C$6</c:f>
              <c:numCache>
                <c:formatCode>0.00</c:formatCode>
                <c:ptCount val="1"/>
                <c:pt idx="0">
                  <c:v>49.946392170674486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E-0D46-FA41-8FA9-BF5B06A07F02}"/>
            </c:ext>
          </c:extLst>
        </c:ser>
        <c:ser>
          <c:idx val="53"/>
          <c:order val="3"/>
          <c:tx>
            <c:strRef>
              <c:f>Summary!$A$7</c:f>
              <c:strCache>
                <c:ptCount val="1"/>
                <c:pt idx="0">
                  <c:v>Tekstil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Summary!$B$7</c:f>
              <c:numCache>
                <c:formatCode>0.00</c:formatCode>
                <c:ptCount val="1"/>
                <c:pt idx="0">
                  <c:v>26.924796416960699</c:v>
                </c:pt>
              </c:numCache>
            </c:numRef>
          </c:xVal>
          <c:yVal>
            <c:numRef>
              <c:f>Summary!$C$7</c:f>
              <c:numCache>
                <c:formatCode>0.00</c:formatCode>
                <c:ptCount val="1"/>
                <c:pt idx="0">
                  <c:v>40.829237215215286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F-0D46-FA41-8FA9-BF5B06A07F02}"/>
            </c:ext>
          </c:extLst>
        </c:ser>
        <c:ser>
          <c:idx val="54"/>
          <c:order val="4"/>
          <c:tx>
            <c:strRef>
              <c:f>Summary!$A$8</c:f>
              <c:strCache>
                <c:ptCount val="1"/>
                <c:pt idx="0">
                  <c:v>Pakaian Jadi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Summary!$B$8</c:f>
              <c:numCache>
                <c:formatCode>0.00</c:formatCode>
                <c:ptCount val="1"/>
                <c:pt idx="0">
                  <c:v>40.379094559229671</c:v>
                </c:pt>
              </c:numCache>
            </c:numRef>
          </c:xVal>
          <c:yVal>
            <c:numRef>
              <c:f>Summary!$C$9</c:f>
              <c:numCache>
                <c:formatCode>0.00</c:formatCode>
                <c:ptCount val="1"/>
                <c:pt idx="0">
                  <c:v>43.646983080702526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0-0D46-FA41-8FA9-BF5B06A07F02}"/>
            </c:ext>
          </c:extLst>
        </c:ser>
        <c:ser>
          <c:idx val="55"/>
          <c:order val="5"/>
          <c:tx>
            <c:strRef>
              <c:f>Summary!$A$10</c:f>
              <c:strCache>
                <c:ptCount val="1"/>
                <c:pt idx="0">
                  <c:v>Kayu. Barang dari Kayu dan Gabus (Tidak Termasuk Furnitur) dan Barang Anyaman dari Bambu. Rotan dan Sejenisnya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Summary!$B$10</c:f>
              <c:numCache>
                <c:formatCode>0.00</c:formatCode>
                <c:ptCount val="1"/>
                <c:pt idx="0">
                  <c:v>6.8987478009938261</c:v>
                </c:pt>
              </c:numCache>
            </c:numRef>
          </c:xVal>
          <c:yVal>
            <c:numRef>
              <c:f>Summary!$C$10</c:f>
              <c:numCache>
                <c:formatCode>0.00</c:formatCode>
                <c:ptCount val="1"/>
                <c:pt idx="0">
                  <c:v>69.815778400619052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1-0D46-FA41-8FA9-BF5B06A07F02}"/>
            </c:ext>
          </c:extLst>
        </c:ser>
        <c:ser>
          <c:idx val="56"/>
          <c:order val="6"/>
          <c:tx>
            <c:strRef>
              <c:f>Summary!$A$11</c:f>
              <c:strCache>
                <c:ptCount val="1"/>
                <c:pt idx="0">
                  <c:v>Kertas dan Barang dari Kertas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Summary!$B$11</c:f>
              <c:numCache>
                <c:formatCode>0.00</c:formatCode>
                <c:ptCount val="1"/>
                <c:pt idx="0">
                  <c:v>14.748203875864254</c:v>
                </c:pt>
              </c:numCache>
            </c:numRef>
          </c:xVal>
          <c:yVal>
            <c:numRef>
              <c:f>Summary!$C$11</c:f>
              <c:numCache>
                <c:formatCode>0.00</c:formatCode>
                <c:ptCount val="1"/>
                <c:pt idx="0">
                  <c:v>26.222460083614525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2-0D46-FA41-8FA9-BF5B06A07F02}"/>
            </c:ext>
          </c:extLst>
        </c:ser>
        <c:ser>
          <c:idx val="57"/>
          <c:order val="7"/>
          <c:tx>
            <c:strRef>
              <c:f>Summary!$A$12</c:f>
              <c:strCache>
                <c:ptCount val="1"/>
                <c:pt idx="0">
                  <c:v>Pencetakan dan Reproduksi Media Rekaman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Summary!$B$12</c:f>
              <c:numCache>
                <c:formatCode>0.00</c:formatCode>
                <c:ptCount val="1"/>
                <c:pt idx="0">
                  <c:v>8.0606693583710864</c:v>
                </c:pt>
              </c:numCache>
            </c:numRef>
          </c:xVal>
          <c:yVal>
            <c:numRef>
              <c:f>Summary!$C$12</c:f>
              <c:numCache>
                <c:formatCode>0.00</c:formatCode>
                <c:ptCount val="1"/>
                <c:pt idx="0">
                  <c:v>22.251555555555555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3-0D46-FA41-8FA9-BF5B06A07F02}"/>
            </c:ext>
          </c:extLst>
        </c:ser>
        <c:ser>
          <c:idx val="58"/>
          <c:order val="8"/>
          <c:tx>
            <c:strRef>
              <c:f>Summary!$A$13</c:f>
              <c:strCache>
                <c:ptCount val="1"/>
                <c:pt idx="0">
                  <c:v>Produk dari Batu Bara dan Pengilangan Minyak Bumi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Summary!$B$13</c:f>
              <c:numCache>
                <c:formatCode>0.00</c:formatCode>
                <c:ptCount val="1"/>
                <c:pt idx="0">
                  <c:v>11.986768661340957</c:v>
                </c:pt>
              </c:numCache>
            </c:numRef>
          </c:xVal>
          <c:yVal>
            <c:numRef>
              <c:f>Summary!$C$13</c:f>
              <c:numCache>
                <c:formatCode>0.00</c:formatCode>
                <c:ptCount val="1"/>
                <c:pt idx="0">
                  <c:v>38.045789473684209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4-0D46-FA41-8FA9-BF5B06A07F02}"/>
            </c:ext>
          </c:extLst>
        </c:ser>
        <c:ser>
          <c:idx val="59"/>
          <c:order val="9"/>
          <c:tx>
            <c:strRef>
              <c:f>Summary!$A$14</c:f>
              <c:strCache>
                <c:ptCount val="1"/>
                <c:pt idx="0">
                  <c:v>Bahan Kimia dan Barang dari Bahan Kimia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Summary!$B$14</c:f>
              <c:numCache>
                <c:formatCode>0.00</c:formatCode>
                <c:ptCount val="1"/>
                <c:pt idx="0">
                  <c:v>36.000408264268167</c:v>
                </c:pt>
              </c:numCache>
            </c:numRef>
          </c:xVal>
          <c:yVal>
            <c:numRef>
              <c:f>Summary!$C$14</c:f>
              <c:numCache>
                <c:formatCode>0.00</c:formatCode>
                <c:ptCount val="1"/>
                <c:pt idx="0">
                  <c:v>32.896714640024506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5-0D46-FA41-8FA9-BF5B06A07F02}"/>
            </c:ext>
          </c:extLst>
        </c:ser>
        <c:ser>
          <c:idx val="60"/>
          <c:order val="10"/>
          <c:tx>
            <c:strRef>
              <c:f>Summary!$A$15</c:f>
              <c:strCache>
                <c:ptCount val="1"/>
                <c:pt idx="0">
                  <c:v>Farmasi. Produk Obat Kimia dan Obat Tradisional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Summary!$B$15</c:f>
              <c:numCache>
                <c:formatCode>0.00</c:formatCode>
                <c:ptCount val="1"/>
                <c:pt idx="0">
                  <c:v>38.440680547909572</c:v>
                </c:pt>
              </c:numCache>
            </c:numRef>
          </c:xVal>
          <c:yVal>
            <c:numRef>
              <c:f>Summary!$C$15</c:f>
              <c:numCache>
                <c:formatCode>0.00</c:formatCode>
                <c:ptCount val="1"/>
                <c:pt idx="0">
                  <c:v>18.100142006329349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6-0D46-FA41-8FA9-BF5B06A07F02}"/>
            </c:ext>
          </c:extLst>
        </c:ser>
        <c:ser>
          <c:idx val="61"/>
          <c:order val="11"/>
          <c:tx>
            <c:strRef>
              <c:f>Summary!$A$16</c:f>
              <c:strCache>
                <c:ptCount val="1"/>
                <c:pt idx="0">
                  <c:v>Karet. Barang dari Karet dan Plastik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Summary!$B$16</c:f>
              <c:numCache>
                <c:formatCode>0.00</c:formatCode>
                <c:ptCount val="1"/>
                <c:pt idx="0">
                  <c:v>16.74841257128919</c:v>
                </c:pt>
              </c:numCache>
            </c:numRef>
          </c:xVal>
          <c:yVal>
            <c:numRef>
              <c:f>Summary!$C$1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7-0D46-FA41-8FA9-BF5B06A07F02}"/>
            </c:ext>
          </c:extLst>
        </c:ser>
        <c:ser>
          <c:idx val="62"/>
          <c:order val="12"/>
          <c:tx>
            <c:strRef>
              <c:f>Summary!$A$17</c:f>
              <c:strCache>
                <c:ptCount val="1"/>
                <c:pt idx="0">
                  <c:v>Barang Galian Bukan Logam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Summary!$B$17</c:f>
              <c:numCache>
                <c:formatCode>0.00</c:formatCode>
                <c:ptCount val="1"/>
                <c:pt idx="0">
                  <c:v>20.69620253243027</c:v>
                </c:pt>
              </c:numCache>
            </c:numRef>
          </c:xVal>
          <c:yVal>
            <c:numRef>
              <c:f>Summary!$C$17</c:f>
              <c:numCache>
                <c:formatCode>0.00</c:formatCode>
                <c:ptCount val="1"/>
                <c:pt idx="0">
                  <c:v>29.722374719770446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8-0D46-FA41-8FA9-BF5B06A07F02}"/>
            </c:ext>
          </c:extLst>
        </c:ser>
        <c:ser>
          <c:idx val="63"/>
          <c:order val="13"/>
          <c:tx>
            <c:strRef>
              <c:f>Summary!$A$18</c:f>
              <c:strCache>
                <c:ptCount val="1"/>
                <c:pt idx="0">
                  <c:v>Logam Dasar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Summary!$B$18</c:f>
              <c:numCache>
                <c:formatCode>0.00</c:formatCode>
                <c:ptCount val="1"/>
                <c:pt idx="0">
                  <c:v>38.924375301981293</c:v>
                </c:pt>
              </c:numCache>
            </c:numRef>
          </c:xVal>
          <c:yVal>
            <c:numRef>
              <c:f>Summary!$C$18</c:f>
              <c:numCache>
                <c:formatCode>0.00</c:formatCode>
                <c:ptCount val="1"/>
                <c:pt idx="0">
                  <c:v>47.999677447153836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9-0D46-FA41-8FA9-BF5B06A07F02}"/>
            </c:ext>
          </c:extLst>
        </c:ser>
        <c:ser>
          <c:idx val="64"/>
          <c:order val="14"/>
          <c:tx>
            <c:strRef>
              <c:f>Summary!$A$19</c:f>
              <c:strCache>
                <c:ptCount val="1"/>
                <c:pt idx="0">
                  <c:v>Barang Logam. Bukan Mesin dan Peralatannya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Summary!$B$19</c:f>
              <c:numCache>
                <c:formatCode>0.00</c:formatCode>
                <c:ptCount val="1"/>
                <c:pt idx="0">
                  <c:v>30.673520143676004</c:v>
                </c:pt>
              </c:numCache>
            </c:numRef>
          </c:xVal>
          <c:yVal>
            <c:numRef>
              <c:f>Summary!$C$19</c:f>
              <c:numCache>
                <c:formatCode>0.00</c:formatCode>
                <c:ptCount val="1"/>
                <c:pt idx="0">
                  <c:v>28.538670507454082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A-0D46-FA41-8FA9-BF5B06A07F02}"/>
            </c:ext>
          </c:extLst>
        </c:ser>
        <c:ser>
          <c:idx val="65"/>
          <c:order val="15"/>
          <c:tx>
            <c:strRef>
              <c:f>Summary!$A$20</c:f>
              <c:strCache>
                <c:ptCount val="1"/>
                <c:pt idx="0">
                  <c:v>Komputer. Barang Elektronik dan Optik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Summary!$B$20</c:f>
              <c:numCache>
                <c:formatCode>0.00</c:formatCode>
                <c:ptCount val="1"/>
                <c:pt idx="0">
                  <c:v>65.3235450935275</c:v>
                </c:pt>
              </c:numCache>
            </c:numRef>
          </c:xVal>
          <c:yVal>
            <c:numRef>
              <c:f>Summary!$C$20</c:f>
              <c:numCache>
                <c:formatCode>0.00</c:formatCode>
                <c:ptCount val="1"/>
                <c:pt idx="0">
                  <c:v>50.435337494786999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B-0D46-FA41-8FA9-BF5B06A07F02}"/>
            </c:ext>
          </c:extLst>
        </c:ser>
        <c:ser>
          <c:idx val="66"/>
          <c:order val="16"/>
          <c:tx>
            <c:strRef>
              <c:f>Summary!$A$21</c:f>
              <c:strCache>
                <c:ptCount val="1"/>
                <c:pt idx="0">
                  <c:v>Peralatan Listrik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Summary!$B$21</c:f>
              <c:numCache>
                <c:formatCode>0.00</c:formatCode>
                <c:ptCount val="1"/>
                <c:pt idx="0">
                  <c:v>41.873258296855504</c:v>
                </c:pt>
              </c:numCache>
            </c:numRef>
          </c:xVal>
          <c:yVal>
            <c:numRef>
              <c:f>Summary!$C$21</c:f>
              <c:numCache>
                <c:formatCode>0.00</c:formatCode>
                <c:ptCount val="1"/>
                <c:pt idx="0">
                  <c:v>29.191352937868889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C-0D46-FA41-8FA9-BF5B06A07F02}"/>
            </c:ext>
          </c:extLst>
        </c:ser>
        <c:ser>
          <c:idx val="67"/>
          <c:order val="17"/>
          <c:tx>
            <c:strRef>
              <c:f>Summary!$A$22</c:f>
              <c:strCache>
                <c:ptCount val="1"/>
                <c:pt idx="0">
                  <c:v>Mesin dan Perlengkapan ytdl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Summary!$B$22</c:f>
              <c:numCache>
                <c:formatCode>0.00</c:formatCode>
                <c:ptCount val="1"/>
                <c:pt idx="0">
                  <c:v>35.180478122187253</c:v>
                </c:pt>
              </c:numCache>
            </c:numRef>
          </c:xVal>
          <c:yVal>
            <c:numRef>
              <c:f>Summary!$C$22</c:f>
              <c:numCache>
                <c:formatCode>0.00</c:formatCode>
                <c:ptCount val="1"/>
                <c:pt idx="0">
                  <c:v>28.846572535723929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D-0D46-FA41-8FA9-BF5B06A07F02}"/>
            </c:ext>
          </c:extLst>
        </c:ser>
        <c:ser>
          <c:idx val="68"/>
          <c:order val="18"/>
          <c:tx>
            <c:strRef>
              <c:f>Summary!$A$23</c:f>
              <c:strCache>
                <c:ptCount val="1"/>
                <c:pt idx="0">
                  <c:v>Kendaraan Bermotor. Trailer dan Semi Trailer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Summary!$B$23</c:f>
              <c:numCache>
                <c:formatCode>0.00</c:formatCode>
                <c:ptCount val="1"/>
                <c:pt idx="0">
                  <c:v>33.579929275223925</c:v>
                </c:pt>
              </c:numCache>
            </c:numRef>
          </c:xVal>
          <c:yVal>
            <c:numRef>
              <c:f>Summary!$C$23</c:f>
              <c:numCache>
                <c:formatCode>0.00</c:formatCode>
                <c:ptCount val="1"/>
                <c:pt idx="0">
                  <c:v>31.3156424206319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E-0D46-FA41-8FA9-BF5B06A07F02}"/>
            </c:ext>
          </c:extLst>
        </c:ser>
        <c:ser>
          <c:idx val="69"/>
          <c:order val="19"/>
          <c:tx>
            <c:strRef>
              <c:f>Summary!$A$24</c:f>
              <c:strCache>
                <c:ptCount val="1"/>
                <c:pt idx="0">
                  <c:v>Alat Angkutan Lainnya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Summary!$B$24</c:f>
              <c:numCache>
                <c:formatCode>0.00</c:formatCode>
                <c:ptCount val="1"/>
                <c:pt idx="0">
                  <c:v>29.737096074804636</c:v>
                </c:pt>
              </c:numCache>
            </c:numRef>
          </c:xVal>
          <c:yVal>
            <c:numRef>
              <c:f>Summary!$C$24</c:f>
              <c:numCache>
                <c:formatCode>0.00</c:formatCode>
                <c:ptCount val="1"/>
                <c:pt idx="0">
                  <c:v>32.113344337097963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F-0D46-FA41-8FA9-BF5B06A07F02}"/>
            </c:ext>
          </c:extLst>
        </c:ser>
        <c:ser>
          <c:idx val="70"/>
          <c:order val="20"/>
          <c:tx>
            <c:strRef>
              <c:f>Summary!$A$25</c:f>
              <c:strCache>
                <c:ptCount val="1"/>
                <c:pt idx="0">
                  <c:v>Furnitur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Summary!$B$25</c:f>
              <c:numCache>
                <c:formatCode>0.00</c:formatCode>
                <c:ptCount val="1"/>
                <c:pt idx="0">
                  <c:v>7.3534437291700341</c:v>
                </c:pt>
              </c:numCache>
            </c:numRef>
          </c:xVal>
          <c:yVal>
            <c:numRef>
              <c:f>Summary!$C$2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00-0D46-FA41-8FA9-BF5B06A07F02}"/>
            </c:ext>
          </c:extLst>
        </c:ser>
        <c:ser>
          <c:idx val="71"/>
          <c:order val="21"/>
          <c:tx>
            <c:strRef>
              <c:f>Summary!$A$26</c:f>
              <c:strCache>
                <c:ptCount val="1"/>
                <c:pt idx="0">
                  <c:v>Pengolahan Lainnya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Summary!$B$26</c:f>
              <c:numCache>
                <c:formatCode>0.00</c:formatCode>
                <c:ptCount val="1"/>
                <c:pt idx="0">
                  <c:v>54.077972556204358</c:v>
                </c:pt>
              </c:numCache>
            </c:numRef>
          </c:xVal>
          <c:yVal>
            <c:numRef>
              <c:f>Summary!$C$26</c:f>
              <c:numCache>
                <c:formatCode>0.00</c:formatCode>
                <c:ptCount val="1"/>
                <c:pt idx="0">
                  <c:v>70.96773844309601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01-0D46-FA41-8FA9-BF5B06A07F02}"/>
            </c:ext>
          </c:extLst>
        </c:ser>
        <c:ser>
          <c:idx val="72"/>
          <c:order val="22"/>
          <c:tx>
            <c:strRef>
              <c:f>Summary!$A$27</c:f>
              <c:strCache>
                <c:ptCount val="1"/>
                <c:pt idx="0">
                  <c:v>Jasa Reparasi dan Pemasangan Mesin dan Peralatan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Summary!$B$27</c:f>
              <c:numCache>
                <c:formatCode>0.00</c:formatCode>
                <c:ptCount val="1"/>
                <c:pt idx="0">
                  <c:v>36.784252304980654</c:v>
                </c:pt>
              </c:numCache>
            </c:numRef>
          </c:xVal>
          <c:yVal>
            <c:numRef>
              <c:f>Summary!$C$27</c:f>
              <c:numCache>
                <c:formatCode>0.00</c:formatCode>
                <c:ptCount val="1"/>
                <c:pt idx="0">
                  <c:v>3.3333333333333335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02-0D46-FA41-8FA9-BF5B06A07F02}"/>
            </c:ext>
          </c:extLst>
        </c:ser>
        <c:ser>
          <c:idx val="73"/>
          <c:order val="23"/>
          <c:tx>
            <c:v>Impor</c:v>
          </c:tx>
          <c:spPr>
            <a:ln>
              <a:solidFill>
                <a:srgbClr val="E59A3C"/>
              </a:solidFill>
              <a:prstDash val="solid"/>
            </a:ln>
          </c:spPr>
          <c:xVal>
            <c:numRef>
              <c:f>Summary!$F$7:$F$8</c:f>
              <c:numCache>
                <c:formatCode>0.00</c:formatCode>
                <c:ptCount val="2"/>
                <c:pt idx="0">
                  <c:v>27.317000559774954</c:v>
                </c:pt>
                <c:pt idx="1">
                  <c:v>27.317000559774954</c:v>
                </c:pt>
              </c:numCache>
            </c:numRef>
          </c:xVal>
          <c:yVal>
            <c:numRef>
              <c:f>Summary!$G$7:$G$8</c:f>
              <c:numCache>
                <c:formatCode>0.00</c:formatCode>
                <c:ptCount val="2"/>
                <c:pt idx="0">
                  <c:v>0</c:v>
                </c:pt>
                <c:pt idx="1">
                  <c:v>85.600600803403282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03-0D46-FA41-8FA9-BF5B06A07F02}"/>
            </c:ext>
          </c:extLst>
        </c:ser>
        <c:ser>
          <c:idx val="74"/>
          <c:order val="24"/>
          <c:tx>
            <c:v>Ekspor</c:v>
          </c:tx>
          <c:spPr>
            <a:ln w="12700">
              <a:solidFill>
                <a:srgbClr val="E59A3C"/>
              </a:solidFill>
              <a:prstDash val="solid"/>
            </a:ln>
          </c:spPr>
          <c:xVal>
            <c:numRef>
              <c:f>Summary!$F$11:$F$12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71.855899602880257</c:v>
                </c:pt>
              </c:numCache>
            </c:numRef>
          </c:xVal>
          <c:yVal>
            <c:numRef>
              <c:f>Summary!$G$11:$G$12</c:f>
              <c:numCache>
                <c:formatCode>0.00</c:formatCode>
                <c:ptCount val="2"/>
                <c:pt idx="0">
                  <c:v>39.456601878176897</c:v>
                </c:pt>
                <c:pt idx="1">
                  <c:v>39.456601878176897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04-0D46-FA41-8FA9-BF5B06A07F02}"/>
            </c:ext>
          </c:extLst>
        </c:ser>
        <c:ser>
          <c:idx val="75"/>
          <c:order val="25"/>
          <c:tx>
            <c:strRef>
              <c:f>Summary!$A$4</c:f>
              <c:strCache>
                <c:ptCount val="1"/>
                <c:pt idx="0">
                  <c:v>Makanan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Summary!$B$4</c:f>
              <c:numCache>
                <c:formatCode>0.00</c:formatCode>
                <c:ptCount val="1"/>
                <c:pt idx="0">
                  <c:v>10.286594567680474</c:v>
                </c:pt>
              </c:numCache>
            </c:numRef>
          </c:xVal>
          <c:yVal>
            <c:numRef>
              <c:f>Summary!$C$4</c:f>
              <c:numCache>
                <c:formatCode>0.00</c:formatCode>
                <c:ptCount val="1"/>
                <c:pt idx="0">
                  <c:v>57.763515033079017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05-0D46-FA41-8FA9-BF5B06A07F02}"/>
            </c:ext>
          </c:extLst>
        </c:ser>
        <c:ser>
          <c:idx val="76"/>
          <c:order val="26"/>
          <c:tx>
            <c:strRef>
              <c:f>Summary!$A$5</c:f>
              <c:strCache>
                <c:ptCount val="1"/>
                <c:pt idx="0">
                  <c:v>Minuman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Summary!$B$5</c:f>
              <c:numCache>
                <c:formatCode>0.00</c:formatCode>
                <c:ptCount val="1"/>
                <c:pt idx="0">
                  <c:v>18.341960735669293</c:v>
                </c:pt>
              </c:numCache>
            </c:numRef>
          </c:xVal>
          <c:yVal>
            <c:numRef>
              <c:f>Summary!$C$5</c:f>
              <c:numCache>
                <c:formatCode>0.00</c:formatCode>
                <c:ptCount val="1"/>
                <c:pt idx="0">
                  <c:v>12.082776770613844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06-0D46-FA41-8FA9-BF5B06A07F02}"/>
            </c:ext>
          </c:extLst>
        </c:ser>
        <c:ser>
          <c:idx val="77"/>
          <c:order val="27"/>
          <c:tx>
            <c:strRef>
              <c:f>Summary!$A$6</c:f>
              <c:strCache>
                <c:ptCount val="1"/>
                <c:pt idx="0">
                  <c:v>Pengolahan Tembakau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Summary!$B$6</c:f>
              <c:numCache>
                <c:formatCode>0.00</c:formatCode>
                <c:ptCount val="1"/>
                <c:pt idx="0">
                  <c:v>5.2597780739413693</c:v>
                </c:pt>
              </c:numCache>
            </c:numRef>
          </c:xVal>
          <c:yVal>
            <c:numRef>
              <c:f>Summary!$C$6</c:f>
              <c:numCache>
                <c:formatCode>0.00</c:formatCode>
                <c:ptCount val="1"/>
                <c:pt idx="0">
                  <c:v>49.946392170674486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07-0D46-FA41-8FA9-BF5B06A07F02}"/>
            </c:ext>
          </c:extLst>
        </c:ser>
        <c:ser>
          <c:idx val="78"/>
          <c:order val="28"/>
          <c:tx>
            <c:strRef>
              <c:f>Summary!$A$7</c:f>
              <c:strCache>
                <c:ptCount val="1"/>
                <c:pt idx="0">
                  <c:v>Tekstil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Summary!$B$7</c:f>
              <c:numCache>
                <c:formatCode>0.00</c:formatCode>
                <c:ptCount val="1"/>
                <c:pt idx="0">
                  <c:v>26.924796416960699</c:v>
                </c:pt>
              </c:numCache>
            </c:numRef>
          </c:xVal>
          <c:yVal>
            <c:numRef>
              <c:f>Summary!$C$7</c:f>
              <c:numCache>
                <c:formatCode>0.00</c:formatCode>
                <c:ptCount val="1"/>
                <c:pt idx="0">
                  <c:v>40.829237215215286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08-0D46-FA41-8FA9-BF5B06A07F02}"/>
            </c:ext>
          </c:extLst>
        </c:ser>
        <c:ser>
          <c:idx val="79"/>
          <c:order val="29"/>
          <c:tx>
            <c:strRef>
              <c:f>Summary!$A$8</c:f>
              <c:strCache>
                <c:ptCount val="1"/>
                <c:pt idx="0">
                  <c:v>Pakaian Jadi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Summary!$B$8</c:f>
              <c:numCache>
                <c:formatCode>0.00</c:formatCode>
                <c:ptCount val="1"/>
                <c:pt idx="0">
                  <c:v>40.379094559229671</c:v>
                </c:pt>
              </c:numCache>
            </c:numRef>
          </c:xVal>
          <c:yVal>
            <c:numRef>
              <c:f>Summary!$C$9</c:f>
              <c:numCache>
                <c:formatCode>0.00</c:formatCode>
                <c:ptCount val="1"/>
                <c:pt idx="0">
                  <c:v>43.646983080702526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09-0D46-FA41-8FA9-BF5B06A07F02}"/>
            </c:ext>
          </c:extLst>
        </c:ser>
        <c:ser>
          <c:idx val="80"/>
          <c:order val="30"/>
          <c:tx>
            <c:strRef>
              <c:f>Summary!$A$10</c:f>
              <c:strCache>
                <c:ptCount val="1"/>
                <c:pt idx="0">
                  <c:v>Kayu. Barang dari Kayu dan Gabus (Tidak Termasuk Furnitur) dan Barang Anyaman dari Bambu. Rotan dan Sejenisnya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Summary!$B$10</c:f>
              <c:numCache>
                <c:formatCode>0.00</c:formatCode>
                <c:ptCount val="1"/>
                <c:pt idx="0">
                  <c:v>6.8987478009938261</c:v>
                </c:pt>
              </c:numCache>
            </c:numRef>
          </c:xVal>
          <c:yVal>
            <c:numRef>
              <c:f>Summary!$C$10</c:f>
              <c:numCache>
                <c:formatCode>0.00</c:formatCode>
                <c:ptCount val="1"/>
                <c:pt idx="0">
                  <c:v>69.815778400619052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0A-0D46-FA41-8FA9-BF5B06A07F02}"/>
            </c:ext>
          </c:extLst>
        </c:ser>
        <c:ser>
          <c:idx val="81"/>
          <c:order val="31"/>
          <c:tx>
            <c:strRef>
              <c:f>Summary!$A$11</c:f>
              <c:strCache>
                <c:ptCount val="1"/>
                <c:pt idx="0">
                  <c:v>Kertas dan Barang dari Kertas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Summary!$B$11</c:f>
              <c:numCache>
                <c:formatCode>0.00</c:formatCode>
                <c:ptCount val="1"/>
                <c:pt idx="0">
                  <c:v>14.748203875864254</c:v>
                </c:pt>
              </c:numCache>
            </c:numRef>
          </c:xVal>
          <c:yVal>
            <c:numRef>
              <c:f>Summary!$C$11</c:f>
              <c:numCache>
                <c:formatCode>0.00</c:formatCode>
                <c:ptCount val="1"/>
                <c:pt idx="0">
                  <c:v>26.222460083614525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0B-0D46-FA41-8FA9-BF5B06A07F02}"/>
            </c:ext>
          </c:extLst>
        </c:ser>
        <c:ser>
          <c:idx val="82"/>
          <c:order val="32"/>
          <c:tx>
            <c:strRef>
              <c:f>Summary!$A$12</c:f>
              <c:strCache>
                <c:ptCount val="1"/>
                <c:pt idx="0">
                  <c:v>Pencetakan dan Reproduksi Media Rekaman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Summary!$B$12</c:f>
              <c:numCache>
                <c:formatCode>0.00</c:formatCode>
                <c:ptCount val="1"/>
                <c:pt idx="0">
                  <c:v>8.0606693583710864</c:v>
                </c:pt>
              </c:numCache>
            </c:numRef>
          </c:xVal>
          <c:yVal>
            <c:numRef>
              <c:f>Summary!$C$12</c:f>
              <c:numCache>
                <c:formatCode>0.00</c:formatCode>
                <c:ptCount val="1"/>
                <c:pt idx="0">
                  <c:v>22.251555555555555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0C-0D46-FA41-8FA9-BF5B06A07F02}"/>
            </c:ext>
          </c:extLst>
        </c:ser>
        <c:ser>
          <c:idx val="83"/>
          <c:order val="33"/>
          <c:tx>
            <c:strRef>
              <c:f>Summary!$A$13</c:f>
              <c:strCache>
                <c:ptCount val="1"/>
                <c:pt idx="0">
                  <c:v>Produk dari Batu Bara dan Pengilangan Minyak Bumi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Summary!$B$13</c:f>
              <c:numCache>
                <c:formatCode>0.00</c:formatCode>
                <c:ptCount val="1"/>
                <c:pt idx="0">
                  <c:v>11.986768661340957</c:v>
                </c:pt>
              </c:numCache>
            </c:numRef>
          </c:xVal>
          <c:yVal>
            <c:numRef>
              <c:f>Summary!$C$13</c:f>
              <c:numCache>
                <c:formatCode>0.00</c:formatCode>
                <c:ptCount val="1"/>
                <c:pt idx="0">
                  <c:v>38.045789473684209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0D-0D46-FA41-8FA9-BF5B06A07F02}"/>
            </c:ext>
          </c:extLst>
        </c:ser>
        <c:ser>
          <c:idx val="84"/>
          <c:order val="34"/>
          <c:tx>
            <c:strRef>
              <c:f>Summary!$A$14</c:f>
              <c:strCache>
                <c:ptCount val="1"/>
                <c:pt idx="0">
                  <c:v>Bahan Kimia dan Barang dari Bahan Kimia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Summary!$B$14</c:f>
              <c:numCache>
                <c:formatCode>0.00</c:formatCode>
                <c:ptCount val="1"/>
                <c:pt idx="0">
                  <c:v>36.000408264268167</c:v>
                </c:pt>
              </c:numCache>
            </c:numRef>
          </c:xVal>
          <c:yVal>
            <c:numRef>
              <c:f>Summary!$C$14</c:f>
              <c:numCache>
                <c:formatCode>0.00</c:formatCode>
                <c:ptCount val="1"/>
                <c:pt idx="0">
                  <c:v>32.896714640024506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0E-0D46-FA41-8FA9-BF5B06A07F02}"/>
            </c:ext>
          </c:extLst>
        </c:ser>
        <c:ser>
          <c:idx val="85"/>
          <c:order val="35"/>
          <c:tx>
            <c:strRef>
              <c:f>Summary!$A$15</c:f>
              <c:strCache>
                <c:ptCount val="1"/>
                <c:pt idx="0">
                  <c:v>Farmasi. Produk Obat Kimia dan Obat Tradisional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Summary!$B$15</c:f>
              <c:numCache>
                <c:formatCode>0.00</c:formatCode>
                <c:ptCount val="1"/>
                <c:pt idx="0">
                  <c:v>38.440680547909572</c:v>
                </c:pt>
              </c:numCache>
            </c:numRef>
          </c:xVal>
          <c:yVal>
            <c:numRef>
              <c:f>Summary!$C$15</c:f>
              <c:numCache>
                <c:formatCode>0.00</c:formatCode>
                <c:ptCount val="1"/>
                <c:pt idx="0">
                  <c:v>18.100142006329349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0F-0D46-FA41-8FA9-BF5B06A07F02}"/>
            </c:ext>
          </c:extLst>
        </c:ser>
        <c:ser>
          <c:idx val="86"/>
          <c:order val="36"/>
          <c:tx>
            <c:strRef>
              <c:f>Summary!$A$16</c:f>
              <c:strCache>
                <c:ptCount val="1"/>
                <c:pt idx="0">
                  <c:v>Karet. Barang dari Karet dan Plastik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Summary!$B$16</c:f>
              <c:numCache>
                <c:formatCode>0.00</c:formatCode>
                <c:ptCount val="1"/>
                <c:pt idx="0">
                  <c:v>16.74841257128919</c:v>
                </c:pt>
              </c:numCache>
            </c:numRef>
          </c:xVal>
          <c:yVal>
            <c:numRef>
              <c:f>Summary!$C$1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10-0D46-FA41-8FA9-BF5B06A07F02}"/>
            </c:ext>
          </c:extLst>
        </c:ser>
        <c:ser>
          <c:idx val="87"/>
          <c:order val="37"/>
          <c:tx>
            <c:strRef>
              <c:f>Summary!$A$17</c:f>
              <c:strCache>
                <c:ptCount val="1"/>
                <c:pt idx="0">
                  <c:v>Barang Galian Bukan Logam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Summary!$B$17</c:f>
              <c:numCache>
                <c:formatCode>0.00</c:formatCode>
                <c:ptCount val="1"/>
                <c:pt idx="0">
                  <c:v>20.69620253243027</c:v>
                </c:pt>
              </c:numCache>
            </c:numRef>
          </c:xVal>
          <c:yVal>
            <c:numRef>
              <c:f>Summary!$C$17</c:f>
              <c:numCache>
                <c:formatCode>0.00</c:formatCode>
                <c:ptCount val="1"/>
                <c:pt idx="0">
                  <c:v>29.722374719770446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11-0D46-FA41-8FA9-BF5B06A07F02}"/>
            </c:ext>
          </c:extLst>
        </c:ser>
        <c:ser>
          <c:idx val="88"/>
          <c:order val="38"/>
          <c:tx>
            <c:strRef>
              <c:f>Summary!$A$18</c:f>
              <c:strCache>
                <c:ptCount val="1"/>
                <c:pt idx="0">
                  <c:v>Logam Dasar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Summary!$B$18</c:f>
              <c:numCache>
                <c:formatCode>0.00</c:formatCode>
                <c:ptCount val="1"/>
                <c:pt idx="0">
                  <c:v>38.924375301981293</c:v>
                </c:pt>
              </c:numCache>
            </c:numRef>
          </c:xVal>
          <c:yVal>
            <c:numRef>
              <c:f>Summary!$C$18</c:f>
              <c:numCache>
                <c:formatCode>0.00</c:formatCode>
                <c:ptCount val="1"/>
                <c:pt idx="0">
                  <c:v>47.999677447153836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12-0D46-FA41-8FA9-BF5B06A07F02}"/>
            </c:ext>
          </c:extLst>
        </c:ser>
        <c:ser>
          <c:idx val="89"/>
          <c:order val="39"/>
          <c:tx>
            <c:strRef>
              <c:f>Summary!$A$19</c:f>
              <c:strCache>
                <c:ptCount val="1"/>
                <c:pt idx="0">
                  <c:v>Barang Logam. Bukan Mesin dan Peralatannya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Summary!$B$19</c:f>
              <c:numCache>
                <c:formatCode>0.00</c:formatCode>
                <c:ptCount val="1"/>
                <c:pt idx="0">
                  <c:v>30.673520143676004</c:v>
                </c:pt>
              </c:numCache>
            </c:numRef>
          </c:xVal>
          <c:yVal>
            <c:numRef>
              <c:f>Summary!$C$19</c:f>
              <c:numCache>
                <c:formatCode>0.00</c:formatCode>
                <c:ptCount val="1"/>
                <c:pt idx="0">
                  <c:v>28.538670507454082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13-0D46-FA41-8FA9-BF5B06A07F02}"/>
            </c:ext>
          </c:extLst>
        </c:ser>
        <c:ser>
          <c:idx val="90"/>
          <c:order val="40"/>
          <c:tx>
            <c:strRef>
              <c:f>Summary!$A$20</c:f>
              <c:strCache>
                <c:ptCount val="1"/>
                <c:pt idx="0">
                  <c:v>Komputer. Barang Elektronik dan Optik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Summary!$B$20</c:f>
              <c:numCache>
                <c:formatCode>0.00</c:formatCode>
                <c:ptCount val="1"/>
                <c:pt idx="0">
                  <c:v>65.3235450935275</c:v>
                </c:pt>
              </c:numCache>
            </c:numRef>
          </c:xVal>
          <c:yVal>
            <c:numRef>
              <c:f>Summary!$C$20</c:f>
              <c:numCache>
                <c:formatCode>0.00</c:formatCode>
                <c:ptCount val="1"/>
                <c:pt idx="0">
                  <c:v>50.435337494786999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14-0D46-FA41-8FA9-BF5B06A07F02}"/>
            </c:ext>
          </c:extLst>
        </c:ser>
        <c:ser>
          <c:idx val="91"/>
          <c:order val="41"/>
          <c:tx>
            <c:strRef>
              <c:f>Summary!$A$21</c:f>
              <c:strCache>
                <c:ptCount val="1"/>
                <c:pt idx="0">
                  <c:v>Peralatan Listrik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Summary!$B$21</c:f>
              <c:numCache>
                <c:formatCode>0.00</c:formatCode>
                <c:ptCount val="1"/>
                <c:pt idx="0">
                  <c:v>41.873258296855504</c:v>
                </c:pt>
              </c:numCache>
            </c:numRef>
          </c:xVal>
          <c:yVal>
            <c:numRef>
              <c:f>Summary!$C$21</c:f>
              <c:numCache>
                <c:formatCode>0.00</c:formatCode>
                <c:ptCount val="1"/>
                <c:pt idx="0">
                  <c:v>29.191352937868889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15-0D46-FA41-8FA9-BF5B06A07F02}"/>
            </c:ext>
          </c:extLst>
        </c:ser>
        <c:ser>
          <c:idx val="92"/>
          <c:order val="42"/>
          <c:tx>
            <c:strRef>
              <c:f>Summary!$A$22</c:f>
              <c:strCache>
                <c:ptCount val="1"/>
                <c:pt idx="0">
                  <c:v>Mesin dan Perlengkapan ytdl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Summary!$B$22</c:f>
              <c:numCache>
                <c:formatCode>0.00</c:formatCode>
                <c:ptCount val="1"/>
                <c:pt idx="0">
                  <c:v>35.180478122187253</c:v>
                </c:pt>
              </c:numCache>
            </c:numRef>
          </c:xVal>
          <c:yVal>
            <c:numRef>
              <c:f>Summary!$C$22</c:f>
              <c:numCache>
                <c:formatCode>0.00</c:formatCode>
                <c:ptCount val="1"/>
                <c:pt idx="0">
                  <c:v>28.846572535723929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16-0D46-FA41-8FA9-BF5B06A07F02}"/>
            </c:ext>
          </c:extLst>
        </c:ser>
        <c:ser>
          <c:idx val="93"/>
          <c:order val="43"/>
          <c:tx>
            <c:strRef>
              <c:f>Summary!$A$23</c:f>
              <c:strCache>
                <c:ptCount val="1"/>
                <c:pt idx="0">
                  <c:v>Kendaraan Bermotor. Trailer dan Semi Trailer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Summary!$B$23</c:f>
              <c:numCache>
                <c:formatCode>0.00</c:formatCode>
                <c:ptCount val="1"/>
                <c:pt idx="0">
                  <c:v>33.579929275223925</c:v>
                </c:pt>
              </c:numCache>
            </c:numRef>
          </c:xVal>
          <c:yVal>
            <c:numRef>
              <c:f>Summary!$C$23</c:f>
              <c:numCache>
                <c:formatCode>0.00</c:formatCode>
                <c:ptCount val="1"/>
                <c:pt idx="0">
                  <c:v>31.3156424206319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17-0D46-FA41-8FA9-BF5B06A07F02}"/>
            </c:ext>
          </c:extLst>
        </c:ser>
        <c:ser>
          <c:idx val="94"/>
          <c:order val="44"/>
          <c:tx>
            <c:strRef>
              <c:f>Summary!$A$24</c:f>
              <c:strCache>
                <c:ptCount val="1"/>
                <c:pt idx="0">
                  <c:v>Alat Angkutan Lainnya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Summary!$B$24</c:f>
              <c:numCache>
                <c:formatCode>0.00</c:formatCode>
                <c:ptCount val="1"/>
                <c:pt idx="0">
                  <c:v>29.737096074804636</c:v>
                </c:pt>
              </c:numCache>
            </c:numRef>
          </c:xVal>
          <c:yVal>
            <c:numRef>
              <c:f>Summary!$C$24</c:f>
              <c:numCache>
                <c:formatCode>0.00</c:formatCode>
                <c:ptCount val="1"/>
                <c:pt idx="0">
                  <c:v>32.113344337097963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18-0D46-FA41-8FA9-BF5B06A07F02}"/>
            </c:ext>
          </c:extLst>
        </c:ser>
        <c:ser>
          <c:idx val="95"/>
          <c:order val="45"/>
          <c:tx>
            <c:strRef>
              <c:f>Summary!$A$25</c:f>
              <c:strCache>
                <c:ptCount val="1"/>
                <c:pt idx="0">
                  <c:v>Furnitur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Summary!$B$25</c:f>
              <c:numCache>
                <c:formatCode>0.00</c:formatCode>
                <c:ptCount val="1"/>
                <c:pt idx="0">
                  <c:v>7.3534437291700341</c:v>
                </c:pt>
              </c:numCache>
            </c:numRef>
          </c:xVal>
          <c:yVal>
            <c:numRef>
              <c:f>Summary!$C$2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19-0D46-FA41-8FA9-BF5B06A07F02}"/>
            </c:ext>
          </c:extLst>
        </c:ser>
        <c:ser>
          <c:idx val="96"/>
          <c:order val="46"/>
          <c:tx>
            <c:strRef>
              <c:f>Summary!$A$26</c:f>
              <c:strCache>
                <c:ptCount val="1"/>
                <c:pt idx="0">
                  <c:v>Pengolahan Lainnya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Summary!$B$26</c:f>
              <c:numCache>
                <c:formatCode>0.00</c:formatCode>
                <c:ptCount val="1"/>
                <c:pt idx="0">
                  <c:v>54.077972556204358</c:v>
                </c:pt>
              </c:numCache>
            </c:numRef>
          </c:xVal>
          <c:yVal>
            <c:numRef>
              <c:f>Summary!$C$26</c:f>
              <c:numCache>
                <c:formatCode>0.00</c:formatCode>
                <c:ptCount val="1"/>
                <c:pt idx="0">
                  <c:v>70.96773844309601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1A-0D46-FA41-8FA9-BF5B06A07F02}"/>
            </c:ext>
          </c:extLst>
        </c:ser>
        <c:ser>
          <c:idx val="97"/>
          <c:order val="47"/>
          <c:tx>
            <c:strRef>
              <c:f>Summary!$A$27</c:f>
              <c:strCache>
                <c:ptCount val="1"/>
                <c:pt idx="0">
                  <c:v>Jasa Reparasi dan Pemasangan Mesin dan Peralatan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Summary!$B$27</c:f>
              <c:numCache>
                <c:formatCode>0.00</c:formatCode>
                <c:ptCount val="1"/>
                <c:pt idx="0">
                  <c:v>36.784252304980654</c:v>
                </c:pt>
              </c:numCache>
            </c:numRef>
          </c:xVal>
          <c:yVal>
            <c:numRef>
              <c:f>Summary!$C$27</c:f>
              <c:numCache>
                <c:formatCode>0.00</c:formatCode>
                <c:ptCount val="1"/>
                <c:pt idx="0">
                  <c:v>3.3333333333333335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1B-0D46-FA41-8FA9-BF5B06A07F02}"/>
            </c:ext>
          </c:extLst>
        </c:ser>
        <c:ser>
          <c:idx val="98"/>
          <c:order val="48"/>
          <c:tx>
            <c:v>Impor</c:v>
          </c:tx>
          <c:spPr>
            <a:ln>
              <a:solidFill>
                <a:srgbClr val="E59A3C"/>
              </a:solidFill>
              <a:prstDash val="solid"/>
            </a:ln>
          </c:spPr>
          <c:xVal>
            <c:numRef>
              <c:f>Summary!$F$7:$F$8</c:f>
              <c:numCache>
                <c:formatCode>0.00</c:formatCode>
                <c:ptCount val="2"/>
                <c:pt idx="0">
                  <c:v>27.317000559774954</c:v>
                </c:pt>
                <c:pt idx="1">
                  <c:v>27.317000559774954</c:v>
                </c:pt>
              </c:numCache>
            </c:numRef>
          </c:xVal>
          <c:yVal>
            <c:numRef>
              <c:f>Summary!$G$7:$G$8</c:f>
              <c:numCache>
                <c:formatCode>0.00</c:formatCode>
                <c:ptCount val="2"/>
                <c:pt idx="0">
                  <c:v>0</c:v>
                </c:pt>
                <c:pt idx="1">
                  <c:v>85.600600803403282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1C-0D46-FA41-8FA9-BF5B06A07F02}"/>
            </c:ext>
          </c:extLst>
        </c:ser>
        <c:ser>
          <c:idx val="99"/>
          <c:order val="49"/>
          <c:tx>
            <c:v>Ekspor</c:v>
          </c:tx>
          <c:spPr>
            <a:ln w="12700">
              <a:solidFill>
                <a:srgbClr val="E59A3C"/>
              </a:solidFill>
              <a:prstDash val="solid"/>
            </a:ln>
          </c:spPr>
          <c:xVal>
            <c:numRef>
              <c:f>Summary!$F$11:$F$12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71.855899602880257</c:v>
                </c:pt>
              </c:numCache>
            </c:numRef>
          </c:xVal>
          <c:yVal>
            <c:numRef>
              <c:f>Summary!$G$11:$G$12</c:f>
              <c:numCache>
                <c:formatCode>0.00</c:formatCode>
                <c:ptCount val="2"/>
                <c:pt idx="0">
                  <c:v>39.456601878176897</c:v>
                </c:pt>
                <c:pt idx="1">
                  <c:v>39.456601878176897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1D-0D46-FA41-8FA9-BF5B06A07F02}"/>
            </c:ext>
          </c:extLst>
        </c:ser>
        <c:ser>
          <c:idx val="25"/>
          <c:order val="50"/>
          <c:tx>
            <c:strRef>
              <c:f>Summary!$A$4</c:f>
              <c:strCache>
                <c:ptCount val="1"/>
                <c:pt idx="0">
                  <c:v>Makanan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Summary!$B$4</c:f>
              <c:numCache>
                <c:formatCode>0.00</c:formatCode>
                <c:ptCount val="1"/>
                <c:pt idx="0">
                  <c:v>10.286594567680474</c:v>
                </c:pt>
              </c:numCache>
            </c:numRef>
          </c:xVal>
          <c:yVal>
            <c:numRef>
              <c:f>Summary!$C$4</c:f>
              <c:numCache>
                <c:formatCode>0.00</c:formatCode>
                <c:ptCount val="1"/>
                <c:pt idx="0">
                  <c:v>57.763515033079017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6-0D46-FA41-8FA9-BF5B06A07F02}"/>
            </c:ext>
          </c:extLst>
        </c:ser>
        <c:ser>
          <c:idx val="26"/>
          <c:order val="51"/>
          <c:tx>
            <c:strRef>
              <c:f>Summary!$A$5</c:f>
              <c:strCache>
                <c:ptCount val="1"/>
                <c:pt idx="0">
                  <c:v>Minuman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Summary!$B$5</c:f>
              <c:numCache>
                <c:formatCode>0.00</c:formatCode>
                <c:ptCount val="1"/>
                <c:pt idx="0">
                  <c:v>18.341960735669293</c:v>
                </c:pt>
              </c:numCache>
            </c:numRef>
          </c:xVal>
          <c:yVal>
            <c:numRef>
              <c:f>Summary!$C$5</c:f>
              <c:numCache>
                <c:formatCode>0.00</c:formatCode>
                <c:ptCount val="1"/>
                <c:pt idx="0">
                  <c:v>12.082776770613844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8-0D46-FA41-8FA9-BF5B06A07F02}"/>
            </c:ext>
          </c:extLst>
        </c:ser>
        <c:ser>
          <c:idx val="27"/>
          <c:order val="52"/>
          <c:tx>
            <c:strRef>
              <c:f>Summary!$A$6</c:f>
              <c:strCache>
                <c:ptCount val="1"/>
                <c:pt idx="0">
                  <c:v>Pengolahan Tembakau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Summary!$B$6</c:f>
              <c:numCache>
                <c:formatCode>0.00</c:formatCode>
                <c:ptCount val="1"/>
                <c:pt idx="0">
                  <c:v>5.2597780739413693</c:v>
                </c:pt>
              </c:numCache>
            </c:numRef>
          </c:xVal>
          <c:yVal>
            <c:numRef>
              <c:f>Summary!$C$6</c:f>
              <c:numCache>
                <c:formatCode>0.00</c:formatCode>
                <c:ptCount val="1"/>
                <c:pt idx="0">
                  <c:v>49.946392170674486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A-0D46-FA41-8FA9-BF5B06A07F02}"/>
            </c:ext>
          </c:extLst>
        </c:ser>
        <c:ser>
          <c:idx val="28"/>
          <c:order val="53"/>
          <c:tx>
            <c:strRef>
              <c:f>Summary!$A$7</c:f>
              <c:strCache>
                <c:ptCount val="1"/>
                <c:pt idx="0">
                  <c:v>Tekstil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Summary!$B$7</c:f>
              <c:numCache>
                <c:formatCode>0.00</c:formatCode>
                <c:ptCount val="1"/>
                <c:pt idx="0">
                  <c:v>26.924796416960699</c:v>
                </c:pt>
              </c:numCache>
            </c:numRef>
          </c:xVal>
          <c:yVal>
            <c:numRef>
              <c:f>Summary!$C$7</c:f>
              <c:numCache>
                <c:formatCode>0.00</c:formatCode>
                <c:ptCount val="1"/>
                <c:pt idx="0">
                  <c:v>40.829237215215286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C-0D46-FA41-8FA9-BF5B06A07F02}"/>
            </c:ext>
          </c:extLst>
        </c:ser>
        <c:ser>
          <c:idx val="29"/>
          <c:order val="54"/>
          <c:tx>
            <c:strRef>
              <c:f>Summary!$A$8</c:f>
              <c:strCache>
                <c:ptCount val="1"/>
                <c:pt idx="0">
                  <c:v>Pakaian Jadi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Summary!$B$8</c:f>
              <c:numCache>
                <c:formatCode>0.00</c:formatCode>
                <c:ptCount val="1"/>
                <c:pt idx="0">
                  <c:v>40.379094559229671</c:v>
                </c:pt>
              </c:numCache>
            </c:numRef>
          </c:xVal>
          <c:yVal>
            <c:numRef>
              <c:f>Summary!$C$9</c:f>
              <c:numCache>
                <c:formatCode>0.00</c:formatCode>
                <c:ptCount val="1"/>
                <c:pt idx="0">
                  <c:v>43.646983080702526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E-0D46-FA41-8FA9-BF5B06A07F02}"/>
            </c:ext>
          </c:extLst>
        </c:ser>
        <c:ser>
          <c:idx val="30"/>
          <c:order val="55"/>
          <c:tx>
            <c:strRef>
              <c:f>Summary!$A$10</c:f>
              <c:strCache>
                <c:ptCount val="1"/>
                <c:pt idx="0">
                  <c:v>Kayu. Barang dari Kayu dan Gabus (Tidak Termasuk Furnitur) dan Barang Anyaman dari Bambu. Rotan dan Sejenisnya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Summary!$B$10</c:f>
              <c:numCache>
                <c:formatCode>0.00</c:formatCode>
                <c:ptCount val="1"/>
                <c:pt idx="0">
                  <c:v>6.8987478009938261</c:v>
                </c:pt>
              </c:numCache>
            </c:numRef>
          </c:xVal>
          <c:yVal>
            <c:numRef>
              <c:f>Summary!$C$10</c:f>
              <c:numCache>
                <c:formatCode>0.00</c:formatCode>
                <c:ptCount val="1"/>
                <c:pt idx="0">
                  <c:v>69.815778400619052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0D46-FA41-8FA9-BF5B06A07F02}"/>
            </c:ext>
          </c:extLst>
        </c:ser>
        <c:ser>
          <c:idx val="31"/>
          <c:order val="56"/>
          <c:tx>
            <c:strRef>
              <c:f>Summary!$A$11</c:f>
              <c:strCache>
                <c:ptCount val="1"/>
                <c:pt idx="0">
                  <c:v>Kertas dan Barang dari Kertas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Summary!$B$11</c:f>
              <c:numCache>
                <c:formatCode>0.00</c:formatCode>
                <c:ptCount val="1"/>
                <c:pt idx="0">
                  <c:v>14.748203875864254</c:v>
                </c:pt>
              </c:numCache>
            </c:numRef>
          </c:xVal>
          <c:yVal>
            <c:numRef>
              <c:f>Summary!$C$11</c:f>
              <c:numCache>
                <c:formatCode>0.00</c:formatCode>
                <c:ptCount val="1"/>
                <c:pt idx="0">
                  <c:v>26.222460083614525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2-0D46-FA41-8FA9-BF5B06A07F02}"/>
            </c:ext>
          </c:extLst>
        </c:ser>
        <c:ser>
          <c:idx val="32"/>
          <c:order val="57"/>
          <c:tx>
            <c:strRef>
              <c:f>Summary!$A$12</c:f>
              <c:strCache>
                <c:ptCount val="1"/>
                <c:pt idx="0">
                  <c:v>Pencetakan dan Reproduksi Media Rekaman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Summary!$B$12</c:f>
              <c:numCache>
                <c:formatCode>0.00</c:formatCode>
                <c:ptCount val="1"/>
                <c:pt idx="0">
                  <c:v>8.0606693583710864</c:v>
                </c:pt>
              </c:numCache>
            </c:numRef>
          </c:xVal>
          <c:yVal>
            <c:numRef>
              <c:f>Summary!$C$12</c:f>
              <c:numCache>
                <c:formatCode>0.00</c:formatCode>
                <c:ptCount val="1"/>
                <c:pt idx="0">
                  <c:v>22.251555555555555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4-0D46-FA41-8FA9-BF5B06A07F02}"/>
            </c:ext>
          </c:extLst>
        </c:ser>
        <c:ser>
          <c:idx val="33"/>
          <c:order val="58"/>
          <c:tx>
            <c:strRef>
              <c:f>Summary!$A$13</c:f>
              <c:strCache>
                <c:ptCount val="1"/>
                <c:pt idx="0">
                  <c:v>Produk dari Batu Bara dan Pengilangan Minyak Bumi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Summary!$B$13</c:f>
              <c:numCache>
                <c:formatCode>0.00</c:formatCode>
                <c:ptCount val="1"/>
                <c:pt idx="0">
                  <c:v>11.986768661340957</c:v>
                </c:pt>
              </c:numCache>
            </c:numRef>
          </c:xVal>
          <c:yVal>
            <c:numRef>
              <c:f>Summary!$C$13</c:f>
              <c:numCache>
                <c:formatCode>0.00</c:formatCode>
                <c:ptCount val="1"/>
                <c:pt idx="0">
                  <c:v>38.045789473684209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6-0D46-FA41-8FA9-BF5B06A07F02}"/>
            </c:ext>
          </c:extLst>
        </c:ser>
        <c:ser>
          <c:idx val="34"/>
          <c:order val="59"/>
          <c:tx>
            <c:strRef>
              <c:f>Summary!$A$14</c:f>
              <c:strCache>
                <c:ptCount val="1"/>
                <c:pt idx="0">
                  <c:v>Bahan Kimia dan Barang dari Bahan Kimia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Summary!$B$14</c:f>
              <c:numCache>
                <c:formatCode>0.00</c:formatCode>
                <c:ptCount val="1"/>
                <c:pt idx="0">
                  <c:v>36.000408264268167</c:v>
                </c:pt>
              </c:numCache>
            </c:numRef>
          </c:xVal>
          <c:yVal>
            <c:numRef>
              <c:f>Summary!$C$14</c:f>
              <c:numCache>
                <c:formatCode>0.00</c:formatCode>
                <c:ptCount val="1"/>
                <c:pt idx="0">
                  <c:v>32.896714640024506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8-0D46-FA41-8FA9-BF5B06A07F02}"/>
            </c:ext>
          </c:extLst>
        </c:ser>
        <c:ser>
          <c:idx val="35"/>
          <c:order val="60"/>
          <c:tx>
            <c:strRef>
              <c:f>Summary!$A$15</c:f>
              <c:strCache>
                <c:ptCount val="1"/>
                <c:pt idx="0">
                  <c:v>Farmasi. Produk Obat Kimia dan Obat Tradisional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Summary!$B$15</c:f>
              <c:numCache>
                <c:formatCode>0.00</c:formatCode>
                <c:ptCount val="1"/>
                <c:pt idx="0">
                  <c:v>38.440680547909572</c:v>
                </c:pt>
              </c:numCache>
            </c:numRef>
          </c:xVal>
          <c:yVal>
            <c:numRef>
              <c:f>Summary!$C$15</c:f>
              <c:numCache>
                <c:formatCode>0.00</c:formatCode>
                <c:ptCount val="1"/>
                <c:pt idx="0">
                  <c:v>18.100142006329349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A-0D46-FA41-8FA9-BF5B06A07F02}"/>
            </c:ext>
          </c:extLst>
        </c:ser>
        <c:ser>
          <c:idx val="36"/>
          <c:order val="61"/>
          <c:tx>
            <c:strRef>
              <c:f>Summary!$A$16</c:f>
              <c:strCache>
                <c:ptCount val="1"/>
                <c:pt idx="0">
                  <c:v>Karet. Barang dari Karet dan Plastik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Summary!$B$16</c:f>
              <c:numCache>
                <c:formatCode>0.00</c:formatCode>
                <c:ptCount val="1"/>
                <c:pt idx="0">
                  <c:v>16.74841257128919</c:v>
                </c:pt>
              </c:numCache>
            </c:numRef>
          </c:xVal>
          <c:yVal>
            <c:numRef>
              <c:f>Summary!$C$1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C-0D46-FA41-8FA9-BF5B06A07F02}"/>
            </c:ext>
          </c:extLst>
        </c:ser>
        <c:ser>
          <c:idx val="37"/>
          <c:order val="62"/>
          <c:tx>
            <c:strRef>
              <c:f>Summary!$A$17</c:f>
              <c:strCache>
                <c:ptCount val="1"/>
                <c:pt idx="0">
                  <c:v>Barang Galian Bukan Logam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Summary!$B$17</c:f>
              <c:numCache>
                <c:formatCode>0.00</c:formatCode>
                <c:ptCount val="1"/>
                <c:pt idx="0">
                  <c:v>20.69620253243027</c:v>
                </c:pt>
              </c:numCache>
            </c:numRef>
          </c:xVal>
          <c:yVal>
            <c:numRef>
              <c:f>Summary!$C$17</c:f>
              <c:numCache>
                <c:formatCode>0.00</c:formatCode>
                <c:ptCount val="1"/>
                <c:pt idx="0">
                  <c:v>29.722374719770446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E-0D46-FA41-8FA9-BF5B06A07F02}"/>
            </c:ext>
          </c:extLst>
        </c:ser>
        <c:ser>
          <c:idx val="38"/>
          <c:order val="63"/>
          <c:tx>
            <c:strRef>
              <c:f>Summary!$A$18</c:f>
              <c:strCache>
                <c:ptCount val="1"/>
                <c:pt idx="0">
                  <c:v>Logam Dasar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Summary!$B$18</c:f>
              <c:numCache>
                <c:formatCode>0.00</c:formatCode>
                <c:ptCount val="1"/>
                <c:pt idx="0">
                  <c:v>38.924375301981293</c:v>
                </c:pt>
              </c:numCache>
            </c:numRef>
          </c:xVal>
          <c:yVal>
            <c:numRef>
              <c:f>Summary!$C$18</c:f>
              <c:numCache>
                <c:formatCode>0.00</c:formatCode>
                <c:ptCount val="1"/>
                <c:pt idx="0">
                  <c:v>47.999677447153836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0-0D46-FA41-8FA9-BF5B06A07F02}"/>
            </c:ext>
          </c:extLst>
        </c:ser>
        <c:ser>
          <c:idx val="39"/>
          <c:order val="64"/>
          <c:tx>
            <c:strRef>
              <c:f>Summary!$A$19</c:f>
              <c:strCache>
                <c:ptCount val="1"/>
                <c:pt idx="0">
                  <c:v>Barang Logam. Bukan Mesin dan Peralatannya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Summary!$B$19</c:f>
              <c:numCache>
                <c:formatCode>0.00</c:formatCode>
                <c:ptCount val="1"/>
                <c:pt idx="0">
                  <c:v>30.673520143676004</c:v>
                </c:pt>
              </c:numCache>
            </c:numRef>
          </c:xVal>
          <c:yVal>
            <c:numRef>
              <c:f>Summary!$C$19</c:f>
              <c:numCache>
                <c:formatCode>0.00</c:formatCode>
                <c:ptCount val="1"/>
                <c:pt idx="0">
                  <c:v>28.538670507454082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2-0D46-FA41-8FA9-BF5B06A07F02}"/>
            </c:ext>
          </c:extLst>
        </c:ser>
        <c:ser>
          <c:idx val="40"/>
          <c:order val="65"/>
          <c:tx>
            <c:strRef>
              <c:f>Summary!$A$20</c:f>
              <c:strCache>
                <c:ptCount val="1"/>
                <c:pt idx="0">
                  <c:v>Komputer. Barang Elektronik dan Optik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Summary!$B$20</c:f>
              <c:numCache>
                <c:formatCode>0.00</c:formatCode>
                <c:ptCount val="1"/>
                <c:pt idx="0">
                  <c:v>65.3235450935275</c:v>
                </c:pt>
              </c:numCache>
            </c:numRef>
          </c:xVal>
          <c:yVal>
            <c:numRef>
              <c:f>Summary!$C$20</c:f>
              <c:numCache>
                <c:formatCode>0.00</c:formatCode>
                <c:ptCount val="1"/>
                <c:pt idx="0">
                  <c:v>50.435337494786999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4-0D46-FA41-8FA9-BF5B06A07F02}"/>
            </c:ext>
          </c:extLst>
        </c:ser>
        <c:ser>
          <c:idx val="41"/>
          <c:order val="66"/>
          <c:tx>
            <c:strRef>
              <c:f>Summary!$A$21</c:f>
              <c:strCache>
                <c:ptCount val="1"/>
                <c:pt idx="0">
                  <c:v>Peralatan Listrik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Summary!$B$21</c:f>
              <c:numCache>
                <c:formatCode>0.00</c:formatCode>
                <c:ptCount val="1"/>
                <c:pt idx="0">
                  <c:v>41.873258296855504</c:v>
                </c:pt>
              </c:numCache>
            </c:numRef>
          </c:xVal>
          <c:yVal>
            <c:numRef>
              <c:f>Summary!$C$21</c:f>
              <c:numCache>
                <c:formatCode>0.00</c:formatCode>
                <c:ptCount val="1"/>
                <c:pt idx="0">
                  <c:v>29.191352937868889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6-0D46-FA41-8FA9-BF5B06A07F02}"/>
            </c:ext>
          </c:extLst>
        </c:ser>
        <c:ser>
          <c:idx val="42"/>
          <c:order val="67"/>
          <c:tx>
            <c:strRef>
              <c:f>Summary!$A$22</c:f>
              <c:strCache>
                <c:ptCount val="1"/>
                <c:pt idx="0">
                  <c:v>Mesin dan Perlengkapan ytdl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Summary!$B$22</c:f>
              <c:numCache>
                <c:formatCode>0.00</c:formatCode>
                <c:ptCount val="1"/>
                <c:pt idx="0">
                  <c:v>35.180478122187253</c:v>
                </c:pt>
              </c:numCache>
            </c:numRef>
          </c:xVal>
          <c:yVal>
            <c:numRef>
              <c:f>Summary!$C$22</c:f>
              <c:numCache>
                <c:formatCode>0.00</c:formatCode>
                <c:ptCount val="1"/>
                <c:pt idx="0">
                  <c:v>28.846572535723929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8-0D46-FA41-8FA9-BF5B06A07F02}"/>
            </c:ext>
          </c:extLst>
        </c:ser>
        <c:ser>
          <c:idx val="43"/>
          <c:order val="68"/>
          <c:tx>
            <c:strRef>
              <c:f>Summary!$A$23</c:f>
              <c:strCache>
                <c:ptCount val="1"/>
                <c:pt idx="0">
                  <c:v>Kendaraan Bermotor. Trailer dan Semi Trailer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Summary!$B$23</c:f>
              <c:numCache>
                <c:formatCode>0.00</c:formatCode>
                <c:ptCount val="1"/>
                <c:pt idx="0">
                  <c:v>33.579929275223925</c:v>
                </c:pt>
              </c:numCache>
            </c:numRef>
          </c:xVal>
          <c:yVal>
            <c:numRef>
              <c:f>Summary!$C$23</c:f>
              <c:numCache>
                <c:formatCode>0.00</c:formatCode>
                <c:ptCount val="1"/>
                <c:pt idx="0">
                  <c:v>31.3156424206319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A-0D46-FA41-8FA9-BF5B06A07F02}"/>
            </c:ext>
          </c:extLst>
        </c:ser>
        <c:ser>
          <c:idx val="44"/>
          <c:order val="69"/>
          <c:tx>
            <c:strRef>
              <c:f>Summary!$A$24</c:f>
              <c:strCache>
                <c:ptCount val="1"/>
                <c:pt idx="0">
                  <c:v>Alat Angkutan Lainnya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Summary!$B$24</c:f>
              <c:numCache>
                <c:formatCode>0.00</c:formatCode>
                <c:ptCount val="1"/>
                <c:pt idx="0">
                  <c:v>29.737096074804636</c:v>
                </c:pt>
              </c:numCache>
            </c:numRef>
          </c:xVal>
          <c:yVal>
            <c:numRef>
              <c:f>Summary!$C$24</c:f>
              <c:numCache>
                <c:formatCode>0.00</c:formatCode>
                <c:ptCount val="1"/>
                <c:pt idx="0">
                  <c:v>32.113344337097963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C-0D46-FA41-8FA9-BF5B06A07F02}"/>
            </c:ext>
          </c:extLst>
        </c:ser>
        <c:ser>
          <c:idx val="45"/>
          <c:order val="70"/>
          <c:tx>
            <c:strRef>
              <c:f>Summary!$A$25</c:f>
              <c:strCache>
                <c:ptCount val="1"/>
                <c:pt idx="0">
                  <c:v>Furnitur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Summary!$B$25</c:f>
              <c:numCache>
                <c:formatCode>0.00</c:formatCode>
                <c:ptCount val="1"/>
                <c:pt idx="0">
                  <c:v>7.3534437291700341</c:v>
                </c:pt>
              </c:numCache>
            </c:numRef>
          </c:xVal>
          <c:yVal>
            <c:numRef>
              <c:f>Summary!$C$2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E-0D46-FA41-8FA9-BF5B06A07F02}"/>
            </c:ext>
          </c:extLst>
        </c:ser>
        <c:ser>
          <c:idx val="46"/>
          <c:order val="71"/>
          <c:tx>
            <c:strRef>
              <c:f>Summary!$A$26</c:f>
              <c:strCache>
                <c:ptCount val="1"/>
                <c:pt idx="0">
                  <c:v>Pengolahan Lainnya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Summary!$B$26</c:f>
              <c:numCache>
                <c:formatCode>0.00</c:formatCode>
                <c:ptCount val="1"/>
                <c:pt idx="0">
                  <c:v>54.077972556204358</c:v>
                </c:pt>
              </c:numCache>
            </c:numRef>
          </c:xVal>
          <c:yVal>
            <c:numRef>
              <c:f>Summary!$C$26</c:f>
              <c:numCache>
                <c:formatCode>0.00</c:formatCode>
                <c:ptCount val="1"/>
                <c:pt idx="0">
                  <c:v>70.96773844309601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0-0D46-FA41-8FA9-BF5B06A07F02}"/>
            </c:ext>
          </c:extLst>
        </c:ser>
        <c:ser>
          <c:idx val="47"/>
          <c:order val="72"/>
          <c:tx>
            <c:strRef>
              <c:f>Summary!$A$27</c:f>
              <c:strCache>
                <c:ptCount val="1"/>
                <c:pt idx="0">
                  <c:v>Jasa Reparasi dan Pemasangan Mesin dan Peralatan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Summary!$B$27</c:f>
              <c:numCache>
                <c:formatCode>0.00</c:formatCode>
                <c:ptCount val="1"/>
                <c:pt idx="0">
                  <c:v>36.784252304980654</c:v>
                </c:pt>
              </c:numCache>
            </c:numRef>
          </c:xVal>
          <c:yVal>
            <c:numRef>
              <c:f>Summary!$C$27</c:f>
              <c:numCache>
                <c:formatCode>0.00</c:formatCode>
                <c:ptCount val="1"/>
                <c:pt idx="0">
                  <c:v>3.3333333333333335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2-0D46-FA41-8FA9-BF5B06A07F02}"/>
            </c:ext>
          </c:extLst>
        </c:ser>
        <c:ser>
          <c:idx val="48"/>
          <c:order val="73"/>
          <c:tx>
            <c:v>Impor</c:v>
          </c:tx>
          <c:spPr>
            <a:ln>
              <a:solidFill>
                <a:srgbClr val="E59A3C"/>
              </a:solidFill>
              <a:prstDash val="solid"/>
            </a:ln>
          </c:spPr>
          <c:xVal>
            <c:numRef>
              <c:f>Summary!$F$7:$F$8</c:f>
              <c:numCache>
                <c:formatCode>0.00</c:formatCode>
                <c:ptCount val="2"/>
                <c:pt idx="0">
                  <c:v>27.317000559774954</c:v>
                </c:pt>
                <c:pt idx="1">
                  <c:v>27.317000559774954</c:v>
                </c:pt>
              </c:numCache>
            </c:numRef>
          </c:xVal>
          <c:yVal>
            <c:numRef>
              <c:f>Summary!$G$7:$G$8</c:f>
              <c:numCache>
                <c:formatCode>0.00</c:formatCode>
                <c:ptCount val="2"/>
                <c:pt idx="0">
                  <c:v>0</c:v>
                </c:pt>
                <c:pt idx="1">
                  <c:v>85.600600803403282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4-0D46-FA41-8FA9-BF5B06A07F02}"/>
            </c:ext>
          </c:extLst>
        </c:ser>
        <c:ser>
          <c:idx val="49"/>
          <c:order val="74"/>
          <c:tx>
            <c:v>Ekspor</c:v>
          </c:tx>
          <c:spPr>
            <a:ln w="12700">
              <a:solidFill>
                <a:srgbClr val="E59A3C"/>
              </a:solidFill>
              <a:prstDash val="solid"/>
            </a:ln>
          </c:spPr>
          <c:xVal>
            <c:numRef>
              <c:f>Summary!$F$11:$F$12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71.855899602880257</c:v>
                </c:pt>
              </c:numCache>
            </c:numRef>
          </c:xVal>
          <c:yVal>
            <c:numRef>
              <c:f>Summary!$G$11:$G$12</c:f>
              <c:numCache>
                <c:formatCode>0.00</c:formatCode>
                <c:ptCount val="2"/>
                <c:pt idx="0">
                  <c:v>39.456601878176897</c:v>
                </c:pt>
                <c:pt idx="1">
                  <c:v>39.456601878176897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6-0D46-FA41-8FA9-BF5B06A07F02}"/>
            </c:ext>
          </c:extLst>
        </c:ser>
        <c:ser>
          <c:idx val="0"/>
          <c:order val="75"/>
          <c:tx>
            <c:strRef>
              <c:f>Summary!$A$4</c:f>
              <c:strCache>
                <c:ptCount val="1"/>
                <c:pt idx="0">
                  <c:v>Makanan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Summary!$B$4</c:f>
              <c:numCache>
                <c:formatCode>0.00</c:formatCode>
                <c:ptCount val="1"/>
                <c:pt idx="0">
                  <c:v>10.286594567680474</c:v>
                </c:pt>
              </c:numCache>
            </c:numRef>
          </c:xVal>
          <c:yVal>
            <c:numRef>
              <c:f>Summary!$C$4</c:f>
              <c:numCache>
                <c:formatCode>0.00</c:formatCode>
                <c:ptCount val="1"/>
                <c:pt idx="0">
                  <c:v>57.763515033079017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B8-0D46-FA41-8FA9-BF5B06A07F02}"/>
            </c:ext>
          </c:extLst>
        </c:ser>
        <c:ser>
          <c:idx val="1"/>
          <c:order val="76"/>
          <c:tx>
            <c:strRef>
              <c:f>Summary!$A$5</c:f>
              <c:strCache>
                <c:ptCount val="1"/>
                <c:pt idx="0">
                  <c:v>Minuman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Summary!$B$5</c:f>
              <c:numCache>
                <c:formatCode>0.00</c:formatCode>
                <c:ptCount val="1"/>
                <c:pt idx="0">
                  <c:v>18.341960735669293</c:v>
                </c:pt>
              </c:numCache>
            </c:numRef>
          </c:xVal>
          <c:yVal>
            <c:numRef>
              <c:f>Summary!$C$5</c:f>
              <c:numCache>
                <c:formatCode>0.00</c:formatCode>
                <c:ptCount val="1"/>
                <c:pt idx="0">
                  <c:v>12.082776770613844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BA-0D46-FA41-8FA9-BF5B06A07F02}"/>
            </c:ext>
          </c:extLst>
        </c:ser>
        <c:ser>
          <c:idx val="2"/>
          <c:order val="77"/>
          <c:tx>
            <c:strRef>
              <c:f>Summary!$A$6</c:f>
              <c:strCache>
                <c:ptCount val="1"/>
                <c:pt idx="0">
                  <c:v>Pengolahan Tembakau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Summary!$B$6</c:f>
              <c:numCache>
                <c:formatCode>0.00</c:formatCode>
                <c:ptCount val="1"/>
                <c:pt idx="0">
                  <c:v>5.2597780739413693</c:v>
                </c:pt>
              </c:numCache>
            </c:numRef>
          </c:xVal>
          <c:yVal>
            <c:numRef>
              <c:f>Summary!$C$6</c:f>
              <c:numCache>
                <c:formatCode>0.00</c:formatCode>
                <c:ptCount val="1"/>
                <c:pt idx="0">
                  <c:v>49.946392170674486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BC-0D46-FA41-8FA9-BF5B06A07F02}"/>
            </c:ext>
          </c:extLst>
        </c:ser>
        <c:ser>
          <c:idx val="3"/>
          <c:order val="78"/>
          <c:tx>
            <c:strRef>
              <c:f>Summary!$A$7</c:f>
              <c:strCache>
                <c:ptCount val="1"/>
                <c:pt idx="0">
                  <c:v>Tekstil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Summary!$B$7</c:f>
              <c:numCache>
                <c:formatCode>0.00</c:formatCode>
                <c:ptCount val="1"/>
                <c:pt idx="0">
                  <c:v>26.924796416960699</c:v>
                </c:pt>
              </c:numCache>
            </c:numRef>
          </c:xVal>
          <c:yVal>
            <c:numRef>
              <c:f>Summary!$C$7</c:f>
              <c:numCache>
                <c:formatCode>0.00</c:formatCode>
                <c:ptCount val="1"/>
                <c:pt idx="0">
                  <c:v>40.829237215215286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BE-0D46-FA41-8FA9-BF5B06A07F02}"/>
            </c:ext>
          </c:extLst>
        </c:ser>
        <c:ser>
          <c:idx val="4"/>
          <c:order val="79"/>
          <c:tx>
            <c:strRef>
              <c:f>Summary!$A$8</c:f>
              <c:strCache>
                <c:ptCount val="1"/>
                <c:pt idx="0">
                  <c:v>Pakaian Jadi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Summary!$B$8</c:f>
              <c:numCache>
                <c:formatCode>0.00</c:formatCode>
                <c:ptCount val="1"/>
                <c:pt idx="0">
                  <c:v>40.379094559229671</c:v>
                </c:pt>
              </c:numCache>
            </c:numRef>
          </c:xVal>
          <c:yVal>
            <c:numRef>
              <c:f>Summary!$C$9</c:f>
              <c:numCache>
                <c:formatCode>0.00</c:formatCode>
                <c:ptCount val="1"/>
                <c:pt idx="0">
                  <c:v>43.646983080702526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C0-0D46-FA41-8FA9-BF5B06A07F02}"/>
            </c:ext>
          </c:extLst>
        </c:ser>
        <c:ser>
          <c:idx val="5"/>
          <c:order val="80"/>
          <c:tx>
            <c:strRef>
              <c:f>Summary!$A$10</c:f>
              <c:strCache>
                <c:ptCount val="1"/>
                <c:pt idx="0">
                  <c:v>Kayu. Barang dari Kayu dan Gabus (Tidak Termasuk Furnitur) dan Barang Anyaman dari Bambu. Rotan dan Sejenisnya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Summary!$B$10</c:f>
              <c:numCache>
                <c:formatCode>0.00</c:formatCode>
                <c:ptCount val="1"/>
                <c:pt idx="0">
                  <c:v>6.8987478009938261</c:v>
                </c:pt>
              </c:numCache>
            </c:numRef>
          </c:xVal>
          <c:yVal>
            <c:numRef>
              <c:f>Summary!$C$10</c:f>
              <c:numCache>
                <c:formatCode>0.00</c:formatCode>
                <c:ptCount val="1"/>
                <c:pt idx="0">
                  <c:v>69.815778400619052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C2-0D46-FA41-8FA9-BF5B06A07F02}"/>
            </c:ext>
          </c:extLst>
        </c:ser>
        <c:ser>
          <c:idx val="6"/>
          <c:order val="81"/>
          <c:tx>
            <c:strRef>
              <c:f>Summary!$A$11</c:f>
              <c:strCache>
                <c:ptCount val="1"/>
                <c:pt idx="0">
                  <c:v>Kertas dan Barang dari Kertas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Summary!$B$11</c:f>
              <c:numCache>
                <c:formatCode>0.00</c:formatCode>
                <c:ptCount val="1"/>
                <c:pt idx="0">
                  <c:v>14.748203875864254</c:v>
                </c:pt>
              </c:numCache>
            </c:numRef>
          </c:xVal>
          <c:yVal>
            <c:numRef>
              <c:f>Summary!$C$11</c:f>
              <c:numCache>
                <c:formatCode>0.00</c:formatCode>
                <c:ptCount val="1"/>
                <c:pt idx="0">
                  <c:v>26.222460083614525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C4-0D46-FA41-8FA9-BF5B06A07F02}"/>
            </c:ext>
          </c:extLst>
        </c:ser>
        <c:ser>
          <c:idx val="7"/>
          <c:order val="82"/>
          <c:tx>
            <c:strRef>
              <c:f>Summary!$A$12</c:f>
              <c:strCache>
                <c:ptCount val="1"/>
                <c:pt idx="0">
                  <c:v>Pencetakan dan Reproduksi Media Rekaman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Summary!$B$12</c:f>
              <c:numCache>
                <c:formatCode>0.00</c:formatCode>
                <c:ptCount val="1"/>
                <c:pt idx="0">
                  <c:v>8.0606693583710864</c:v>
                </c:pt>
              </c:numCache>
            </c:numRef>
          </c:xVal>
          <c:yVal>
            <c:numRef>
              <c:f>Summary!$C$12</c:f>
              <c:numCache>
                <c:formatCode>0.00</c:formatCode>
                <c:ptCount val="1"/>
                <c:pt idx="0">
                  <c:v>22.251555555555555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C6-0D46-FA41-8FA9-BF5B06A07F02}"/>
            </c:ext>
          </c:extLst>
        </c:ser>
        <c:ser>
          <c:idx val="8"/>
          <c:order val="83"/>
          <c:tx>
            <c:strRef>
              <c:f>Summary!$A$13</c:f>
              <c:strCache>
                <c:ptCount val="1"/>
                <c:pt idx="0">
                  <c:v>Produk dari Batu Bara dan Pengilangan Minyak Bumi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Summary!$B$13</c:f>
              <c:numCache>
                <c:formatCode>0.00</c:formatCode>
                <c:ptCount val="1"/>
                <c:pt idx="0">
                  <c:v>11.986768661340957</c:v>
                </c:pt>
              </c:numCache>
            </c:numRef>
          </c:xVal>
          <c:yVal>
            <c:numRef>
              <c:f>Summary!$C$13</c:f>
              <c:numCache>
                <c:formatCode>0.00</c:formatCode>
                <c:ptCount val="1"/>
                <c:pt idx="0">
                  <c:v>38.045789473684209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C8-0D46-FA41-8FA9-BF5B06A07F02}"/>
            </c:ext>
          </c:extLst>
        </c:ser>
        <c:ser>
          <c:idx val="9"/>
          <c:order val="84"/>
          <c:tx>
            <c:strRef>
              <c:f>Summary!$A$14</c:f>
              <c:strCache>
                <c:ptCount val="1"/>
                <c:pt idx="0">
                  <c:v>Bahan Kimia dan Barang dari Bahan Kimia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Summary!$B$14</c:f>
              <c:numCache>
                <c:formatCode>0.00</c:formatCode>
                <c:ptCount val="1"/>
                <c:pt idx="0">
                  <c:v>36.000408264268167</c:v>
                </c:pt>
              </c:numCache>
            </c:numRef>
          </c:xVal>
          <c:yVal>
            <c:numRef>
              <c:f>Summary!$C$14</c:f>
              <c:numCache>
                <c:formatCode>0.00</c:formatCode>
                <c:ptCount val="1"/>
                <c:pt idx="0">
                  <c:v>32.896714640024506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CA-0D46-FA41-8FA9-BF5B06A07F02}"/>
            </c:ext>
          </c:extLst>
        </c:ser>
        <c:ser>
          <c:idx val="10"/>
          <c:order val="85"/>
          <c:tx>
            <c:strRef>
              <c:f>Summary!$A$15</c:f>
              <c:strCache>
                <c:ptCount val="1"/>
                <c:pt idx="0">
                  <c:v>Farmasi. Produk Obat Kimia dan Obat Tradisional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Summary!$B$15</c:f>
              <c:numCache>
                <c:formatCode>0.00</c:formatCode>
                <c:ptCount val="1"/>
                <c:pt idx="0">
                  <c:v>38.440680547909572</c:v>
                </c:pt>
              </c:numCache>
            </c:numRef>
          </c:xVal>
          <c:yVal>
            <c:numRef>
              <c:f>Summary!$C$15</c:f>
              <c:numCache>
                <c:formatCode>0.00</c:formatCode>
                <c:ptCount val="1"/>
                <c:pt idx="0">
                  <c:v>18.100142006329349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CC-0D46-FA41-8FA9-BF5B06A07F02}"/>
            </c:ext>
          </c:extLst>
        </c:ser>
        <c:ser>
          <c:idx val="11"/>
          <c:order val="86"/>
          <c:tx>
            <c:strRef>
              <c:f>Summary!$A$16</c:f>
              <c:strCache>
                <c:ptCount val="1"/>
                <c:pt idx="0">
                  <c:v>Karet. Barang dari Karet dan Plastik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Summary!$B$16</c:f>
              <c:numCache>
                <c:formatCode>0.00</c:formatCode>
                <c:ptCount val="1"/>
                <c:pt idx="0">
                  <c:v>16.74841257128919</c:v>
                </c:pt>
              </c:numCache>
            </c:numRef>
          </c:xVal>
          <c:yVal>
            <c:numRef>
              <c:f>Summary!$C$1</c:f>
              <c:numCache>
                <c:formatCode>General</c:formatCode>
                <c:ptCount val="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CE-0D46-FA41-8FA9-BF5B06A07F02}"/>
            </c:ext>
          </c:extLst>
        </c:ser>
        <c:ser>
          <c:idx val="12"/>
          <c:order val="87"/>
          <c:tx>
            <c:strRef>
              <c:f>Summary!$A$17</c:f>
              <c:strCache>
                <c:ptCount val="1"/>
                <c:pt idx="0">
                  <c:v>Barang Galian Bukan Logam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Summary!$B$17</c:f>
              <c:numCache>
                <c:formatCode>0.00</c:formatCode>
                <c:ptCount val="1"/>
                <c:pt idx="0">
                  <c:v>20.69620253243027</c:v>
                </c:pt>
              </c:numCache>
            </c:numRef>
          </c:xVal>
          <c:yVal>
            <c:numRef>
              <c:f>Summary!$C$17</c:f>
              <c:numCache>
                <c:formatCode>0.00</c:formatCode>
                <c:ptCount val="1"/>
                <c:pt idx="0">
                  <c:v>29.722374719770446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D0-0D46-FA41-8FA9-BF5B06A07F02}"/>
            </c:ext>
          </c:extLst>
        </c:ser>
        <c:ser>
          <c:idx val="13"/>
          <c:order val="88"/>
          <c:tx>
            <c:strRef>
              <c:f>Summary!$A$18</c:f>
              <c:strCache>
                <c:ptCount val="1"/>
                <c:pt idx="0">
                  <c:v>Logam Dasar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Summary!$B$18</c:f>
              <c:numCache>
                <c:formatCode>0.00</c:formatCode>
                <c:ptCount val="1"/>
                <c:pt idx="0">
                  <c:v>38.924375301981293</c:v>
                </c:pt>
              </c:numCache>
            </c:numRef>
          </c:xVal>
          <c:yVal>
            <c:numRef>
              <c:f>Summary!$C$18</c:f>
              <c:numCache>
                <c:formatCode>0.00</c:formatCode>
                <c:ptCount val="1"/>
                <c:pt idx="0">
                  <c:v>47.999677447153836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D2-0D46-FA41-8FA9-BF5B06A07F02}"/>
            </c:ext>
          </c:extLst>
        </c:ser>
        <c:ser>
          <c:idx val="14"/>
          <c:order val="89"/>
          <c:tx>
            <c:strRef>
              <c:f>Summary!$A$19</c:f>
              <c:strCache>
                <c:ptCount val="1"/>
                <c:pt idx="0">
                  <c:v>Barang Logam. Bukan Mesin dan Peralatannya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Summary!$B$19</c:f>
              <c:numCache>
                <c:formatCode>0.00</c:formatCode>
                <c:ptCount val="1"/>
                <c:pt idx="0">
                  <c:v>30.673520143676004</c:v>
                </c:pt>
              </c:numCache>
            </c:numRef>
          </c:xVal>
          <c:yVal>
            <c:numRef>
              <c:f>Summary!$C$19</c:f>
              <c:numCache>
                <c:formatCode>0.00</c:formatCode>
                <c:ptCount val="1"/>
                <c:pt idx="0">
                  <c:v>28.538670507454082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D4-0D46-FA41-8FA9-BF5B06A07F02}"/>
            </c:ext>
          </c:extLst>
        </c:ser>
        <c:ser>
          <c:idx val="15"/>
          <c:order val="90"/>
          <c:tx>
            <c:strRef>
              <c:f>Summary!$A$20</c:f>
              <c:strCache>
                <c:ptCount val="1"/>
                <c:pt idx="0">
                  <c:v>Komputer. Barang Elektronik dan Optik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Summary!$B$20</c:f>
              <c:numCache>
                <c:formatCode>0.00</c:formatCode>
                <c:ptCount val="1"/>
                <c:pt idx="0">
                  <c:v>65.3235450935275</c:v>
                </c:pt>
              </c:numCache>
            </c:numRef>
          </c:xVal>
          <c:yVal>
            <c:numRef>
              <c:f>Summary!$C$20</c:f>
              <c:numCache>
                <c:formatCode>0.00</c:formatCode>
                <c:ptCount val="1"/>
                <c:pt idx="0">
                  <c:v>50.435337494786999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D6-0D46-FA41-8FA9-BF5B06A07F02}"/>
            </c:ext>
          </c:extLst>
        </c:ser>
        <c:ser>
          <c:idx val="16"/>
          <c:order val="91"/>
          <c:tx>
            <c:strRef>
              <c:f>Summary!$A$21</c:f>
              <c:strCache>
                <c:ptCount val="1"/>
                <c:pt idx="0">
                  <c:v>Peralatan Listrik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Summary!$B$21</c:f>
              <c:numCache>
                <c:formatCode>0.00</c:formatCode>
                <c:ptCount val="1"/>
                <c:pt idx="0">
                  <c:v>41.873258296855504</c:v>
                </c:pt>
              </c:numCache>
            </c:numRef>
          </c:xVal>
          <c:yVal>
            <c:numRef>
              <c:f>Summary!$C$21</c:f>
              <c:numCache>
                <c:formatCode>0.00</c:formatCode>
                <c:ptCount val="1"/>
                <c:pt idx="0">
                  <c:v>29.191352937868889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D8-0D46-FA41-8FA9-BF5B06A07F02}"/>
            </c:ext>
          </c:extLst>
        </c:ser>
        <c:ser>
          <c:idx val="17"/>
          <c:order val="92"/>
          <c:tx>
            <c:strRef>
              <c:f>Summary!$A$22</c:f>
              <c:strCache>
                <c:ptCount val="1"/>
                <c:pt idx="0">
                  <c:v>Mesin dan Perlengkapan ytdl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Summary!$B$22</c:f>
              <c:numCache>
                <c:formatCode>0.00</c:formatCode>
                <c:ptCount val="1"/>
                <c:pt idx="0">
                  <c:v>35.180478122187253</c:v>
                </c:pt>
              </c:numCache>
            </c:numRef>
          </c:xVal>
          <c:yVal>
            <c:numRef>
              <c:f>Summary!$C$22</c:f>
              <c:numCache>
                <c:formatCode>0.00</c:formatCode>
                <c:ptCount val="1"/>
                <c:pt idx="0">
                  <c:v>28.846572535723929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DA-0D46-FA41-8FA9-BF5B06A07F02}"/>
            </c:ext>
          </c:extLst>
        </c:ser>
        <c:ser>
          <c:idx val="18"/>
          <c:order val="93"/>
          <c:tx>
            <c:strRef>
              <c:f>Summary!$A$23</c:f>
              <c:strCache>
                <c:ptCount val="1"/>
                <c:pt idx="0">
                  <c:v>Kendaraan Bermotor. Trailer dan Semi Trailer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Summary!$B$23</c:f>
              <c:numCache>
                <c:formatCode>0.00</c:formatCode>
                <c:ptCount val="1"/>
                <c:pt idx="0">
                  <c:v>33.579929275223925</c:v>
                </c:pt>
              </c:numCache>
            </c:numRef>
          </c:xVal>
          <c:yVal>
            <c:numRef>
              <c:f>Summary!$C$23</c:f>
              <c:numCache>
                <c:formatCode>0.00</c:formatCode>
                <c:ptCount val="1"/>
                <c:pt idx="0">
                  <c:v>31.3156424206319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DC-0D46-FA41-8FA9-BF5B06A07F02}"/>
            </c:ext>
          </c:extLst>
        </c:ser>
        <c:ser>
          <c:idx val="19"/>
          <c:order val="94"/>
          <c:tx>
            <c:strRef>
              <c:f>Summary!$A$24</c:f>
              <c:strCache>
                <c:ptCount val="1"/>
                <c:pt idx="0">
                  <c:v>Alat Angkutan Lainnya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Summary!$B$24</c:f>
              <c:numCache>
                <c:formatCode>0.00</c:formatCode>
                <c:ptCount val="1"/>
                <c:pt idx="0">
                  <c:v>29.737096074804636</c:v>
                </c:pt>
              </c:numCache>
            </c:numRef>
          </c:xVal>
          <c:yVal>
            <c:numRef>
              <c:f>Summary!$C$24</c:f>
              <c:numCache>
                <c:formatCode>0.00</c:formatCode>
                <c:ptCount val="1"/>
                <c:pt idx="0">
                  <c:v>32.113344337097963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DE-0D46-FA41-8FA9-BF5B06A07F02}"/>
            </c:ext>
          </c:extLst>
        </c:ser>
        <c:ser>
          <c:idx val="20"/>
          <c:order val="95"/>
          <c:tx>
            <c:strRef>
              <c:f>Summary!$A$25</c:f>
              <c:strCache>
                <c:ptCount val="1"/>
                <c:pt idx="0">
                  <c:v>Furnitur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Summary!$B$25</c:f>
              <c:numCache>
                <c:formatCode>0.00</c:formatCode>
                <c:ptCount val="1"/>
                <c:pt idx="0">
                  <c:v>7.3534437291700341</c:v>
                </c:pt>
              </c:numCache>
            </c:numRef>
          </c:xVal>
          <c:yVal>
            <c:numRef>
              <c:f>Summary!$C$2</c:f>
              <c:numCache>
                <c:formatCode>General</c:formatCode>
                <c:ptCount val="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E0-0D46-FA41-8FA9-BF5B06A07F02}"/>
            </c:ext>
          </c:extLst>
        </c:ser>
        <c:ser>
          <c:idx val="21"/>
          <c:order val="96"/>
          <c:tx>
            <c:strRef>
              <c:f>Summary!$A$26</c:f>
              <c:strCache>
                <c:ptCount val="1"/>
                <c:pt idx="0">
                  <c:v>Pengolahan Lainnya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Summary!$B$26</c:f>
              <c:numCache>
                <c:formatCode>0.00</c:formatCode>
                <c:ptCount val="1"/>
                <c:pt idx="0">
                  <c:v>54.077972556204358</c:v>
                </c:pt>
              </c:numCache>
            </c:numRef>
          </c:xVal>
          <c:yVal>
            <c:numRef>
              <c:f>Summary!$C$26</c:f>
              <c:numCache>
                <c:formatCode>0.00</c:formatCode>
                <c:ptCount val="1"/>
                <c:pt idx="0">
                  <c:v>70.96773844309601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E2-0D46-FA41-8FA9-BF5B06A07F02}"/>
            </c:ext>
          </c:extLst>
        </c:ser>
        <c:ser>
          <c:idx val="22"/>
          <c:order val="97"/>
          <c:tx>
            <c:strRef>
              <c:f>Summary!$A$27</c:f>
              <c:strCache>
                <c:ptCount val="1"/>
                <c:pt idx="0">
                  <c:v>Jasa Reparasi dan Pemasangan Mesin dan Peralatan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Summary!$B$27</c:f>
              <c:numCache>
                <c:formatCode>0.00</c:formatCode>
                <c:ptCount val="1"/>
                <c:pt idx="0">
                  <c:v>36.784252304980654</c:v>
                </c:pt>
              </c:numCache>
            </c:numRef>
          </c:xVal>
          <c:yVal>
            <c:numRef>
              <c:f>Summary!$C$27</c:f>
              <c:numCache>
                <c:formatCode>0.00</c:formatCode>
                <c:ptCount val="1"/>
                <c:pt idx="0">
                  <c:v>3.3333333333333335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E4-0D46-FA41-8FA9-BF5B06A07F02}"/>
            </c:ext>
          </c:extLst>
        </c:ser>
        <c:ser>
          <c:idx val="23"/>
          <c:order val="98"/>
          <c:tx>
            <c:v>Impor</c:v>
          </c:tx>
          <c:spPr>
            <a:ln>
              <a:solidFill>
                <a:srgbClr val="E59A3C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Pt>
            <c:idx val="0"/>
            <c:marker>
              <c:spPr>
                <a:noFill/>
                <a:ln>
                  <a:noFill/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6-0D46-FA41-8FA9-BF5B06A07F02}"/>
              </c:ext>
            </c:extLst>
          </c:dPt>
          <c:dPt>
            <c:idx val="1"/>
            <c:marker>
              <c:spPr>
                <a:noFill/>
                <a:ln>
                  <a:noFill/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7-0D46-FA41-8FA9-BF5B06A07F02}"/>
              </c:ext>
            </c:extLst>
          </c:dPt>
          <c:trendline>
            <c:trendlineType val="linear"/>
            <c:dispRSqr val="0"/>
            <c:dispEq val="0"/>
          </c:trendline>
          <c:xVal>
            <c:numRef>
              <c:f>Summary!$F$7:$F$8</c:f>
              <c:numCache>
                <c:formatCode>0.00</c:formatCode>
                <c:ptCount val="2"/>
                <c:pt idx="0">
                  <c:v>27.317000559774954</c:v>
                </c:pt>
                <c:pt idx="1">
                  <c:v>27.317000559774954</c:v>
                </c:pt>
              </c:numCache>
            </c:numRef>
          </c:xVal>
          <c:yVal>
            <c:numRef>
              <c:f>Summary!$G$7:$G$8</c:f>
              <c:numCache>
                <c:formatCode>0.00</c:formatCode>
                <c:ptCount val="2"/>
                <c:pt idx="0">
                  <c:v>0</c:v>
                </c:pt>
                <c:pt idx="1">
                  <c:v>85.600600803403282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E9-0D46-FA41-8FA9-BF5B06A07F02}"/>
            </c:ext>
          </c:extLst>
        </c:ser>
        <c:ser>
          <c:idx val="24"/>
          <c:order val="99"/>
          <c:tx>
            <c:v>Ekspor</c:v>
          </c:tx>
          <c:spPr>
            <a:ln w="12700">
              <a:solidFill>
                <a:srgbClr val="E59A3C"/>
              </a:solidFill>
              <a:prstDash val="solid"/>
            </a:ln>
          </c:spPr>
          <c:marker>
            <c:symbol val="none"/>
          </c:marker>
          <c:xVal>
            <c:numRef>
              <c:f>Summary!$F$11:$F$12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71.855899602880257</c:v>
                </c:pt>
              </c:numCache>
            </c:numRef>
          </c:xVal>
          <c:yVal>
            <c:numRef>
              <c:f>Summary!$G$11:$G$12</c:f>
              <c:numCache>
                <c:formatCode>0.00</c:formatCode>
                <c:ptCount val="2"/>
                <c:pt idx="0">
                  <c:v>39.456601878176897</c:v>
                </c:pt>
                <c:pt idx="1">
                  <c:v>39.456601878176897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EB-0D46-FA41-8FA9-BF5B06A07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1000" b="1" i="0" u="none" strike="noStrike" kern="1200" baseline="0">
                    <a:solidFill>
                      <a:srgbClr val="000000"/>
                    </a:solidFill>
                  </a:rPr>
                  <a:t>Share Impor terhadap Total Biaya Input (%)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1000" b="1" i="0" u="none" strike="noStrike" kern="1200" baseline="0">
                    <a:solidFill>
                      <a:srgbClr val="000000"/>
                    </a:solidFill>
                  </a:rPr>
                  <a:t>Share Ekspor terhadap Total Penjualan (%)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sz="1400"/>
              <a:t>Share Impor </a:t>
            </a:r>
            <a:r>
              <a:rPr lang="en-GB" sz="1400" baseline="0"/>
              <a:t>vs Ekspor Perusahaan berdasarkan </a:t>
            </a:r>
            <a:r>
              <a:rPr lang="en-GB" sz="1400"/>
              <a:t>Provinsi, 2015 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0693308080808081"/>
          <c:y val="8.3333333333333329E-2"/>
          <c:w val="0.85536780303030302"/>
          <c:h val="0.82497357593814291"/>
        </c:manualLayout>
      </c:layout>
      <c:scatterChart>
        <c:scatterStyle val="lineMarker"/>
        <c:varyColors val="1"/>
        <c:ser>
          <c:idx val="36"/>
          <c:order val="0"/>
          <c:tx>
            <c:strRef>
              <c:f>Summary!$A$31</c:f>
              <c:strCache>
                <c:ptCount val="1"/>
                <c:pt idx="0">
                  <c:v>Aceh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Summary!$B$31</c:f>
              <c:numCache>
                <c:formatCode>0.00</c:formatCode>
                <c:ptCount val="1"/>
                <c:pt idx="0">
                  <c:v>1.929859925632146</c:v>
                </c:pt>
              </c:numCache>
            </c:numRef>
          </c:xVal>
          <c:yVal>
            <c:numRef>
              <c:f>Summary!$C$31</c:f>
              <c:numCache>
                <c:formatCode>0.00</c:formatCode>
                <c:ptCount val="1"/>
                <c:pt idx="0">
                  <c:v>52.56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A-174F-6D4B-90F4-E614F8BB5648}"/>
            </c:ext>
          </c:extLst>
        </c:ser>
        <c:ser>
          <c:idx val="37"/>
          <c:order val="1"/>
          <c:tx>
            <c:strRef>
              <c:f>Summary!$A$32</c:f>
              <c:strCache>
                <c:ptCount val="1"/>
                <c:pt idx="0">
                  <c:v>Sumatera Utara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Summary!$B$32</c:f>
              <c:numCache>
                <c:formatCode>0.00</c:formatCode>
                <c:ptCount val="1"/>
                <c:pt idx="0">
                  <c:v>6.7991339115504994</c:v>
                </c:pt>
              </c:numCache>
            </c:numRef>
          </c:xVal>
          <c:yVal>
            <c:numRef>
              <c:f>Summary!$C$32</c:f>
              <c:numCache>
                <c:formatCode>0.00</c:formatCode>
                <c:ptCount val="1"/>
                <c:pt idx="0">
                  <c:v>73.708539000253751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B-174F-6D4B-90F4-E614F8BB5648}"/>
            </c:ext>
          </c:extLst>
        </c:ser>
        <c:ser>
          <c:idx val="38"/>
          <c:order val="2"/>
          <c:tx>
            <c:strRef>
              <c:f>Summary!$A$33</c:f>
              <c:strCache>
                <c:ptCount val="1"/>
                <c:pt idx="0">
                  <c:v>Sumatera Barat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Summary!$B$33</c:f>
              <c:numCache>
                <c:formatCode>0.00</c:formatCode>
                <c:ptCount val="1"/>
                <c:pt idx="0">
                  <c:v>0.73298033006151431</c:v>
                </c:pt>
              </c:numCache>
            </c:numRef>
          </c:xVal>
          <c:yVal>
            <c:numRef>
              <c:f>Summary!$C$33</c:f>
              <c:numCache>
                <c:formatCode>0.00</c:formatCode>
                <c:ptCount val="1"/>
                <c:pt idx="0">
                  <c:v>62.238102947337218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C-174F-6D4B-90F4-E614F8BB5648}"/>
            </c:ext>
          </c:extLst>
        </c:ser>
        <c:ser>
          <c:idx val="39"/>
          <c:order val="3"/>
          <c:tx>
            <c:strRef>
              <c:f>Summary!$A$34</c:f>
              <c:strCache>
                <c:ptCount val="1"/>
                <c:pt idx="0">
                  <c:v>Riau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Summary!$B$34</c:f>
              <c:numCache>
                <c:formatCode>0.00</c:formatCode>
                <c:ptCount val="1"/>
                <c:pt idx="0">
                  <c:v>0.47011442011741605</c:v>
                </c:pt>
              </c:numCache>
            </c:numRef>
          </c:xVal>
          <c:yVal>
            <c:numRef>
              <c:f>Summary!$C$34</c:f>
              <c:numCache>
                <c:formatCode>0.00</c:formatCode>
                <c:ptCount val="1"/>
                <c:pt idx="0">
                  <c:v>63.854099692619748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D-174F-6D4B-90F4-E614F8BB5648}"/>
            </c:ext>
          </c:extLst>
        </c:ser>
        <c:ser>
          <c:idx val="40"/>
          <c:order val="4"/>
          <c:tx>
            <c:strRef>
              <c:f>Summary!$A$35</c:f>
              <c:strCache>
                <c:ptCount val="1"/>
                <c:pt idx="0">
                  <c:v>Jambi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Summary!$B$35</c:f>
              <c:numCache>
                <c:formatCode>0.00</c:formatCode>
                <c:ptCount val="1"/>
                <c:pt idx="0">
                  <c:v>0.46810596147328976</c:v>
                </c:pt>
              </c:numCache>
            </c:numRef>
          </c:xVal>
          <c:yVal>
            <c:numRef>
              <c:f>Summary!$C$35</c:f>
              <c:numCache>
                <c:formatCode>0.00</c:formatCode>
                <c:ptCount val="1"/>
                <c:pt idx="0">
                  <c:v>71.364534034398872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E-174F-6D4B-90F4-E614F8BB5648}"/>
            </c:ext>
          </c:extLst>
        </c:ser>
        <c:ser>
          <c:idx val="41"/>
          <c:order val="5"/>
          <c:tx>
            <c:strRef>
              <c:f>Summary!$A$36</c:f>
              <c:strCache>
                <c:ptCount val="1"/>
                <c:pt idx="0">
                  <c:v>Sumatera Selatan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Summary!$B$36</c:f>
              <c:numCache>
                <c:formatCode>0.00</c:formatCode>
                <c:ptCount val="1"/>
                <c:pt idx="0">
                  <c:v>0.98438137574698803</c:v>
                </c:pt>
              </c:numCache>
            </c:numRef>
          </c:xVal>
          <c:yVal>
            <c:numRef>
              <c:f>Summary!$C$36</c:f>
              <c:numCache>
                <c:formatCode>0.00</c:formatCode>
                <c:ptCount val="1"/>
                <c:pt idx="0">
                  <c:v>82.283255813953488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F-174F-6D4B-90F4-E614F8BB5648}"/>
            </c:ext>
          </c:extLst>
        </c:ser>
        <c:ser>
          <c:idx val="42"/>
          <c:order val="6"/>
          <c:tx>
            <c:strRef>
              <c:f>Summary!$A$37</c:f>
              <c:strCache>
                <c:ptCount val="1"/>
                <c:pt idx="0">
                  <c:v>Bengkulu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Summary!$B$37</c:f>
              <c:numCache>
                <c:formatCode>0.00</c:formatCode>
                <c:ptCount val="1"/>
                <c:pt idx="0">
                  <c:v>7.7126132794589066E-3</c:v>
                </c:pt>
              </c:numCache>
            </c:numRef>
          </c:xVal>
          <c:yVal>
            <c:numRef>
              <c:f>Summary!$C$37</c:f>
              <c:numCache>
                <c:formatCode>0.00</c:formatCode>
                <c:ptCount val="1"/>
                <c:pt idx="0">
                  <c:v>86.891999999999996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174F-6D4B-90F4-E614F8BB5648}"/>
            </c:ext>
          </c:extLst>
        </c:ser>
        <c:ser>
          <c:idx val="43"/>
          <c:order val="7"/>
          <c:tx>
            <c:strRef>
              <c:f>Summary!$A$38</c:f>
              <c:strCache>
                <c:ptCount val="1"/>
                <c:pt idx="0">
                  <c:v>Lampung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Summary!$B$38</c:f>
              <c:numCache>
                <c:formatCode>0.00</c:formatCode>
                <c:ptCount val="1"/>
                <c:pt idx="0">
                  <c:v>13.294370087488325</c:v>
                </c:pt>
              </c:numCache>
            </c:numRef>
          </c:xVal>
          <c:yVal>
            <c:numRef>
              <c:f>Summary!$C$38</c:f>
              <c:numCache>
                <c:formatCode>0.00</c:formatCode>
                <c:ptCount val="1"/>
                <c:pt idx="0">
                  <c:v>66.907638888888883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1-174F-6D4B-90F4-E614F8BB5648}"/>
            </c:ext>
          </c:extLst>
        </c:ser>
        <c:ser>
          <c:idx val="44"/>
          <c:order val="8"/>
          <c:tx>
            <c:strRef>
              <c:f>Summary!$A$39</c:f>
              <c:strCache>
                <c:ptCount val="1"/>
                <c:pt idx="0">
                  <c:v>Bangka Belitung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Summary!$B$39</c:f>
              <c:numCache>
                <c:formatCode>0.00</c:formatCode>
                <c:ptCount val="1"/>
                <c:pt idx="0">
                  <c:v>0.39376654288572144</c:v>
                </c:pt>
              </c:numCache>
            </c:numRef>
          </c:xVal>
          <c:yVal>
            <c:numRef>
              <c:f>Summary!$C$39</c:f>
              <c:numCache>
                <c:formatCode>0.00</c:formatCode>
                <c:ptCount val="1"/>
                <c:pt idx="0">
                  <c:v>88.029707214493683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2-174F-6D4B-90F4-E614F8BB5648}"/>
            </c:ext>
          </c:extLst>
        </c:ser>
        <c:ser>
          <c:idx val="45"/>
          <c:order val="9"/>
          <c:tx>
            <c:strRef>
              <c:f>Summary!$A$40</c:f>
              <c:strCache>
                <c:ptCount val="1"/>
                <c:pt idx="0">
                  <c:v>Kepulauan Riau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Summary!$B$40</c:f>
              <c:numCache>
                <c:formatCode>0.00</c:formatCode>
                <c:ptCount val="1"/>
                <c:pt idx="0">
                  <c:v>38.265498903606506</c:v>
                </c:pt>
              </c:numCache>
            </c:numRef>
          </c:xVal>
          <c:yVal>
            <c:numRef>
              <c:f>Summary!$C$40</c:f>
              <c:numCache>
                <c:formatCode>0.00</c:formatCode>
                <c:ptCount val="1"/>
                <c:pt idx="0">
                  <c:v>77.710719236364028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3-174F-6D4B-90F4-E614F8BB5648}"/>
            </c:ext>
          </c:extLst>
        </c:ser>
        <c:ser>
          <c:idx val="46"/>
          <c:order val="10"/>
          <c:tx>
            <c:strRef>
              <c:f>Summary!$A$41</c:f>
              <c:strCache>
                <c:ptCount val="1"/>
                <c:pt idx="0">
                  <c:v>Dki Jakarta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Summary!$B$41</c:f>
              <c:numCache>
                <c:formatCode>0.00</c:formatCode>
                <c:ptCount val="1"/>
                <c:pt idx="0">
                  <c:v>30.348546028602978</c:v>
                </c:pt>
              </c:numCache>
            </c:numRef>
          </c:xVal>
          <c:yVal>
            <c:numRef>
              <c:f>Summary!$C$41</c:f>
              <c:numCache>
                <c:formatCode>0.00</c:formatCode>
                <c:ptCount val="1"/>
                <c:pt idx="0">
                  <c:v>38.218826762575027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4-174F-6D4B-90F4-E614F8BB5648}"/>
            </c:ext>
          </c:extLst>
        </c:ser>
        <c:ser>
          <c:idx val="47"/>
          <c:order val="11"/>
          <c:tx>
            <c:strRef>
              <c:f>Summary!$A$42</c:f>
              <c:strCache>
                <c:ptCount val="1"/>
                <c:pt idx="0">
                  <c:v>Jawa Barat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Summary!$B$42</c:f>
              <c:numCache>
                <c:formatCode>0.00</c:formatCode>
                <c:ptCount val="1"/>
                <c:pt idx="0">
                  <c:v>38.159048027228323</c:v>
                </c:pt>
              </c:numCache>
            </c:numRef>
          </c:xVal>
          <c:yVal>
            <c:numRef>
              <c:f>Summary!$C$42</c:f>
              <c:numCache>
                <c:formatCode>0.00</c:formatCode>
                <c:ptCount val="1"/>
                <c:pt idx="0">
                  <c:v>36.321701528575787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5-174F-6D4B-90F4-E614F8BB5648}"/>
            </c:ext>
          </c:extLst>
        </c:ser>
        <c:ser>
          <c:idx val="48"/>
          <c:order val="12"/>
          <c:tx>
            <c:strRef>
              <c:f>Summary!$A$43</c:f>
              <c:strCache>
                <c:ptCount val="1"/>
                <c:pt idx="0">
                  <c:v>Jawa Tengah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Summary!$B$43</c:f>
              <c:numCache>
                <c:formatCode>0.00</c:formatCode>
                <c:ptCount val="1"/>
                <c:pt idx="0">
                  <c:v>20.383104570680779</c:v>
                </c:pt>
              </c:numCache>
            </c:numRef>
          </c:xVal>
          <c:yVal>
            <c:numRef>
              <c:f>Summary!$C$43</c:f>
              <c:numCache>
                <c:formatCode>0.00</c:formatCode>
                <c:ptCount val="1"/>
                <c:pt idx="0">
                  <c:v>74.558131852465024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6-174F-6D4B-90F4-E614F8BB5648}"/>
            </c:ext>
          </c:extLst>
        </c:ser>
        <c:ser>
          <c:idx val="49"/>
          <c:order val="13"/>
          <c:tx>
            <c:strRef>
              <c:f>Summary!$A$44</c:f>
              <c:strCache>
                <c:ptCount val="1"/>
                <c:pt idx="0">
                  <c:v>Di Yogyakarta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Summary!$B$44</c:f>
              <c:numCache>
                <c:formatCode>0.00</c:formatCode>
                <c:ptCount val="1"/>
                <c:pt idx="0">
                  <c:v>31.068102571012485</c:v>
                </c:pt>
              </c:numCache>
            </c:numRef>
          </c:xVal>
          <c:yVal>
            <c:numRef>
              <c:f>Summary!$C$44</c:f>
              <c:numCache>
                <c:formatCode>0.00</c:formatCode>
                <c:ptCount val="1"/>
                <c:pt idx="0">
                  <c:v>77.384182029778884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7-174F-6D4B-90F4-E614F8BB5648}"/>
            </c:ext>
          </c:extLst>
        </c:ser>
        <c:ser>
          <c:idx val="50"/>
          <c:order val="14"/>
          <c:tx>
            <c:strRef>
              <c:f>Summary!$A$45</c:f>
              <c:strCache>
                <c:ptCount val="1"/>
                <c:pt idx="0">
                  <c:v>Jawa Timur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Summary!$B$45</c:f>
              <c:numCache>
                <c:formatCode>0.00</c:formatCode>
                <c:ptCount val="1"/>
                <c:pt idx="0">
                  <c:v>21.309498325981874</c:v>
                </c:pt>
              </c:numCache>
            </c:numRef>
          </c:xVal>
          <c:yVal>
            <c:numRef>
              <c:f>Summary!$C$45</c:f>
              <c:numCache>
                <c:formatCode>0.00</c:formatCode>
                <c:ptCount val="1"/>
                <c:pt idx="0">
                  <c:v>43.31582197885821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8-174F-6D4B-90F4-E614F8BB5648}"/>
            </c:ext>
          </c:extLst>
        </c:ser>
        <c:ser>
          <c:idx val="51"/>
          <c:order val="15"/>
          <c:tx>
            <c:strRef>
              <c:f>Summary!$A$46</c:f>
              <c:strCache>
                <c:ptCount val="1"/>
                <c:pt idx="0">
                  <c:v>Banten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Summary!$B$46</c:f>
              <c:numCache>
                <c:formatCode>0.00</c:formatCode>
                <c:ptCount val="1"/>
                <c:pt idx="0">
                  <c:v>29.487721766550308</c:v>
                </c:pt>
              </c:numCache>
            </c:numRef>
          </c:xVal>
          <c:yVal>
            <c:numRef>
              <c:f>Summary!$C$46</c:f>
              <c:numCache>
                <c:formatCode>0.00</c:formatCode>
                <c:ptCount val="1"/>
                <c:pt idx="0">
                  <c:v>36.117925642920071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9-174F-6D4B-90F4-E614F8BB5648}"/>
            </c:ext>
          </c:extLst>
        </c:ser>
        <c:ser>
          <c:idx val="52"/>
          <c:order val="16"/>
          <c:tx>
            <c:strRef>
              <c:f>Summary!$A$47</c:f>
              <c:strCache>
                <c:ptCount val="1"/>
                <c:pt idx="0">
                  <c:v>Bali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Summary!$B$47</c:f>
              <c:numCache>
                <c:formatCode>0.00</c:formatCode>
                <c:ptCount val="1"/>
                <c:pt idx="0">
                  <c:v>16.101761344195907</c:v>
                </c:pt>
              </c:numCache>
            </c:numRef>
          </c:xVal>
          <c:yVal>
            <c:numRef>
              <c:f>Summary!$C$47</c:f>
              <c:numCache>
                <c:formatCode>0.00</c:formatCode>
                <c:ptCount val="1"/>
                <c:pt idx="0">
                  <c:v>75.207097984399795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A-174F-6D4B-90F4-E614F8BB5648}"/>
            </c:ext>
          </c:extLst>
        </c:ser>
        <c:ser>
          <c:idx val="53"/>
          <c:order val="17"/>
          <c:tx>
            <c:strRef>
              <c:f>Summary!$A$48</c:f>
              <c:strCache>
                <c:ptCount val="1"/>
                <c:pt idx="0">
                  <c:v>Nusa Tenggara Barat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Summary!$B$48</c:f>
              <c:numCache>
                <c:formatCode>0.00</c:formatCode>
                <c:ptCount val="1"/>
                <c:pt idx="0">
                  <c:v>0.19869823007315399</c:v>
                </c:pt>
              </c:numCache>
            </c:numRef>
          </c:xVal>
          <c:yVal>
            <c:numRef>
              <c:f>Summary!$C$48</c:f>
              <c:numCache>
                <c:formatCode>0.00</c:formatCode>
                <c:ptCount val="1"/>
                <c:pt idx="0">
                  <c:v>68.24666666666667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B-174F-6D4B-90F4-E614F8BB5648}"/>
            </c:ext>
          </c:extLst>
        </c:ser>
        <c:ser>
          <c:idx val="54"/>
          <c:order val="18"/>
          <c:tx>
            <c:strRef>
              <c:f>Summary!$A$49</c:f>
              <c:strCache>
                <c:ptCount val="1"/>
                <c:pt idx="0">
                  <c:v>Nusa Tenggara Timur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Summary!$B$49</c:f>
              <c:numCache>
                <c:formatCode>0.00</c:formatCode>
                <c:ptCount val="1"/>
                <c:pt idx="0">
                  <c:v>0.28042439538072655</c:v>
                </c:pt>
              </c:numCache>
            </c:numRef>
          </c:xVal>
          <c:yVal>
            <c:numRef>
              <c:f>Summary!$C$49</c:f>
              <c:numCache>
                <c:formatCode>0.00</c:formatCode>
                <c:ptCount val="1"/>
                <c:pt idx="0">
                  <c:v>56.023333333333333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C-174F-6D4B-90F4-E614F8BB5648}"/>
            </c:ext>
          </c:extLst>
        </c:ser>
        <c:ser>
          <c:idx val="55"/>
          <c:order val="19"/>
          <c:tx>
            <c:strRef>
              <c:f>Summary!$A$50</c:f>
              <c:strCache>
                <c:ptCount val="1"/>
                <c:pt idx="0">
                  <c:v>Kalimantan Barat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Summary!$B$50</c:f>
              <c:numCache>
                <c:formatCode>0.00</c:formatCode>
                <c:ptCount val="1"/>
                <c:pt idx="0">
                  <c:v>1.342485736821704</c:v>
                </c:pt>
              </c:numCache>
            </c:numRef>
          </c:xVal>
          <c:yVal>
            <c:numRef>
              <c:f>Summary!$C$50</c:f>
              <c:numCache>
                <c:formatCode>0.00</c:formatCode>
                <c:ptCount val="1"/>
                <c:pt idx="0">
                  <c:v>72.314516129032256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D-174F-6D4B-90F4-E614F8BB5648}"/>
            </c:ext>
          </c:extLst>
        </c:ser>
        <c:ser>
          <c:idx val="56"/>
          <c:order val="20"/>
          <c:tx>
            <c:strRef>
              <c:f>Summary!$A$51</c:f>
              <c:strCache>
                <c:ptCount val="1"/>
                <c:pt idx="0">
                  <c:v>Kalimantan Tengah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Summary!$B$51</c:f>
              <c:numCache>
                <c:formatCode>0.00</c:formatCode>
                <c:ptCount val="1"/>
                <c:pt idx="0">
                  <c:v>4.6489773354598134E-2</c:v>
                </c:pt>
              </c:numCache>
            </c:numRef>
          </c:xVal>
          <c:yVal>
            <c:numRef>
              <c:f>Summary!$C$51</c:f>
              <c:numCache>
                <c:formatCode>0.00</c:formatCode>
                <c:ptCount val="1"/>
                <c:pt idx="0">
                  <c:v>77.509251313827363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E-174F-6D4B-90F4-E614F8BB5648}"/>
            </c:ext>
          </c:extLst>
        </c:ser>
        <c:ser>
          <c:idx val="57"/>
          <c:order val="21"/>
          <c:tx>
            <c:strRef>
              <c:f>Summary!$A$52</c:f>
              <c:strCache>
                <c:ptCount val="1"/>
                <c:pt idx="0">
                  <c:v>Kalimantan Selatan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Summary!$B$52</c:f>
              <c:numCache>
                <c:formatCode>0.00</c:formatCode>
                <c:ptCount val="1"/>
                <c:pt idx="0">
                  <c:v>3.1259433780205863</c:v>
                </c:pt>
              </c:numCache>
            </c:numRef>
          </c:xVal>
          <c:yVal>
            <c:numRef>
              <c:f>Summary!$C$52</c:f>
              <c:numCache>
                <c:formatCode>0.00</c:formatCode>
                <c:ptCount val="1"/>
                <c:pt idx="0">
                  <c:v>68.413124999999994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F-174F-6D4B-90F4-E614F8BB5648}"/>
            </c:ext>
          </c:extLst>
        </c:ser>
        <c:ser>
          <c:idx val="58"/>
          <c:order val="22"/>
          <c:tx>
            <c:strRef>
              <c:f>Summary!$A$53</c:f>
              <c:strCache>
                <c:ptCount val="1"/>
                <c:pt idx="0">
                  <c:v>Kalimantan Timur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Summary!$B$53</c:f>
              <c:numCache>
                <c:formatCode>0.00</c:formatCode>
                <c:ptCount val="1"/>
                <c:pt idx="0">
                  <c:v>1.343861383581932</c:v>
                </c:pt>
              </c:numCache>
            </c:numRef>
          </c:xVal>
          <c:yVal>
            <c:numRef>
              <c:f>Summary!$C$53</c:f>
              <c:numCache>
                <c:formatCode>0.00</c:formatCode>
                <c:ptCount val="1"/>
                <c:pt idx="0">
                  <c:v>50.526144770635135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0-174F-6D4B-90F4-E614F8BB5648}"/>
            </c:ext>
          </c:extLst>
        </c:ser>
        <c:ser>
          <c:idx val="59"/>
          <c:order val="23"/>
          <c:tx>
            <c:strRef>
              <c:f>Summary!$A$54</c:f>
              <c:strCache>
                <c:ptCount val="1"/>
                <c:pt idx="0">
                  <c:v>Kalimantan Utara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Summary!$B$54</c:f>
              <c:numCache>
                <c:formatCode>0.00</c:formatCode>
                <c:ptCount val="1"/>
                <c:pt idx="0">
                  <c:v>2.4233882812982643</c:v>
                </c:pt>
              </c:numCache>
            </c:numRef>
          </c:xVal>
          <c:yVal>
            <c:numRef>
              <c:f>Summary!$C$54</c:f>
              <c:numCache>
                <c:formatCode>0.00</c:formatCode>
                <c:ptCount val="1"/>
                <c:pt idx="0">
                  <c:v>88.94517294241794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1-174F-6D4B-90F4-E614F8BB5648}"/>
            </c:ext>
          </c:extLst>
        </c:ser>
        <c:ser>
          <c:idx val="60"/>
          <c:order val="24"/>
          <c:tx>
            <c:strRef>
              <c:f>Summary!$A$55</c:f>
              <c:strCache>
                <c:ptCount val="1"/>
                <c:pt idx="0">
                  <c:v>Sulawesi Utara</c:v>
                </c:pt>
              </c:strCache>
            </c:strRef>
          </c:tx>
          <c:spPr>
            <a:ln w="12700">
              <a:solidFill>
                <a:srgbClr val="E59A3C"/>
              </a:solidFill>
              <a:prstDash val="solid"/>
            </a:ln>
          </c:spPr>
          <c:xVal>
            <c:numRef>
              <c:f>Summary!$B$55</c:f>
              <c:numCache>
                <c:formatCode>0.00</c:formatCode>
                <c:ptCount val="1"/>
                <c:pt idx="0">
                  <c:v>1.6310036026666115</c:v>
                </c:pt>
              </c:numCache>
            </c:numRef>
          </c:xVal>
          <c:yVal>
            <c:numRef>
              <c:f>Summary!$C$55</c:f>
              <c:numCache>
                <c:formatCode>0.00</c:formatCode>
                <c:ptCount val="1"/>
                <c:pt idx="0">
                  <c:v>61.759705882352939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2-174F-6D4B-90F4-E614F8BB5648}"/>
            </c:ext>
          </c:extLst>
        </c:ser>
        <c:ser>
          <c:idx val="61"/>
          <c:order val="25"/>
          <c:tx>
            <c:strRef>
              <c:f>Summary!$A$56</c:f>
              <c:strCache>
                <c:ptCount val="1"/>
                <c:pt idx="0">
                  <c:v>Sulawesi Tengah</c:v>
                </c:pt>
              </c:strCache>
            </c:strRef>
          </c:tx>
          <c:spPr>
            <a:ln w="12700">
              <a:solidFill>
                <a:srgbClr val="E59A3C"/>
              </a:solidFill>
              <a:prstDash val="solid"/>
            </a:ln>
          </c:spPr>
          <c:xVal>
            <c:numRef>
              <c:f>Summary!$B$56</c:f>
              <c:numCache>
                <c:formatCode>0.00</c:formatCode>
                <c:ptCount val="1"/>
                <c:pt idx="0">
                  <c:v>6.3964781868707021E-2</c:v>
                </c:pt>
              </c:numCache>
            </c:numRef>
          </c:xVal>
          <c:yVal>
            <c:numRef>
              <c:f>Summary!$C$56</c:f>
              <c:numCache>
                <c:formatCode>0.00</c:formatCode>
                <c:ptCount val="1"/>
                <c:pt idx="0">
                  <c:v>73.008181818181825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3-174F-6D4B-90F4-E614F8BB5648}"/>
            </c:ext>
          </c:extLst>
        </c:ser>
        <c:ser>
          <c:idx val="62"/>
          <c:order val="26"/>
          <c:tx>
            <c:strRef>
              <c:f>Summary!$A$57</c:f>
              <c:strCache>
                <c:ptCount val="1"/>
                <c:pt idx="0">
                  <c:v>Sulawesi Selatan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Summary!$B$57</c:f>
              <c:numCache>
                <c:formatCode>0.00</c:formatCode>
                <c:ptCount val="1"/>
                <c:pt idx="0">
                  <c:v>15.628928388257011</c:v>
                </c:pt>
              </c:numCache>
            </c:numRef>
          </c:xVal>
          <c:yVal>
            <c:numRef>
              <c:f>Summary!$C$57</c:f>
              <c:numCache>
                <c:formatCode>0.00</c:formatCode>
                <c:ptCount val="1"/>
                <c:pt idx="0">
                  <c:v>67.40150537634409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4-174F-6D4B-90F4-E614F8BB5648}"/>
            </c:ext>
          </c:extLst>
        </c:ser>
        <c:ser>
          <c:idx val="63"/>
          <c:order val="27"/>
          <c:tx>
            <c:strRef>
              <c:f>Summary!$A$58</c:f>
              <c:strCache>
                <c:ptCount val="1"/>
                <c:pt idx="0">
                  <c:v>Sulawesi Tenggara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Summary!$B$58</c:f>
              <c:numCache>
                <c:formatCode>0.00</c:formatCode>
                <c:ptCount val="1"/>
                <c:pt idx="0">
                  <c:v>0.23156513296862685</c:v>
                </c:pt>
              </c:numCache>
            </c:numRef>
          </c:xVal>
          <c:yVal>
            <c:numRef>
              <c:f>Summary!$C$58</c:f>
              <c:numCache>
                <c:formatCode>0.00</c:formatCode>
                <c:ptCount val="1"/>
                <c:pt idx="0">
                  <c:v>96.578947368421055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5-174F-6D4B-90F4-E614F8BB5648}"/>
            </c:ext>
          </c:extLst>
        </c:ser>
        <c:ser>
          <c:idx val="64"/>
          <c:order val="28"/>
          <c:tx>
            <c:strRef>
              <c:f>Summary!$A$59</c:f>
              <c:strCache>
                <c:ptCount val="1"/>
                <c:pt idx="0">
                  <c:v>Gorontalo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Summary!$B$59</c:f>
              <c:numCache>
                <c:formatCode>0.00</c:formatCode>
                <c:ptCount val="1"/>
                <c:pt idx="0">
                  <c:v>1.9962619298038233</c:v>
                </c:pt>
              </c:numCache>
            </c:numRef>
          </c:xVal>
          <c:yVal>
            <c:numRef>
              <c:f>Summary!$C$59</c:f>
              <c:numCache>
                <c:formatCode>0.00</c:formatCode>
                <c:ptCount val="1"/>
                <c:pt idx="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6-174F-6D4B-90F4-E614F8BB5648}"/>
            </c:ext>
          </c:extLst>
        </c:ser>
        <c:ser>
          <c:idx val="65"/>
          <c:order val="29"/>
          <c:tx>
            <c:strRef>
              <c:f>Summary!$A$60</c:f>
              <c:strCache>
                <c:ptCount val="1"/>
                <c:pt idx="0">
                  <c:v>Sulawesi Barat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Summary!$B$60</c:f>
              <c:numCache>
                <c:formatCode>0.00</c:formatCode>
                <c:ptCount val="1"/>
                <c:pt idx="0">
                  <c:v>0.29562665500740692</c:v>
                </c:pt>
              </c:numCache>
            </c:numRef>
          </c:xVal>
          <c:yVal>
            <c:numRef>
              <c:f>Summary!$C$60</c:f>
              <c:numCache>
                <c:formatCode>0.00</c:formatCode>
                <c:ptCount val="1"/>
                <c:pt idx="0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7-174F-6D4B-90F4-E614F8BB5648}"/>
            </c:ext>
          </c:extLst>
        </c:ser>
        <c:ser>
          <c:idx val="66"/>
          <c:order val="30"/>
          <c:tx>
            <c:strRef>
              <c:f>Summary!$A$61</c:f>
              <c:strCache>
                <c:ptCount val="1"/>
                <c:pt idx="0">
                  <c:v>Maluku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Summary!$B$61</c:f>
              <c:numCache>
                <c:formatCode>0.00</c:formatCode>
                <c:ptCount val="1"/>
                <c:pt idx="0">
                  <c:v>7.864306856810957E-2</c:v>
                </c:pt>
              </c:numCache>
            </c:numRef>
          </c:xVal>
          <c:yVal>
            <c:numRef>
              <c:f>Summary!$C$61</c:f>
              <c:numCache>
                <c:formatCode>0.00</c:formatCode>
                <c:ptCount val="1"/>
                <c:pt idx="0">
                  <c:v>93.843571428571423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8-174F-6D4B-90F4-E614F8BB5648}"/>
            </c:ext>
          </c:extLst>
        </c:ser>
        <c:ser>
          <c:idx val="67"/>
          <c:order val="31"/>
          <c:tx>
            <c:strRef>
              <c:f>Summary!$A$62</c:f>
              <c:strCache>
                <c:ptCount val="1"/>
                <c:pt idx="0">
                  <c:v>Maluku Utara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Summary!$B$62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Summary!$C$62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9-174F-6D4B-90F4-E614F8BB5648}"/>
            </c:ext>
          </c:extLst>
        </c:ser>
        <c:ser>
          <c:idx val="68"/>
          <c:order val="32"/>
          <c:tx>
            <c:strRef>
              <c:f>Summary!$A$63</c:f>
              <c:strCache>
                <c:ptCount val="1"/>
                <c:pt idx="0">
                  <c:v>Papua Barat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Summary!$B$63</c:f>
              <c:numCache>
                <c:formatCode>0.00</c:formatCode>
                <c:ptCount val="1"/>
                <c:pt idx="0">
                  <c:v>3.7155316166160226</c:v>
                </c:pt>
              </c:numCache>
            </c:numRef>
          </c:xVal>
          <c:yVal>
            <c:numRef>
              <c:f>Summary!$C$63</c:f>
              <c:numCache>
                <c:formatCode>0.00</c:formatCode>
                <c:ptCount val="1"/>
                <c:pt idx="0">
                  <c:v>80.656000000000006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A-174F-6D4B-90F4-E614F8BB5648}"/>
            </c:ext>
          </c:extLst>
        </c:ser>
        <c:ser>
          <c:idx val="69"/>
          <c:order val="33"/>
          <c:tx>
            <c:strRef>
              <c:f>Summary!$A$64</c:f>
              <c:strCache>
                <c:ptCount val="1"/>
                <c:pt idx="0">
                  <c:v>Papua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Summary!$B$64</c:f>
              <c:numCache>
                <c:formatCode>0.00</c:formatCode>
                <c:ptCount val="1"/>
                <c:pt idx="0">
                  <c:v>9.9857625028971202E-3</c:v>
                </c:pt>
              </c:numCache>
            </c:numRef>
          </c:xVal>
          <c:yVal>
            <c:numRef>
              <c:f>Summary!$C$64</c:f>
              <c:numCache>
                <c:formatCode>0.00</c:formatCode>
                <c:ptCount val="1"/>
                <c:pt idx="0">
                  <c:v>67.930430626477431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B-174F-6D4B-90F4-E614F8BB5648}"/>
            </c:ext>
          </c:extLst>
        </c:ser>
        <c:ser>
          <c:idx val="70"/>
          <c:order val="34"/>
          <c:tx>
            <c:v>Impor</c:v>
          </c:tx>
          <c:spPr>
            <a:ln w="19050">
              <a:noFill/>
            </a:ln>
          </c:spPr>
          <c:xVal>
            <c:numRef>
              <c:f>Summary!$F$48:$F$49</c:f>
              <c:numCache>
                <c:formatCode>0.00</c:formatCode>
                <c:ptCount val="2"/>
                <c:pt idx="0">
                  <c:v>1.4874324931242717</c:v>
                </c:pt>
                <c:pt idx="1">
                  <c:v>1.4874324931242717</c:v>
                </c:pt>
              </c:numCache>
            </c:numRef>
          </c:xVal>
          <c:yVal>
            <c:numRef>
              <c:f>Summary!$G$48:$G$49</c:f>
              <c:numCache>
                <c:formatCode>0.00</c:formatCode>
                <c:ptCount val="2"/>
                <c:pt idx="0">
                  <c:v>0</c:v>
                </c:pt>
                <c:pt idx="1">
                  <c:v>110.00000000000001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C-174F-6D4B-90F4-E614F8BB5648}"/>
            </c:ext>
          </c:extLst>
        </c:ser>
        <c:ser>
          <c:idx val="71"/>
          <c:order val="35"/>
          <c:tx>
            <c:v>Ekspor</c:v>
          </c:tx>
          <c:spPr>
            <a:ln w="19050">
              <a:noFill/>
            </a:ln>
          </c:spPr>
          <c:xVal>
            <c:numRef>
              <c:f>Summary!$F$52:$F$53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42.092048793967159</c:v>
                </c:pt>
              </c:numCache>
            </c:numRef>
          </c:xVal>
          <c:yVal>
            <c:numRef>
              <c:f>Summary!$G$52:$G$53</c:f>
              <c:numCache>
                <c:formatCode>0.00</c:formatCode>
                <c:ptCount val="2"/>
                <c:pt idx="0">
                  <c:v>71.839525081715564</c:v>
                </c:pt>
                <c:pt idx="1">
                  <c:v>71.839525081715564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D-174F-6D4B-90F4-E614F8BB5648}"/>
            </c:ext>
          </c:extLst>
        </c:ser>
        <c:ser>
          <c:idx val="0"/>
          <c:order val="36"/>
          <c:tx>
            <c:strRef>
              <c:f>Summary!$A$31</c:f>
              <c:strCache>
                <c:ptCount val="1"/>
                <c:pt idx="0">
                  <c:v>Aceh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Summary!$B$31</c:f>
              <c:numCache>
                <c:formatCode>0.00</c:formatCode>
                <c:ptCount val="1"/>
                <c:pt idx="0">
                  <c:v>1.929859925632146</c:v>
                </c:pt>
              </c:numCache>
            </c:numRef>
          </c:xVal>
          <c:yVal>
            <c:numRef>
              <c:f>Summary!$C$31</c:f>
              <c:numCache>
                <c:formatCode>0.00</c:formatCode>
                <c:ptCount val="1"/>
                <c:pt idx="0">
                  <c:v>52.56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2-174F-6D4B-90F4-E614F8BB5648}"/>
            </c:ext>
          </c:extLst>
        </c:ser>
        <c:ser>
          <c:idx val="1"/>
          <c:order val="37"/>
          <c:tx>
            <c:strRef>
              <c:f>Summary!$A$32</c:f>
              <c:strCache>
                <c:ptCount val="1"/>
                <c:pt idx="0">
                  <c:v>Sumatera Utara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Summary!$B$32</c:f>
              <c:numCache>
                <c:formatCode>0.00</c:formatCode>
                <c:ptCount val="1"/>
                <c:pt idx="0">
                  <c:v>6.7991339115504994</c:v>
                </c:pt>
              </c:numCache>
            </c:numRef>
          </c:xVal>
          <c:yVal>
            <c:numRef>
              <c:f>Summary!$C$32</c:f>
              <c:numCache>
                <c:formatCode>0.00</c:formatCode>
                <c:ptCount val="1"/>
                <c:pt idx="0">
                  <c:v>73.708539000253751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4-174F-6D4B-90F4-E614F8BB5648}"/>
            </c:ext>
          </c:extLst>
        </c:ser>
        <c:ser>
          <c:idx val="2"/>
          <c:order val="38"/>
          <c:tx>
            <c:strRef>
              <c:f>Summary!$A$33</c:f>
              <c:strCache>
                <c:ptCount val="1"/>
                <c:pt idx="0">
                  <c:v>Sumatera Barat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Summary!$B$33</c:f>
              <c:numCache>
                <c:formatCode>0.00</c:formatCode>
                <c:ptCount val="1"/>
                <c:pt idx="0">
                  <c:v>0.73298033006151431</c:v>
                </c:pt>
              </c:numCache>
            </c:numRef>
          </c:xVal>
          <c:yVal>
            <c:numRef>
              <c:f>Summary!$C$33</c:f>
              <c:numCache>
                <c:formatCode>0.00</c:formatCode>
                <c:ptCount val="1"/>
                <c:pt idx="0">
                  <c:v>62.238102947337218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6-174F-6D4B-90F4-E614F8BB5648}"/>
            </c:ext>
          </c:extLst>
        </c:ser>
        <c:ser>
          <c:idx val="3"/>
          <c:order val="39"/>
          <c:tx>
            <c:strRef>
              <c:f>Summary!$A$34</c:f>
              <c:strCache>
                <c:ptCount val="1"/>
                <c:pt idx="0">
                  <c:v>Riau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Summary!$B$34</c:f>
              <c:numCache>
                <c:formatCode>0.00</c:formatCode>
                <c:ptCount val="1"/>
                <c:pt idx="0">
                  <c:v>0.47011442011741605</c:v>
                </c:pt>
              </c:numCache>
            </c:numRef>
          </c:xVal>
          <c:yVal>
            <c:numRef>
              <c:f>Summary!$C$34</c:f>
              <c:numCache>
                <c:formatCode>0.00</c:formatCode>
                <c:ptCount val="1"/>
                <c:pt idx="0">
                  <c:v>63.854099692619748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8-174F-6D4B-90F4-E614F8BB5648}"/>
            </c:ext>
          </c:extLst>
        </c:ser>
        <c:ser>
          <c:idx val="4"/>
          <c:order val="40"/>
          <c:tx>
            <c:strRef>
              <c:f>Summary!$A$35</c:f>
              <c:strCache>
                <c:ptCount val="1"/>
                <c:pt idx="0">
                  <c:v>Jambi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Summary!$B$35</c:f>
              <c:numCache>
                <c:formatCode>0.00</c:formatCode>
                <c:ptCount val="1"/>
                <c:pt idx="0">
                  <c:v>0.46810596147328976</c:v>
                </c:pt>
              </c:numCache>
            </c:numRef>
          </c:xVal>
          <c:yVal>
            <c:numRef>
              <c:f>Summary!$C$35</c:f>
              <c:numCache>
                <c:formatCode>0.00</c:formatCode>
                <c:ptCount val="1"/>
                <c:pt idx="0">
                  <c:v>71.364534034398872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A-174F-6D4B-90F4-E614F8BB5648}"/>
            </c:ext>
          </c:extLst>
        </c:ser>
        <c:ser>
          <c:idx val="5"/>
          <c:order val="41"/>
          <c:tx>
            <c:strRef>
              <c:f>Summary!$A$36</c:f>
              <c:strCache>
                <c:ptCount val="1"/>
                <c:pt idx="0">
                  <c:v>Sumatera Selatan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Summary!$B$36</c:f>
              <c:numCache>
                <c:formatCode>0.00</c:formatCode>
                <c:ptCount val="1"/>
                <c:pt idx="0">
                  <c:v>0.98438137574698803</c:v>
                </c:pt>
              </c:numCache>
            </c:numRef>
          </c:xVal>
          <c:yVal>
            <c:numRef>
              <c:f>Summary!$C$36</c:f>
              <c:numCache>
                <c:formatCode>0.00</c:formatCode>
                <c:ptCount val="1"/>
                <c:pt idx="0">
                  <c:v>82.283255813953488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C-174F-6D4B-90F4-E614F8BB5648}"/>
            </c:ext>
          </c:extLst>
        </c:ser>
        <c:ser>
          <c:idx val="6"/>
          <c:order val="42"/>
          <c:tx>
            <c:strRef>
              <c:f>Summary!$A$37</c:f>
              <c:strCache>
                <c:ptCount val="1"/>
                <c:pt idx="0">
                  <c:v>Bengkulu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Summary!$B$37</c:f>
              <c:numCache>
                <c:formatCode>0.00</c:formatCode>
                <c:ptCount val="1"/>
                <c:pt idx="0">
                  <c:v>7.7126132794589066E-3</c:v>
                </c:pt>
              </c:numCache>
            </c:numRef>
          </c:xVal>
          <c:yVal>
            <c:numRef>
              <c:f>Summary!$C$37</c:f>
              <c:numCache>
                <c:formatCode>0.00</c:formatCode>
                <c:ptCount val="1"/>
                <c:pt idx="0">
                  <c:v>86.891999999999996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E-174F-6D4B-90F4-E614F8BB5648}"/>
            </c:ext>
          </c:extLst>
        </c:ser>
        <c:ser>
          <c:idx val="7"/>
          <c:order val="43"/>
          <c:tx>
            <c:strRef>
              <c:f>Summary!$A$38</c:f>
              <c:strCache>
                <c:ptCount val="1"/>
                <c:pt idx="0">
                  <c:v>Lampung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4.8106060606061193E-3"/>
                  <c:y val="6.7567567567566739E-3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174F-6D4B-90F4-E614F8BB56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Summary!$B$38</c:f>
              <c:numCache>
                <c:formatCode>0.00</c:formatCode>
                <c:ptCount val="1"/>
                <c:pt idx="0">
                  <c:v>13.294370087488325</c:v>
                </c:pt>
              </c:numCache>
            </c:numRef>
          </c:xVal>
          <c:yVal>
            <c:numRef>
              <c:f>Summary!$C$38</c:f>
              <c:numCache>
                <c:formatCode>0.00</c:formatCode>
                <c:ptCount val="1"/>
                <c:pt idx="0">
                  <c:v>66.907638888888883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1-174F-6D4B-90F4-E614F8BB5648}"/>
            </c:ext>
          </c:extLst>
        </c:ser>
        <c:ser>
          <c:idx val="8"/>
          <c:order val="44"/>
          <c:tx>
            <c:strRef>
              <c:f>Summary!$A$39</c:f>
              <c:strCache>
                <c:ptCount val="1"/>
                <c:pt idx="0">
                  <c:v>Bangka Belitung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Summary!$B$39</c:f>
              <c:numCache>
                <c:formatCode>0.00</c:formatCode>
                <c:ptCount val="1"/>
                <c:pt idx="0">
                  <c:v>0.39376654288572144</c:v>
                </c:pt>
              </c:numCache>
            </c:numRef>
          </c:xVal>
          <c:yVal>
            <c:numRef>
              <c:f>Summary!$C$39</c:f>
              <c:numCache>
                <c:formatCode>0.00</c:formatCode>
                <c:ptCount val="1"/>
                <c:pt idx="0">
                  <c:v>88.029707214493683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3-174F-6D4B-90F4-E614F8BB5648}"/>
            </c:ext>
          </c:extLst>
        </c:ser>
        <c:ser>
          <c:idx val="9"/>
          <c:order val="45"/>
          <c:tx>
            <c:strRef>
              <c:f>Summary!$A$40</c:f>
              <c:strCache>
                <c:ptCount val="1"/>
                <c:pt idx="0">
                  <c:v>Kepulauan Riau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Summary!$B$40</c:f>
              <c:numCache>
                <c:formatCode>0.00</c:formatCode>
                <c:ptCount val="1"/>
                <c:pt idx="0">
                  <c:v>38.265498903606506</c:v>
                </c:pt>
              </c:numCache>
            </c:numRef>
          </c:xVal>
          <c:yVal>
            <c:numRef>
              <c:f>Summary!$C$40</c:f>
              <c:numCache>
                <c:formatCode>0.00</c:formatCode>
                <c:ptCount val="1"/>
                <c:pt idx="0">
                  <c:v>77.710719236364028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5-174F-6D4B-90F4-E614F8BB5648}"/>
            </c:ext>
          </c:extLst>
        </c:ser>
        <c:ser>
          <c:idx val="10"/>
          <c:order val="46"/>
          <c:tx>
            <c:strRef>
              <c:f>Summary!$A$41</c:f>
              <c:strCache>
                <c:ptCount val="1"/>
                <c:pt idx="0">
                  <c:v>Dki Jakarta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Summary!$B$41</c:f>
              <c:numCache>
                <c:formatCode>0.00</c:formatCode>
                <c:ptCount val="1"/>
                <c:pt idx="0">
                  <c:v>30.348546028602978</c:v>
                </c:pt>
              </c:numCache>
            </c:numRef>
          </c:xVal>
          <c:yVal>
            <c:numRef>
              <c:f>Summary!$C$41</c:f>
              <c:numCache>
                <c:formatCode>0.00</c:formatCode>
                <c:ptCount val="1"/>
                <c:pt idx="0">
                  <c:v>38.218826762575027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7-174F-6D4B-90F4-E614F8BB5648}"/>
            </c:ext>
          </c:extLst>
        </c:ser>
        <c:ser>
          <c:idx val="11"/>
          <c:order val="47"/>
          <c:tx>
            <c:strRef>
              <c:f>Summary!$A$42</c:f>
              <c:strCache>
                <c:ptCount val="1"/>
                <c:pt idx="0">
                  <c:v>Jawa Barat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Summary!$B$42</c:f>
              <c:numCache>
                <c:formatCode>0.00</c:formatCode>
                <c:ptCount val="1"/>
                <c:pt idx="0">
                  <c:v>38.159048027228323</c:v>
                </c:pt>
              </c:numCache>
            </c:numRef>
          </c:xVal>
          <c:yVal>
            <c:numRef>
              <c:f>Summary!$C$42</c:f>
              <c:numCache>
                <c:formatCode>0.00</c:formatCode>
                <c:ptCount val="1"/>
                <c:pt idx="0">
                  <c:v>36.321701528575787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9-174F-6D4B-90F4-E614F8BB5648}"/>
            </c:ext>
          </c:extLst>
        </c:ser>
        <c:ser>
          <c:idx val="12"/>
          <c:order val="48"/>
          <c:tx>
            <c:strRef>
              <c:f>Summary!$A$43</c:f>
              <c:strCache>
                <c:ptCount val="1"/>
                <c:pt idx="0">
                  <c:v>Jawa Tengah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Summary!$B$43</c:f>
              <c:numCache>
                <c:formatCode>0.00</c:formatCode>
                <c:ptCount val="1"/>
                <c:pt idx="0">
                  <c:v>20.383104570680779</c:v>
                </c:pt>
              </c:numCache>
            </c:numRef>
          </c:xVal>
          <c:yVal>
            <c:numRef>
              <c:f>Summary!$C$43</c:f>
              <c:numCache>
                <c:formatCode>0.00</c:formatCode>
                <c:ptCount val="1"/>
                <c:pt idx="0">
                  <c:v>74.558131852465024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B-174F-6D4B-90F4-E614F8BB5648}"/>
            </c:ext>
          </c:extLst>
        </c:ser>
        <c:ser>
          <c:idx val="13"/>
          <c:order val="49"/>
          <c:tx>
            <c:strRef>
              <c:f>Summary!$A$44</c:f>
              <c:strCache>
                <c:ptCount val="1"/>
                <c:pt idx="0">
                  <c:v>Di Yogyakarta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Summary!$B$44</c:f>
              <c:numCache>
                <c:formatCode>0.00</c:formatCode>
                <c:ptCount val="1"/>
                <c:pt idx="0">
                  <c:v>31.068102571012485</c:v>
                </c:pt>
              </c:numCache>
            </c:numRef>
          </c:xVal>
          <c:yVal>
            <c:numRef>
              <c:f>Summary!$C$44</c:f>
              <c:numCache>
                <c:formatCode>0.00</c:formatCode>
                <c:ptCount val="1"/>
                <c:pt idx="0">
                  <c:v>77.384182029778884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D-174F-6D4B-90F4-E614F8BB5648}"/>
            </c:ext>
          </c:extLst>
        </c:ser>
        <c:ser>
          <c:idx val="14"/>
          <c:order val="50"/>
          <c:tx>
            <c:strRef>
              <c:f>Summary!$A$45</c:f>
              <c:strCache>
                <c:ptCount val="1"/>
                <c:pt idx="0">
                  <c:v>Jawa Timur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Summary!$B$45</c:f>
              <c:numCache>
                <c:formatCode>0.00</c:formatCode>
                <c:ptCount val="1"/>
                <c:pt idx="0">
                  <c:v>21.309498325981874</c:v>
                </c:pt>
              </c:numCache>
            </c:numRef>
          </c:xVal>
          <c:yVal>
            <c:numRef>
              <c:f>Summary!$C$45</c:f>
              <c:numCache>
                <c:formatCode>0.00</c:formatCode>
                <c:ptCount val="1"/>
                <c:pt idx="0">
                  <c:v>43.31582197885821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F-174F-6D4B-90F4-E614F8BB5648}"/>
            </c:ext>
          </c:extLst>
        </c:ser>
        <c:ser>
          <c:idx val="15"/>
          <c:order val="51"/>
          <c:tx>
            <c:strRef>
              <c:f>Summary!$A$46</c:f>
              <c:strCache>
                <c:ptCount val="1"/>
                <c:pt idx="0">
                  <c:v>Banten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Summary!$B$46</c:f>
              <c:numCache>
                <c:formatCode>0.00</c:formatCode>
                <c:ptCount val="1"/>
                <c:pt idx="0">
                  <c:v>29.487721766550308</c:v>
                </c:pt>
              </c:numCache>
            </c:numRef>
          </c:xVal>
          <c:yVal>
            <c:numRef>
              <c:f>Summary!$C$46</c:f>
              <c:numCache>
                <c:formatCode>0.00</c:formatCode>
                <c:ptCount val="1"/>
                <c:pt idx="0">
                  <c:v>36.117925642920071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1-174F-6D4B-90F4-E614F8BB5648}"/>
            </c:ext>
          </c:extLst>
        </c:ser>
        <c:ser>
          <c:idx val="16"/>
          <c:order val="52"/>
          <c:tx>
            <c:strRef>
              <c:f>Summary!$A$47</c:f>
              <c:strCache>
                <c:ptCount val="1"/>
                <c:pt idx="0">
                  <c:v>Bali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Summary!$B$47</c:f>
              <c:numCache>
                <c:formatCode>0.00</c:formatCode>
                <c:ptCount val="1"/>
                <c:pt idx="0">
                  <c:v>16.101761344195907</c:v>
                </c:pt>
              </c:numCache>
            </c:numRef>
          </c:xVal>
          <c:yVal>
            <c:numRef>
              <c:f>Summary!$C$47</c:f>
              <c:numCache>
                <c:formatCode>0.00</c:formatCode>
                <c:ptCount val="1"/>
                <c:pt idx="0">
                  <c:v>75.207097984399795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3-174F-6D4B-90F4-E614F8BB5648}"/>
            </c:ext>
          </c:extLst>
        </c:ser>
        <c:ser>
          <c:idx val="17"/>
          <c:order val="53"/>
          <c:tx>
            <c:strRef>
              <c:f>Summary!$A$48</c:f>
              <c:strCache>
                <c:ptCount val="1"/>
                <c:pt idx="0">
                  <c:v>Nusa Tenggara Barat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Summary!$B$48</c:f>
              <c:numCache>
                <c:formatCode>0.00</c:formatCode>
                <c:ptCount val="1"/>
                <c:pt idx="0">
                  <c:v>0.19869823007315399</c:v>
                </c:pt>
              </c:numCache>
            </c:numRef>
          </c:xVal>
          <c:yVal>
            <c:numRef>
              <c:f>Summary!$C$48</c:f>
              <c:numCache>
                <c:formatCode>0.00</c:formatCode>
                <c:ptCount val="1"/>
                <c:pt idx="0">
                  <c:v>68.24666666666667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5-174F-6D4B-90F4-E614F8BB5648}"/>
            </c:ext>
          </c:extLst>
        </c:ser>
        <c:ser>
          <c:idx val="18"/>
          <c:order val="54"/>
          <c:tx>
            <c:strRef>
              <c:f>Summary!$A$49</c:f>
              <c:strCache>
                <c:ptCount val="1"/>
                <c:pt idx="0">
                  <c:v>Nusa Tenggara Timur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Summary!$B$49</c:f>
              <c:numCache>
                <c:formatCode>0.00</c:formatCode>
                <c:ptCount val="1"/>
                <c:pt idx="0">
                  <c:v>0.28042439538072655</c:v>
                </c:pt>
              </c:numCache>
            </c:numRef>
          </c:xVal>
          <c:yVal>
            <c:numRef>
              <c:f>Summary!$C$49</c:f>
              <c:numCache>
                <c:formatCode>0.00</c:formatCode>
                <c:ptCount val="1"/>
                <c:pt idx="0">
                  <c:v>56.023333333333333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7-174F-6D4B-90F4-E614F8BB5648}"/>
            </c:ext>
          </c:extLst>
        </c:ser>
        <c:ser>
          <c:idx val="19"/>
          <c:order val="55"/>
          <c:tx>
            <c:strRef>
              <c:f>Summary!$A$50</c:f>
              <c:strCache>
                <c:ptCount val="1"/>
                <c:pt idx="0">
                  <c:v>Kalimantan Barat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Summary!$B$50</c:f>
              <c:numCache>
                <c:formatCode>0.00</c:formatCode>
                <c:ptCount val="1"/>
                <c:pt idx="0">
                  <c:v>1.342485736821704</c:v>
                </c:pt>
              </c:numCache>
            </c:numRef>
          </c:xVal>
          <c:yVal>
            <c:numRef>
              <c:f>Summary!$C$50</c:f>
              <c:numCache>
                <c:formatCode>0.00</c:formatCode>
                <c:ptCount val="1"/>
                <c:pt idx="0">
                  <c:v>72.314516129032256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9-174F-6D4B-90F4-E614F8BB5648}"/>
            </c:ext>
          </c:extLst>
        </c:ser>
        <c:ser>
          <c:idx val="20"/>
          <c:order val="56"/>
          <c:tx>
            <c:strRef>
              <c:f>Summary!$A$51</c:f>
              <c:strCache>
                <c:ptCount val="1"/>
                <c:pt idx="0">
                  <c:v>Kalimantan Tengah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Summary!$B$51</c:f>
              <c:numCache>
                <c:formatCode>0.00</c:formatCode>
                <c:ptCount val="1"/>
                <c:pt idx="0">
                  <c:v>4.6489773354598134E-2</c:v>
                </c:pt>
              </c:numCache>
            </c:numRef>
          </c:xVal>
          <c:yVal>
            <c:numRef>
              <c:f>Summary!$C$51</c:f>
              <c:numCache>
                <c:formatCode>0.00</c:formatCode>
                <c:ptCount val="1"/>
                <c:pt idx="0">
                  <c:v>77.509251313827363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B-174F-6D4B-90F4-E614F8BB5648}"/>
            </c:ext>
          </c:extLst>
        </c:ser>
        <c:ser>
          <c:idx val="21"/>
          <c:order val="57"/>
          <c:tx>
            <c:strRef>
              <c:f>Summary!$A$52</c:f>
              <c:strCache>
                <c:ptCount val="1"/>
                <c:pt idx="0">
                  <c:v>Kalimantan Selatan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Summary!$B$52</c:f>
              <c:numCache>
                <c:formatCode>0.00</c:formatCode>
                <c:ptCount val="1"/>
                <c:pt idx="0">
                  <c:v>3.1259433780205863</c:v>
                </c:pt>
              </c:numCache>
            </c:numRef>
          </c:xVal>
          <c:yVal>
            <c:numRef>
              <c:f>Summary!$C$52</c:f>
              <c:numCache>
                <c:formatCode>0.00</c:formatCode>
                <c:ptCount val="1"/>
                <c:pt idx="0">
                  <c:v>68.413124999999994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D-174F-6D4B-90F4-E614F8BB5648}"/>
            </c:ext>
          </c:extLst>
        </c:ser>
        <c:ser>
          <c:idx val="22"/>
          <c:order val="58"/>
          <c:tx>
            <c:strRef>
              <c:f>Summary!$A$53</c:f>
              <c:strCache>
                <c:ptCount val="1"/>
                <c:pt idx="0">
                  <c:v>Kalimantan Timur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Summary!$B$53</c:f>
              <c:numCache>
                <c:formatCode>0.00</c:formatCode>
                <c:ptCount val="1"/>
                <c:pt idx="0">
                  <c:v>1.343861383581932</c:v>
                </c:pt>
              </c:numCache>
            </c:numRef>
          </c:xVal>
          <c:yVal>
            <c:numRef>
              <c:f>Summary!$C$53</c:f>
              <c:numCache>
                <c:formatCode>0.00</c:formatCode>
                <c:ptCount val="1"/>
                <c:pt idx="0">
                  <c:v>50.526144770635135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F-174F-6D4B-90F4-E614F8BB5648}"/>
            </c:ext>
          </c:extLst>
        </c:ser>
        <c:ser>
          <c:idx val="23"/>
          <c:order val="59"/>
          <c:tx>
            <c:strRef>
              <c:f>Summary!$A$54</c:f>
              <c:strCache>
                <c:ptCount val="1"/>
                <c:pt idx="0">
                  <c:v>Kalimantan Utara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Summary!$B$54</c:f>
              <c:numCache>
                <c:formatCode>0.00</c:formatCode>
                <c:ptCount val="1"/>
                <c:pt idx="0">
                  <c:v>2.4233882812982643</c:v>
                </c:pt>
              </c:numCache>
            </c:numRef>
          </c:xVal>
          <c:yVal>
            <c:numRef>
              <c:f>Summary!$C$54</c:f>
              <c:numCache>
                <c:formatCode>0.00</c:formatCode>
                <c:ptCount val="1"/>
                <c:pt idx="0">
                  <c:v>88.94517294241794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1-174F-6D4B-90F4-E614F8BB5648}"/>
            </c:ext>
          </c:extLst>
        </c:ser>
        <c:ser>
          <c:idx val="24"/>
          <c:order val="60"/>
          <c:tx>
            <c:strRef>
              <c:f>Summary!$A$55</c:f>
              <c:strCache>
                <c:ptCount val="1"/>
                <c:pt idx="0">
                  <c:v>Sulawesi Utara</c:v>
                </c:pt>
              </c:strCache>
            </c:strRef>
          </c:tx>
          <c:spPr>
            <a:ln w="12700">
              <a:solidFill>
                <a:srgbClr val="E59A3C"/>
              </a:solidFill>
              <a:prstDash val="solid"/>
            </a:ln>
          </c:spPr>
          <c:marker>
            <c:symbol val="none"/>
          </c:marker>
          <c:xVal>
            <c:numRef>
              <c:f>Summary!$B$55</c:f>
              <c:numCache>
                <c:formatCode>0.00</c:formatCode>
                <c:ptCount val="1"/>
                <c:pt idx="0">
                  <c:v>1.6310036026666115</c:v>
                </c:pt>
              </c:numCache>
            </c:numRef>
          </c:xVal>
          <c:yVal>
            <c:numRef>
              <c:f>Summary!$C$55</c:f>
              <c:numCache>
                <c:formatCode>0.00</c:formatCode>
                <c:ptCount val="1"/>
                <c:pt idx="0">
                  <c:v>61.759705882352939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3-174F-6D4B-90F4-E614F8BB5648}"/>
            </c:ext>
          </c:extLst>
        </c:ser>
        <c:ser>
          <c:idx val="25"/>
          <c:order val="61"/>
          <c:tx>
            <c:strRef>
              <c:f>Summary!$A$56</c:f>
              <c:strCache>
                <c:ptCount val="1"/>
                <c:pt idx="0">
                  <c:v>Sulawesi Tengah</c:v>
                </c:pt>
              </c:strCache>
            </c:strRef>
          </c:tx>
          <c:spPr>
            <a:ln w="12700">
              <a:solidFill>
                <a:srgbClr val="E59A3C"/>
              </a:solidFill>
              <a:prstDash val="solid"/>
            </a:ln>
          </c:spPr>
          <c:marker>
            <c:symbol val="none"/>
          </c:marker>
          <c:xVal>
            <c:numRef>
              <c:f>Summary!$B$56</c:f>
              <c:numCache>
                <c:formatCode>0.00</c:formatCode>
                <c:ptCount val="1"/>
                <c:pt idx="0">
                  <c:v>6.3964781868707021E-2</c:v>
                </c:pt>
              </c:numCache>
            </c:numRef>
          </c:xVal>
          <c:yVal>
            <c:numRef>
              <c:f>Summary!$C$56</c:f>
              <c:numCache>
                <c:formatCode>0.00</c:formatCode>
                <c:ptCount val="1"/>
                <c:pt idx="0">
                  <c:v>73.008181818181825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5-174F-6D4B-90F4-E614F8BB5648}"/>
            </c:ext>
          </c:extLst>
        </c:ser>
        <c:ser>
          <c:idx val="26"/>
          <c:order val="62"/>
          <c:tx>
            <c:strRef>
              <c:f>Summary!$A$57</c:f>
              <c:strCache>
                <c:ptCount val="1"/>
                <c:pt idx="0">
                  <c:v>Sulawesi Selatan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6B4233"/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65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Summary!$B$57</c:f>
              <c:numCache>
                <c:formatCode>0.00</c:formatCode>
                <c:ptCount val="1"/>
                <c:pt idx="0">
                  <c:v>15.628928388257011</c:v>
                </c:pt>
              </c:numCache>
            </c:numRef>
          </c:xVal>
          <c:yVal>
            <c:numRef>
              <c:f>Summary!$C$57</c:f>
              <c:numCache>
                <c:formatCode>0.00</c:formatCode>
                <c:ptCount val="1"/>
                <c:pt idx="0">
                  <c:v>67.40150537634409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7-174F-6D4B-90F4-E614F8BB5648}"/>
            </c:ext>
          </c:extLst>
        </c:ser>
        <c:ser>
          <c:idx val="27"/>
          <c:order val="63"/>
          <c:tx>
            <c:strRef>
              <c:f>Summary!$A$58</c:f>
              <c:strCache>
                <c:ptCount val="1"/>
                <c:pt idx="0">
                  <c:v>Sulawesi Tenggara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6B4233"/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65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Summary!$B$58</c:f>
              <c:numCache>
                <c:formatCode>0.00</c:formatCode>
                <c:ptCount val="1"/>
                <c:pt idx="0">
                  <c:v>0.23156513296862685</c:v>
                </c:pt>
              </c:numCache>
            </c:numRef>
          </c:xVal>
          <c:yVal>
            <c:numRef>
              <c:f>Summary!$C$58</c:f>
              <c:numCache>
                <c:formatCode>0.00</c:formatCode>
                <c:ptCount val="1"/>
                <c:pt idx="0">
                  <c:v>96.578947368421055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9-174F-6D4B-90F4-E614F8BB5648}"/>
            </c:ext>
          </c:extLst>
        </c:ser>
        <c:ser>
          <c:idx val="28"/>
          <c:order val="64"/>
          <c:tx>
            <c:strRef>
              <c:f>Summary!$A$59</c:f>
              <c:strCache>
                <c:ptCount val="1"/>
                <c:pt idx="0">
                  <c:v>Gorontalo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6B4233"/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65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Summary!$B$59</c:f>
              <c:numCache>
                <c:formatCode>0.00</c:formatCode>
                <c:ptCount val="1"/>
                <c:pt idx="0">
                  <c:v>1.9962619298038233</c:v>
                </c:pt>
              </c:numCache>
            </c:numRef>
          </c:xVal>
          <c:yVal>
            <c:numRef>
              <c:f>Summary!$C$59</c:f>
              <c:numCache>
                <c:formatCode>0.00</c:formatCode>
                <c:ptCount val="1"/>
                <c:pt idx="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B-174F-6D4B-90F4-E614F8BB5648}"/>
            </c:ext>
          </c:extLst>
        </c:ser>
        <c:ser>
          <c:idx val="29"/>
          <c:order val="65"/>
          <c:tx>
            <c:strRef>
              <c:f>Summary!$A$60</c:f>
              <c:strCache>
                <c:ptCount val="1"/>
                <c:pt idx="0">
                  <c:v>Sulawesi Barat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6B4233"/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65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Summary!$B$60</c:f>
              <c:numCache>
                <c:formatCode>0.00</c:formatCode>
                <c:ptCount val="1"/>
                <c:pt idx="0">
                  <c:v>0.29562665500740692</c:v>
                </c:pt>
              </c:numCache>
            </c:numRef>
          </c:xVal>
          <c:yVal>
            <c:numRef>
              <c:f>Summary!$C$60</c:f>
              <c:numCache>
                <c:formatCode>0.00</c:formatCode>
                <c:ptCount val="1"/>
                <c:pt idx="0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D-174F-6D4B-90F4-E614F8BB5648}"/>
            </c:ext>
          </c:extLst>
        </c:ser>
        <c:ser>
          <c:idx val="30"/>
          <c:order val="66"/>
          <c:tx>
            <c:strRef>
              <c:f>Summary!$A$61</c:f>
              <c:strCache>
                <c:ptCount val="1"/>
                <c:pt idx="0">
                  <c:v>Maluku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6B4233"/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65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Summary!$B$61</c:f>
              <c:numCache>
                <c:formatCode>0.00</c:formatCode>
                <c:ptCount val="1"/>
                <c:pt idx="0">
                  <c:v>7.864306856810957E-2</c:v>
                </c:pt>
              </c:numCache>
            </c:numRef>
          </c:xVal>
          <c:yVal>
            <c:numRef>
              <c:f>Summary!$C$61</c:f>
              <c:numCache>
                <c:formatCode>0.00</c:formatCode>
                <c:ptCount val="1"/>
                <c:pt idx="0">
                  <c:v>93.843571428571423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F-174F-6D4B-90F4-E614F8BB5648}"/>
            </c:ext>
          </c:extLst>
        </c:ser>
        <c:ser>
          <c:idx val="31"/>
          <c:order val="67"/>
          <c:tx>
            <c:strRef>
              <c:f>Summary!$A$62</c:f>
              <c:strCache>
                <c:ptCount val="1"/>
                <c:pt idx="0">
                  <c:v>Maluku Utara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6"/>
            <c:spPr>
              <a:noFill/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65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Summary!$B$62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Summary!$C$62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1-174F-6D4B-90F4-E614F8BB5648}"/>
            </c:ext>
          </c:extLst>
        </c:ser>
        <c:ser>
          <c:idx val="32"/>
          <c:order val="68"/>
          <c:tx>
            <c:strRef>
              <c:f>Summary!$A$63</c:f>
              <c:strCache>
                <c:ptCount val="1"/>
                <c:pt idx="0">
                  <c:v>Papua Barat</c:v>
                </c:pt>
              </c:strCache>
            </c:strRef>
          </c:tx>
          <c:spPr>
            <a:ln w="19050">
              <a:noFill/>
            </a:ln>
          </c:spPr>
          <c:marker>
            <c:spPr>
              <a:solidFill>
                <a:srgbClr val="6B4233"/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65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Summary!$B$63</c:f>
              <c:numCache>
                <c:formatCode>0.00</c:formatCode>
                <c:ptCount val="1"/>
                <c:pt idx="0">
                  <c:v>3.7155316166160226</c:v>
                </c:pt>
              </c:numCache>
            </c:numRef>
          </c:xVal>
          <c:yVal>
            <c:numRef>
              <c:f>Summary!$C$63</c:f>
              <c:numCache>
                <c:formatCode>0.00</c:formatCode>
                <c:ptCount val="1"/>
                <c:pt idx="0">
                  <c:v>80.656000000000006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3-174F-6D4B-90F4-E614F8BB5648}"/>
            </c:ext>
          </c:extLst>
        </c:ser>
        <c:ser>
          <c:idx val="33"/>
          <c:order val="69"/>
          <c:tx>
            <c:strRef>
              <c:f>Summary!$A$64</c:f>
              <c:strCache>
                <c:ptCount val="1"/>
                <c:pt idx="0">
                  <c:v>Papua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xVal>
            <c:numRef>
              <c:f>Summary!$B$64</c:f>
              <c:numCache>
                <c:formatCode>0.00</c:formatCode>
                <c:ptCount val="1"/>
                <c:pt idx="0">
                  <c:v>9.9857625028971202E-3</c:v>
                </c:pt>
              </c:numCache>
            </c:numRef>
          </c:xVal>
          <c:yVal>
            <c:numRef>
              <c:f>Summary!$C$64</c:f>
              <c:numCache>
                <c:formatCode>0.00</c:formatCode>
                <c:ptCount val="1"/>
                <c:pt idx="0">
                  <c:v>67.930430626477431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5-174F-6D4B-90F4-E614F8BB5648}"/>
            </c:ext>
          </c:extLst>
        </c:ser>
        <c:ser>
          <c:idx val="34"/>
          <c:order val="70"/>
          <c:spPr>
            <a:ln w="19050">
              <a:solidFill>
                <a:srgbClr val="E59A3C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Summary!$F$34:$F$35</c:f>
              <c:numCache>
                <c:formatCode>0.00</c:formatCode>
                <c:ptCount val="2"/>
                <c:pt idx="0">
                  <c:v>8.3122502594966114</c:v>
                </c:pt>
                <c:pt idx="1">
                  <c:v>8.3122502594966114</c:v>
                </c:pt>
              </c:numCache>
            </c:numRef>
          </c:xVal>
          <c:yVal>
            <c:numRef>
              <c:f>Summary!$G$34:$G$35</c:f>
              <c:numCache>
                <c:formatCode>0.00</c:formatCode>
                <c:ptCount val="2"/>
                <c:pt idx="0">
                  <c:v>0</c:v>
                </c:pt>
                <c:pt idx="1">
                  <c:v>110.00000000000001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7-174F-6D4B-90F4-E614F8BB5648}"/>
            </c:ext>
          </c:extLst>
        </c:ser>
        <c:ser>
          <c:idx val="35"/>
          <c:order val="71"/>
          <c:spPr>
            <a:ln w="19050">
              <a:solidFill>
                <a:srgbClr val="E59A3C"/>
              </a:solidFill>
            </a:ln>
          </c:spPr>
          <c:marker>
            <c:symbol val="circle"/>
            <c:size val="6"/>
            <c:spPr>
              <a:noFill/>
              <a:ln>
                <a:noFill/>
              </a:ln>
            </c:spPr>
          </c:marker>
          <c:xVal>
            <c:numRef>
              <c:f>Summary!$F$38:$F$39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42.092048793967159</c:v>
                </c:pt>
              </c:numCache>
            </c:numRef>
          </c:xVal>
          <c:yVal>
            <c:numRef>
              <c:f>Summary!$G$38:$G$39</c:f>
              <c:numCache>
                <c:formatCode>0.00</c:formatCode>
                <c:ptCount val="2"/>
                <c:pt idx="0">
                  <c:v>67.936142272474839</c:v>
                </c:pt>
                <c:pt idx="1">
                  <c:v>67.936142272474839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9-174F-6D4B-90F4-E614F8BB5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Share Impor terhadap Total Biaya</a:t>
                </a:r>
                <a:r>
                  <a:rPr lang="en-GB" baseline="0"/>
                  <a:t> Input (%</a:t>
                </a:r>
                <a:r>
                  <a:rPr lang="en-GB"/>
                  <a:t>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baseline="0"/>
                  <a:t>Share Ekspor terhadap</a:t>
                </a:r>
                <a:r>
                  <a:rPr lang="en-GB"/>
                  <a:t> Total Penjualan</a:t>
                </a:r>
                <a:r>
                  <a:rPr lang="en-GB" baseline="0"/>
                  <a:t> (%)</a:t>
                </a:r>
                <a:endParaRPr lang="en-GB"/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sz="1400"/>
              <a:t>Share Perusahaan</a:t>
            </a:r>
            <a:r>
              <a:rPr lang="en-GB" sz="1400" baseline="0"/>
              <a:t> yang Melakukan Impor vs Ekspor berdasarkan Sektor, </a:t>
            </a:r>
            <a:r>
              <a:rPr lang="en-GB" sz="1400"/>
              <a:t>2022 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4970707070707067E-2"/>
          <c:y val="9.8777777777777784E-2"/>
          <c:w val="0.87847474747474752"/>
          <c:h val="0.83430244444444446"/>
        </c:manualLayout>
      </c:layout>
      <c:scatterChart>
        <c:scatterStyle val="lineMarker"/>
        <c:varyColors val="1"/>
        <c:ser>
          <c:idx val="0"/>
          <c:order val="0"/>
          <c:tx>
            <c:v>Makanan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(2)'!$B$72</c:f>
              <c:numCache>
                <c:formatCode>General</c:formatCode>
                <c:ptCount val="1"/>
                <c:pt idx="0">
                  <c:v>2.8762540817260742</c:v>
                </c:pt>
              </c:numCache>
            </c:numRef>
          </c:xVal>
          <c:yVal>
            <c:numRef>
              <c:f>'[1]Summary Kuadran (2)'!$C$72</c:f>
              <c:numCache>
                <c:formatCode>General</c:formatCode>
                <c:ptCount val="1"/>
                <c:pt idx="0">
                  <c:v>7.3043479919433594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B6-5F41-BEFD-2D1CCFD58429}"/>
            </c:ext>
          </c:extLst>
        </c:ser>
        <c:ser>
          <c:idx val="1"/>
          <c:order val="1"/>
          <c:tx>
            <c:v>Minuman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(2)'!$B$73</c:f>
              <c:numCache>
                <c:formatCode>General</c:formatCode>
                <c:ptCount val="1"/>
                <c:pt idx="0">
                  <c:v>3.099730491638184</c:v>
                </c:pt>
              </c:numCache>
            </c:numRef>
          </c:xVal>
          <c:yVal>
            <c:numRef>
              <c:f>'[1]Summary Kuadran (2)'!$C$73</c:f>
              <c:numCache>
                <c:formatCode>General</c:formatCode>
                <c:ptCount val="1"/>
                <c:pt idx="0">
                  <c:v>3.3692722320556641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B6-5F41-BEFD-2D1CCFD58429}"/>
            </c:ext>
          </c:extLst>
        </c:ser>
        <c:ser>
          <c:idx val="2"/>
          <c:order val="2"/>
          <c:tx>
            <c:v>Pengolahan Tembakau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(2)'!$B$74</c:f>
              <c:numCache>
                <c:formatCode>General</c:formatCode>
                <c:ptCount val="1"/>
                <c:pt idx="0">
                  <c:v>3.4013607501983638</c:v>
                </c:pt>
              </c:numCache>
            </c:numRef>
          </c:xVal>
          <c:yVal>
            <c:numRef>
              <c:f>'[1]Summary Kuadran (2)'!$C$74</c:f>
              <c:numCache>
                <c:formatCode>General</c:formatCode>
                <c:ptCount val="1"/>
                <c:pt idx="0">
                  <c:v>6.6666669845581046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4B6-5F41-BEFD-2D1CCFD58429}"/>
            </c:ext>
          </c:extLst>
        </c:ser>
        <c:ser>
          <c:idx val="3"/>
          <c:order val="3"/>
          <c:tx>
            <c:v>Tekstil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(2)'!$B$75</c:f>
              <c:numCache>
                <c:formatCode>General</c:formatCode>
                <c:ptCount val="1"/>
                <c:pt idx="0">
                  <c:v>8.0907745361328125</c:v>
                </c:pt>
              </c:numCache>
            </c:numRef>
          </c:xVal>
          <c:yVal>
            <c:numRef>
              <c:f>'[1]Summary Kuadran (2)'!$C$75</c:f>
              <c:numCache>
                <c:formatCode>General</c:formatCode>
                <c:ptCount val="1"/>
                <c:pt idx="0">
                  <c:v>9.0281200408935547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4B6-5F41-BEFD-2D1CCFD58429}"/>
            </c:ext>
          </c:extLst>
        </c:ser>
        <c:ser>
          <c:idx val="4"/>
          <c:order val="4"/>
          <c:tx>
            <c:v>Pakaian Jadi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(2)'!$B$76</c:f>
              <c:numCache>
                <c:formatCode>General</c:formatCode>
                <c:ptCount val="1"/>
                <c:pt idx="0">
                  <c:v>8.5138540267944336</c:v>
                </c:pt>
              </c:numCache>
            </c:numRef>
          </c:xVal>
          <c:yVal>
            <c:numRef>
              <c:f>'[1]Summary Kuadran (2)'!$C$76</c:f>
              <c:numCache>
                <c:formatCode>General</c:formatCode>
                <c:ptCount val="1"/>
                <c:pt idx="0">
                  <c:v>14.105793952941889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4B6-5F41-BEFD-2D1CCFD58429}"/>
            </c:ext>
          </c:extLst>
        </c:ser>
        <c:ser>
          <c:idx val="5"/>
          <c:order val="5"/>
          <c:tx>
            <c:v>Kulit. Barang dari Kulit dan Alas Kaki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(2)'!$B$77</c:f>
              <c:numCache>
                <c:formatCode>General</c:formatCode>
                <c:ptCount val="1"/>
                <c:pt idx="0">
                  <c:v>11.973684310913089</c:v>
                </c:pt>
              </c:numCache>
            </c:numRef>
          </c:xVal>
          <c:yVal>
            <c:numRef>
              <c:f>'[1]Summary Kuadran (2)'!$C$77</c:f>
              <c:numCache>
                <c:formatCode>General</c:formatCode>
                <c:ptCount val="1"/>
                <c:pt idx="0">
                  <c:v>15.00000095367432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4B6-5F41-BEFD-2D1CCFD58429}"/>
            </c:ext>
          </c:extLst>
        </c:ser>
        <c:ser>
          <c:idx val="6"/>
          <c:order val="6"/>
          <c:tx>
            <c:v>Kayu. Barang dari Kayu dan Gabus (Tidak Termasuk Furnitur) dan Barang Anyaman dari Bambu. Rotan dan Sejenisnya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(2)'!$B$78</c:f>
              <c:numCache>
                <c:formatCode>General</c:formatCode>
                <c:ptCount val="1"/>
                <c:pt idx="0">
                  <c:v>3.7390611171722412</c:v>
                </c:pt>
              </c:numCache>
            </c:numRef>
          </c:xVal>
          <c:yVal>
            <c:numRef>
              <c:f>'[1]Summary Kuadran (2)'!$C$78</c:f>
              <c:numCache>
                <c:formatCode>General</c:formatCode>
                <c:ptCount val="1"/>
                <c:pt idx="0">
                  <c:v>35.640411376953118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4B6-5F41-BEFD-2D1CCFD58429}"/>
            </c:ext>
          </c:extLst>
        </c:ser>
        <c:ser>
          <c:idx val="7"/>
          <c:order val="7"/>
          <c:tx>
            <c:v>Kertas dan Barang dari Kertas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(2)'!$B$79</c:f>
              <c:numCache>
                <c:formatCode>General</c:formatCode>
                <c:ptCount val="1"/>
                <c:pt idx="0">
                  <c:v>9.7271652221679688</c:v>
                </c:pt>
              </c:numCache>
            </c:numRef>
          </c:xVal>
          <c:yVal>
            <c:numRef>
              <c:f>'[1]Summary Kuadran (2)'!$C$79</c:f>
              <c:numCache>
                <c:formatCode>General</c:formatCode>
                <c:ptCount val="1"/>
                <c:pt idx="0">
                  <c:v>7.4733095169067383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4B6-5F41-BEFD-2D1CCFD58429}"/>
            </c:ext>
          </c:extLst>
        </c:ser>
        <c:ser>
          <c:idx val="8"/>
          <c:order val="8"/>
          <c:tx>
            <c:v>Pencetakan dan Reproduksi Media Rekaman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(2)'!$B$80</c:f>
              <c:numCache>
                <c:formatCode>General</c:formatCode>
                <c:ptCount val="1"/>
                <c:pt idx="0">
                  <c:v>2.8538811206817631</c:v>
                </c:pt>
              </c:numCache>
            </c:numRef>
          </c:xVal>
          <c:yVal>
            <c:numRef>
              <c:f>'[1]Summary Kuadran (2)'!$C$80</c:f>
              <c:numCache>
                <c:formatCode>General</c:formatCode>
                <c:ptCount val="1"/>
                <c:pt idx="0">
                  <c:v>1.7123287916183469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4B6-5F41-BEFD-2D1CCFD58429}"/>
            </c:ext>
          </c:extLst>
        </c:ser>
        <c:ser>
          <c:idx val="9"/>
          <c:order val="9"/>
          <c:tx>
            <c:v>Produk dari Batu Bara dan Pengilangan Minyak Bumi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(2)'!$B$81</c:f>
              <c:numCache>
                <c:formatCode>General</c:formatCode>
                <c:ptCount val="1"/>
                <c:pt idx="0">
                  <c:v>4.9382715225219727</c:v>
                </c:pt>
              </c:numCache>
            </c:numRef>
          </c:xVal>
          <c:yVal>
            <c:numRef>
              <c:f>'[1]Summary Kuadran (2)'!$C$81</c:f>
              <c:numCache>
                <c:formatCode>General</c:formatCode>
                <c:ptCount val="1"/>
                <c:pt idx="0">
                  <c:v>4.3209877014160156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4B6-5F41-BEFD-2D1CCFD58429}"/>
            </c:ext>
          </c:extLst>
        </c:ser>
        <c:ser>
          <c:idx val="10"/>
          <c:order val="10"/>
          <c:tx>
            <c:v>Bahan Kimia dan Barang dari Bahan Kimia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(2)'!$B$82</c:f>
              <c:numCache>
                <c:formatCode>General</c:formatCode>
                <c:ptCount val="1"/>
                <c:pt idx="0">
                  <c:v>10.81354236602783</c:v>
                </c:pt>
              </c:numCache>
            </c:numRef>
          </c:xVal>
          <c:yVal>
            <c:numRef>
              <c:f>'[1]Summary Kuadran (2)'!$C$82</c:f>
              <c:numCache>
                <c:formatCode>General</c:formatCode>
                <c:ptCount val="1"/>
                <c:pt idx="0">
                  <c:v>12.63264274597168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4B6-5F41-BEFD-2D1CCFD58429}"/>
            </c:ext>
          </c:extLst>
        </c:ser>
        <c:ser>
          <c:idx val="11"/>
          <c:order val="11"/>
          <c:tx>
            <c:v>Farmasi. Produk Obat Kimia dan Obat Tradisional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(2)'!$B$83</c:f>
              <c:numCache>
                <c:formatCode>General</c:formatCode>
                <c:ptCount val="1"/>
                <c:pt idx="0">
                  <c:v>16.546762466430661</c:v>
                </c:pt>
              </c:numCache>
            </c:numRef>
          </c:xVal>
          <c:yVal>
            <c:numRef>
              <c:f>'[1]Summary Kuadran (2)'!$C$83</c:f>
              <c:numCache>
                <c:formatCode>General</c:formatCode>
                <c:ptCount val="1"/>
                <c:pt idx="0">
                  <c:v>7.1942448616027832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4B6-5F41-BEFD-2D1CCFD58429}"/>
            </c:ext>
          </c:extLst>
        </c:ser>
        <c:ser>
          <c:idx val="12"/>
          <c:order val="12"/>
          <c:tx>
            <c:v>Karet. Barang dari Karet dan Plastik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(2)'!$B$84</c:f>
              <c:numCache>
                <c:formatCode>General</c:formatCode>
                <c:ptCount val="1"/>
                <c:pt idx="0">
                  <c:v>9.9927330017089844</c:v>
                </c:pt>
              </c:numCache>
            </c:numRef>
          </c:xVal>
          <c:yVal>
            <c:numRef>
              <c:f>'[1]Summary Kuadran (2)'!$C$84</c:f>
              <c:numCache>
                <c:formatCode>General</c:formatCode>
                <c:ptCount val="1"/>
                <c:pt idx="0">
                  <c:v>9.9927330017089844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F4B6-5F41-BEFD-2D1CCFD58429}"/>
            </c:ext>
          </c:extLst>
        </c:ser>
        <c:ser>
          <c:idx val="13"/>
          <c:order val="13"/>
          <c:tx>
            <c:v>Barang Galian Bukan Logam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(2)'!$B$85</c:f>
              <c:numCache>
                <c:formatCode>General</c:formatCode>
                <c:ptCount val="1"/>
                <c:pt idx="0">
                  <c:v>4.0067720413208008</c:v>
                </c:pt>
              </c:numCache>
            </c:numRef>
          </c:xVal>
          <c:yVal>
            <c:numRef>
              <c:f>'[1]Summary Kuadran (2)'!$C$85</c:f>
              <c:numCache>
                <c:formatCode>General</c:formatCode>
                <c:ptCount val="1"/>
                <c:pt idx="0">
                  <c:v>4.57110595703125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F4B6-5F41-BEFD-2D1CCFD58429}"/>
            </c:ext>
          </c:extLst>
        </c:ser>
        <c:ser>
          <c:idx val="14"/>
          <c:order val="14"/>
          <c:tx>
            <c:v>Logam Dasar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(2)'!$B$86</c:f>
              <c:numCache>
                <c:formatCode>General</c:formatCode>
                <c:ptCount val="1"/>
                <c:pt idx="0">
                  <c:v>14.681892395019529</c:v>
                </c:pt>
              </c:numCache>
            </c:numRef>
          </c:xVal>
          <c:yVal>
            <c:numRef>
              <c:f>'[1]Summary Kuadran (2)'!$C$86</c:f>
              <c:numCache>
                <c:formatCode>General</c:formatCode>
                <c:ptCount val="1"/>
                <c:pt idx="0">
                  <c:v>14.845024108886721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F4B6-5F41-BEFD-2D1CCFD58429}"/>
            </c:ext>
          </c:extLst>
        </c:ser>
        <c:ser>
          <c:idx val="15"/>
          <c:order val="15"/>
          <c:tx>
            <c:v>Barang Logam. Bukan Mesin dan Peralatannya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(2)'!$B$87</c:f>
              <c:numCache>
                <c:formatCode>General</c:formatCode>
                <c:ptCount val="1"/>
                <c:pt idx="0">
                  <c:v>9.3230400085449219</c:v>
                </c:pt>
              </c:numCache>
            </c:numRef>
          </c:xVal>
          <c:yVal>
            <c:numRef>
              <c:f>'[1]Summary Kuadran (2)'!$C$87</c:f>
              <c:numCache>
                <c:formatCode>General</c:formatCode>
                <c:ptCount val="1"/>
                <c:pt idx="0">
                  <c:v>5.6413302421569824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F4B6-5F41-BEFD-2D1CCFD58429}"/>
            </c:ext>
          </c:extLst>
        </c:ser>
        <c:ser>
          <c:idx val="16"/>
          <c:order val="16"/>
          <c:tx>
            <c:v>Komputer. Barang Elektronik dan Optik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(2)'!$B$88</c:f>
              <c:numCache>
                <c:formatCode>General</c:formatCode>
                <c:ptCount val="1"/>
                <c:pt idx="0">
                  <c:v>18.181818008422852</c:v>
                </c:pt>
              </c:numCache>
            </c:numRef>
          </c:xVal>
          <c:yVal>
            <c:numRef>
              <c:f>'[1]Summary Kuadran (2)'!$C$88</c:f>
              <c:numCache>
                <c:formatCode>General</c:formatCode>
                <c:ptCount val="1"/>
                <c:pt idx="0">
                  <c:v>22.038566589355469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F4B6-5F41-BEFD-2D1CCFD58429}"/>
            </c:ext>
          </c:extLst>
        </c:ser>
        <c:ser>
          <c:idx val="17"/>
          <c:order val="17"/>
          <c:tx>
            <c:v>Peralatan Listrik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(2)'!$B$89</c:f>
              <c:numCache>
                <c:formatCode>General</c:formatCode>
                <c:ptCount val="1"/>
                <c:pt idx="0">
                  <c:v>15.242880821228029</c:v>
                </c:pt>
              </c:numCache>
            </c:numRef>
          </c:xVal>
          <c:yVal>
            <c:numRef>
              <c:f>'[1]Summary Kuadran (2)'!$C$89</c:f>
              <c:numCache>
                <c:formatCode>General</c:formatCode>
                <c:ptCount val="1"/>
                <c:pt idx="0">
                  <c:v>9.7152423858642578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F4B6-5F41-BEFD-2D1CCFD58429}"/>
            </c:ext>
          </c:extLst>
        </c:ser>
        <c:ser>
          <c:idx val="18"/>
          <c:order val="18"/>
          <c:tx>
            <c:v>Mesin dan Perlengkapan ytdl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(2)'!$B$90</c:f>
              <c:numCache>
                <c:formatCode>General</c:formatCode>
                <c:ptCount val="1"/>
                <c:pt idx="0">
                  <c:v>10.8875732421875</c:v>
                </c:pt>
              </c:numCache>
            </c:numRef>
          </c:xVal>
          <c:yVal>
            <c:numRef>
              <c:f>'[1]Summary Kuadran (2)'!$C$90</c:f>
              <c:numCache>
                <c:formatCode>General</c:formatCode>
                <c:ptCount val="1"/>
                <c:pt idx="0">
                  <c:v>8.1656808853149414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F4B6-5F41-BEFD-2D1CCFD58429}"/>
            </c:ext>
          </c:extLst>
        </c:ser>
        <c:ser>
          <c:idx val="19"/>
          <c:order val="19"/>
          <c:tx>
            <c:v>Kendaraan Bermotor. Trailer dan Semi Trailer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(2)'!$B$91</c:f>
              <c:numCache>
                <c:formatCode>General</c:formatCode>
                <c:ptCount val="1"/>
                <c:pt idx="0">
                  <c:v>7.4358978271484384</c:v>
                </c:pt>
              </c:numCache>
            </c:numRef>
          </c:xVal>
          <c:yVal>
            <c:numRef>
              <c:f>'[1]Summary Kuadran (2)'!$C$91</c:f>
              <c:numCache>
                <c:formatCode>General</c:formatCode>
                <c:ptCount val="1"/>
                <c:pt idx="0">
                  <c:v>7.5641026496887207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F4B6-5F41-BEFD-2D1CCFD58429}"/>
            </c:ext>
          </c:extLst>
        </c:ser>
        <c:ser>
          <c:idx val="20"/>
          <c:order val="20"/>
          <c:tx>
            <c:v>Alat Angkutan Lainnya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(2)'!$B$92</c:f>
              <c:numCache>
                <c:formatCode>General</c:formatCode>
                <c:ptCount val="1"/>
                <c:pt idx="0">
                  <c:v>10.12658214569092</c:v>
                </c:pt>
              </c:numCache>
            </c:numRef>
          </c:xVal>
          <c:yVal>
            <c:numRef>
              <c:f>'[1]Summary Kuadran (2)'!$C$92</c:f>
              <c:numCache>
                <c:formatCode>General</c:formatCode>
                <c:ptCount val="1"/>
                <c:pt idx="0">
                  <c:v>6.1181435585021973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F4B6-5F41-BEFD-2D1CCFD58429}"/>
            </c:ext>
          </c:extLst>
        </c:ser>
        <c:ser>
          <c:idx val="21"/>
          <c:order val="21"/>
          <c:tx>
            <c:v>Furnitur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(2)'!$B$93</c:f>
              <c:numCache>
                <c:formatCode>General</c:formatCode>
                <c:ptCount val="1"/>
                <c:pt idx="0">
                  <c:v>5.2142858505249023</c:v>
                </c:pt>
              </c:numCache>
            </c:numRef>
          </c:xVal>
          <c:yVal>
            <c:numRef>
              <c:f>'[1]Summary Kuadran (2)'!$C$93</c:f>
              <c:numCache>
                <c:formatCode>General</c:formatCode>
                <c:ptCount val="1"/>
                <c:pt idx="0">
                  <c:v>35.714286804199219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F4B6-5F41-BEFD-2D1CCFD58429}"/>
            </c:ext>
          </c:extLst>
        </c:ser>
        <c:ser>
          <c:idx val="22"/>
          <c:order val="22"/>
          <c:tx>
            <c:v>Pengolahan Lainnya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(2)'!$B$94</c:f>
              <c:numCache>
                <c:formatCode>General</c:formatCode>
                <c:ptCount val="1"/>
                <c:pt idx="0">
                  <c:v>17.14601898193359</c:v>
                </c:pt>
              </c:numCache>
            </c:numRef>
          </c:xVal>
          <c:yVal>
            <c:numRef>
              <c:f>'[1]Summary Kuadran (2)'!$C$94</c:f>
              <c:numCache>
                <c:formatCode>General</c:formatCode>
                <c:ptCount val="1"/>
                <c:pt idx="0">
                  <c:v>21.681415557861332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F4B6-5F41-BEFD-2D1CCFD58429}"/>
            </c:ext>
          </c:extLst>
        </c:ser>
        <c:ser>
          <c:idx val="23"/>
          <c:order val="23"/>
          <c:tx>
            <c:v>Jasa Reparasi dan Pemasangan Mesin dan Peralatan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(2)'!$B$95</c:f>
              <c:numCache>
                <c:formatCode>General</c:formatCode>
                <c:ptCount val="1"/>
                <c:pt idx="0">
                  <c:v>5.089820384979248</c:v>
                </c:pt>
              </c:numCache>
            </c:numRef>
          </c:xVal>
          <c:yVal>
            <c:numRef>
              <c:f>'[1]Summary Kuadran (2)'!$C$95</c:f>
              <c:numCache>
                <c:formatCode>General</c:formatCode>
                <c:ptCount val="1"/>
                <c:pt idx="0">
                  <c:v>1.796407222747803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F4B6-5F41-BEFD-2D1CCFD58429}"/>
            </c:ext>
          </c:extLst>
        </c:ser>
        <c:ser>
          <c:idx val="24"/>
          <c:order val="24"/>
          <c:tx>
            <c:v>Ambang Impor</c:v>
          </c:tx>
          <c:spPr>
            <a:ln w="12700">
              <a:solidFill>
                <a:srgbClr val="E59A3C"/>
              </a:solidFill>
              <a:prstDash val="solid"/>
            </a:ln>
          </c:spPr>
          <c:marker>
            <c:symbol val="none"/>
          </c:marker>
          <c:xVal>
            <c:numRef>
              <c:f>'[1]Summary Kuadran (2)'!$F$75:$F$76</c:f>
              <c:numCache>
                <c:formatCode>General</c:formatCode>
                <c:ptCount val="2"/>
                <c:pt idx="0">
                  <c:v>8.9126523633797969</c:v>
                </c:pt>
                <c:pt idx="1">
                  <c:v>8.9126523633797969</c:v>
                </c:pt>
              </c:numCache>
            </c:numRef>
          </c:xVal>
          <c:yVal>
            <c:numRef>
              <c:f>'[1]Summary Kuadran (2)'!$G$75:$G$76</c:f>
              <c:numCache>
                <c:formatCode>General</c:formatCode>
                <c:ptCount val="2"/>
                <c:pt idx="0">
                  <c:v>0</c:v>
                </c:pt>
                <c:pt idx="1">
                  <c:v>39.285715484619146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F4B6-5F41-BEFD-2D1CCFD58429}"/>
            </c:ext>
          </c:extLst>
        </c:ser>
        <c:ser>
          <c:idx val="25"/>
          <c:order val="25"/>
          <c:tx>
            <c:v>Ambang Ekspor</c:v>
          </c:tx>
          <c:spPr>
            <a:ln w="12700">
              <a:solidFill>
                <a:srgbClr val="E59A3C"/>
              </a:solidFill>
              <a:prstDash val="solid"/>
            </a:ln>
          </c:spPr>
          <c:marker>
            <c:symbol val="none"/>
          </c:marker>
          <c:xVal>
            <c:numRef>
              <c:f>'[1]Summary Kuadran (2)'!$F$79:$F$80</c:f>
              <c:numCache>
                <c:formatCode>General</c:formatCode>
                <c:ptCount val="2"/>
                <c:pt idx="0">
                  <c:v>0</c:v>
                </c:pt>
                <c:pt idx="1">
                  <c:v>19.999999809265137</c:v>
                </c:pt>
              </c:numCache>
            </c:numRef>
          </c:xVal>
          <c:yVal>
            <c:numRef>
              <c:f>'[1]Summary Kuadran (2)'!$G$79:$G$80</c:f>
              <c:numCache>
                <c:formatCode>General</c:formatCode>
                <c:ptCount val="2"/>
                <c:pt idx="0">
                  <c:v>11.345506921410561</c:v>
                </c:pt>
                <c:pt idx="1">
                  <c:v>11.345506921410561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F4B6-5F41-BEFD-2D1CCFD58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1000" b="1" i="0" u="none" strike="noStrike" kern="1200" baseline="0">
                    <a:solidFill>
                      <a:srgbClr val="000000"/>
                    </a:solidFill>
                  </a:rPr>
                  <a:t>Share Perusahaan yang  Impor Bahan Baku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4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1000" b="1" i="0" u="none" strike="noStrike" kern="1200" baseline="0">
                    <a:solidFill>
                      <a:srgbClr val="000000"/>
                    </a:solidFill>
                  </a:rPr>
                  <a:t>Share Perusahaan yang  Ekspor Produk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sz="1400" b="1" i="0" u="none" strike="noStrike" kern="1200" baseline="0">
                <a:solidFill>
                  <a:srgbClr val="000000"/>
                </a:solidFill>
              </a:rPr>
              <a:t>Share Perusahaan yang Melakukan Impor vs Ekspor berdasarkan Provinsi, 2022 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7.5728282828282825E-2"/>
          <c:y val="9.5955555555555558E-2"/>
          <c:w val="0.89771717171717158"/>
          <c:h val="0.81172466666666676"/>
        </c:manualLayout>
      </c:layout>
      <c:scatterChart>
        <c:scatterStyle val="lineMarker"/>
        <c:varyColors val="1"/>
        <c:ser>
          <c:idx val="0"/>
          <c:order val="0"/>
          <c:tx>
            <c:v>Aceh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(2)'!$B$101</c:f>
              <c:numCache>
                <c:formatCode>General</c:formatCode>
                <c:ptCount val="1"/>
                <c:pt idx="0">
                  <c:v>1.149425268173218</c:v>
                </c:pt>
              </c:numCache>
            </c:numRef>
          </c:xVal>
          <c:yVal>
            <c:numRef>
              <c:f>'[1]Summary Kuadran (2)'!$C$101</c:f>
              <c:numCache>
                <c:formatCode>General</c:formatCode>
                <c:ptCount val="1"/>
                <c:pt idx="0">
                  <c:v>4.5977010726928711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BC-9242-BEF3-92B084F4A440}"/>
            </c:ext>
          </c:extLst>
        </c:ser>
        <c:ser>
          <c:idx val="1"/>
          <c:order val="1"/>
          <c:tx>
            <c:v>Sumatera Utara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(2)'!$B$102</c:f>
              <c:numCache>
                <c:formatCode>General</c:formatCode>
                <c:ptCount val="1"/>
                <c:pt idx="0">
                  <c:v>8.7816457748413086</c:v>
                </c:pt>
              </c:numCache>
            </c:numRef>
          </c:xVal>
          <c:yVal>
            <c:numRef>
              <c:f>'[1]Summary Kuadran (2)'!$C$102</c:f>
              <c:numCache>
                <c:formatCode>General</c:formatCode>
                <c:ptCount val="1"/>
                <c:pt idx="0">
                  <c:v>11.708860397338871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BC-9242-BEF3-92B084F4A440}"/>
            </c:ext>
          </c:extLst>
        </c:ser>
        <c:ser>
          <c:idx val="2"/>
          <c:order val="2"/>
          <c:tx>
            <c:v>Sumatera Barat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(2)'!$B$103</c:f>
              <c:numCache>
                <c:formatCode>General</c:formatCode>
                <c:ptCount val="1"/>
                <c:pt idx="0">
                  <c:v>3.0612244606018071</c:v>
                </c:pt>
              </c:numCache>
            </c:numRef>
          </c:xVal>
          <c:yVal>
            <c:numRef>
              <c:f>'[1]Summary Kuadran (2)'!$C$103</c:f>
              <c:numCache>
                <c:formatCode>General</c:formatCode>
                <c:ptCount val="1"/>
                <c:pt idx="0">
                  <c:v>9.1836738586425781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1BC-9242-BEF3-92B084F4A440}"/>
            </c:ext>
          </c:extLst>
        </c:ser>
        <c:ser>
          <c:idx val="3"/>
          <c:order val="3"/>
          <c:tx>
            <c:v>Riau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(2)'!$B$104</c:f>
              <c:numCache>
                <c:formatCode>General</c:formatCode>
                <c:ptCount val="1"/>
                <c:pt idx="0">
                  <c:v>0.5181347131729126</c:v>
                </c:pt>
              </c:numCache>
            </c:numRef>
          </c:xVal>
          <c:yVal>
            <c:numRef>
              <c:f>'[1]Summary Kuadran (2)'!$C$104</c:f>
              <c:numCache>
                <c:formatCode>General</c:formatCode>
                <c:ptCount val="1"/>
                <c:pt idx="0">
                  <c:v>5.1813473701477051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1BC-9242-BEF3-92B084F4A440}"/>
            </c:ext>
          </c:extLst>
        </c:ser>
        <c:ser>
          <c:idx val="4"/>
          <c:order val="4"/>
          <c:tx>
            <c:v>Jambi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(2)'!$B$105</c:f>
              <c:numCache>
                <c:formatCode>General</c:formatCode>
                <c:ptCount val="1"/>
                <c:pt idx="0">
                  <c:v>1.036269426345825</c:v>
                </c:pt>
              </c:numCache>
            </c:numRef>
          </c:xVal>
          <c:yVal>
            <c:numRef>
              <c:f>'[1]Summary Kuadran (2)'!$C$105</c:f>
              <c:numCache>
                <c:formatCode>General</c:formatCode>
                <c:ptCount val="1"/>
                <c:pt idx="0">
                  <c:v>10.36269474029541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1BC-9242-BEF3-92B084F4A440}"/>
            </c:ext>
          </c:extLst>
        </c:ser>
        <c:ser>
          <c:idx val="5"/>
          <c:order val="5"/>
          <c:tx>
            <c:v>Sumatera Selatan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(2)'!$B$106</c:f>
              <c:numCache>
                <c:formatCode>General</c:formatCode>
                <c:ptCount val="1"/>
                <c:pt idx="0">
                  <c:v>4.5016074180603027</c:v>
                </c:pt>
              </c:numCache>
            </c:numRef>
          </c:xVal>
          <c:yVal>
            <c:numRef>
              <c:f>'[1]Summary Kuadran (2)'!$C$106</c:f>
              <c:numCache>
                <c:formatCode>General</c:formatCode>
                <c:ptCount val="1"/>
                <c:pt idx="0">
                  <c:v>8.0385847091674805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1BC-9242-BEF3-92B084F4A440}"/>
            </c:ext>
          </c:extLst>
        </c:ser>
        <c:ser>
          <c:idx val="6"/>
          <c:order val="6"/>
          <c:tx>
            <c:v>Bengkulu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(2)'!$B$107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'[1]Summary Kuadran (2)'!$C$107</c:f>
              <c:numCache>
                <c:formatCode>General</c:formatCode>
                <c:ptCount val="1"/>
                <c:pt idx="0">
                  <c:v>8.1081075668334961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1BC-9242-BEF3-92B084F4A440}"/>
            </c:ext>
          </c:extLst>
        </c:ser>
        <c:ser>
          <c:idx val="7"/>
          <c:order val="7"/>
          <c:tx>
            <c:v>Lampung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(2)'!$B$108</c:f>
              <c:numCache>
                <c:formatCode>General</c:formatCode>
                <c:ptCount val="1"/>
                <c:pt idx="0">
                  <c:v>2.403846263885498</c:v>
                </c:pt>
              </c:numCache>
            </c:numRef>
          </c:xVal>
          <c:yVal>
            <c:numRef>
              <c:f>'[1]Summary Kuadran (2)'!$C$108</c:f>
              <c:numCache>
                <c:formatCode>General</c:formatCode>
                <c:ptCount val="1"/>
                <c:pt idx="0">
                  <c:v>7.9326920509338379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1BC-9242-BEF3-92B084F4A440}"/>
            </c:ext>
          </c:extLst>
        </c:ser>
        <c:ser>
          <c:idx val="8"/>
          <c:order val="8"/>
          <c:tx>
            <c:v>Bangka Belitung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(2)'!$B$109</c:f>
              <c:numCache>
                <c:formatCode>General</c:formatCode>
                <c:ptCount val="1"/>
                <c:pt idx="0">
                  <c:v>3.6363635063171391</c:v>
                </c:pt>
              </c:numCache>
            </c:numRef>
          </c:xVal>
          <c:yVal>
            <c:numRef>
              <c:f>'[1]Summary Kuadran (2)'!$C$109</c:f>
              <c:numCache>
                <c:formatCode>General</c:formatCode>
                <c:ptCount val="1"/>
                <c:pt idx="0">
                  <c:v>23.6363639831543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1BC-9242-BEF3-92B084F4A440}"/>
            </c:ext>
          </c:extLst>
        </c:ser>
        <c:ser>
          <c:idx val="9"/>
          <c:order val="9"/>
          <c:tx>
            <c:v>Kepulauan Riau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(2)'!$B$110</c:f>
              <c:numCache>
                <c:formatCode>General</c:formatCode>
                <c:ptCount val="1"/>
                <c:pt idx="0">
                  <c:v>35.159816741943359</c:v>
                </c:pt>
              </c:numCache>
            </c:numRef>
          </c:xVal>
          <c:yVal>
            <c:numRef>
              <c:f>'[1]Summary Kuadran (2)'!$C$110</c:f>
              <c:numCache>
                <c:formatCode>General</c:formatCode>
                <c:ptCount val="1"/>
                <c:pt idx="0">
                  <c:v>31.963470458984379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1BC-9242-BEF3-92B084F4A440}"/>
            </c:ext>
          </c:extLst>
        </c:ser>
        <c:ser>
          <c:idx val="10"/>
          <c:order val="10"/>
          <c:tx>
            <c:v>Dki Jakarta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(2)'!$B$111</c:f>
              <c:numCache>
                <c:formatCode>General</c:formatCode>
                <c:ptCount val="1"/>
                <c:pt idx="0">
                  <c:v>5.0963330268859863</c:v>
                </c:pt>
              </c:numCache>
            </c:numRef>
          </c:xVal>
          <c:yVal>
            <c:numRef>
              <c:f>'[1]Summary Kuadran (2)'!$C$111</c:f>
              <c:numCache>
                <c:formatCode>General</c:formatCode>
                <c:ptCount val="1"/>
                <c:pt idx="0">
                  <c:v>5.3449349403381348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1BC-9242-BEF3-92B084F4A440}"/>
            </c:ext>
          </c:extLst>
        </c:ser>
        <c:ser>
          <c:idx val="11"/>
          <c:order val="11"/>
          <c:tx>
            <c:v>Jawa Barat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(2)'!$B$112</c:f>
              <c:numCache>
                <c:formatCode>General</c:formatCode>
                <c:ptCount val="1"/>
                <c:pt idx="0">
                  <c:v>7.1264634132385254</c:v>
                </c:pt>
              </c:numCache>
            </c:numRef>
          </c:xVal>
          <c:yVal>
            <c:numRef>
              <c:f>'[1]Summary Kuadran (2)'!$C$112</c:f>
              <c:numCache>
                <c:formatCode>General</c:formatCode>
                <c:ptCount val="1"/>
                <c:pt idx="0">
                  <c:v>8.2510900497436523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1BC-9242-BEF3-92B084F4A440}"/>
            </c:ext>
          </c:extLst>
        </c:ser>
        <c:ser>
          <c:idx val="12"/>
          <c:order val="12"/>
          <c:tx>
            <c:v>Jawa Tengah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(2)'!$B$113</c:f>
              <c:numCache>
                <c:formatCode>General</c:formatCode>
                <c:ptCount val="1"/>
                <c:pt idx="0">
                  <c:v>8.0108623504638672</c:v>
                </c:pt>
              </c:numCache>
            </c:numRef>
          </c:xVal>
          <c:yVal>
            <c:numRef>
              <c:f>'[1]Summary Kuadran (2)'!$C$113</c:f>
              <c:numCache>
                <c:formatCode>General</c:formatCode>
                <c:ptCount val="1"/>
                <c:pt idx="0">
                  <c:v>19.37089920043945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31BC-9242-BEF3-92B084F4A440}"/>
            </c:ext>
          </c:extLst>
        </c:ser>
        <c:ser>
          <c:idx val="13"/>
          <c:order val="13"/>
          <c:tx>
            <c:v>Di Yogyakarta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(2)'!$B$114</c:f>
              <c:numCache>
                <c:formatCode>General</c:formatCode>
                <c:ptCount val="1"/>
                <c:pt idx="0">
                  <c:v>6.8222618103027344</c:v>
                </c:pt>
              </c:numCache>
            </c:numRef>
          </c:xVal>
          <c:yVal>
            <c:numRef>
              <c:f>'[1]Summary Kuadran (2)'!$C$114</c:f>
              <c:numCache>
                <c:formatCode>General</c:formatCode>
                <c:ptCount val="1"/>
                <c:pt idx="0">
                  <c:v>24.057451248168949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31BC-9242-BEF3-92B084F4A440}"/>
            </c:ext>
          </c:extLst>
        </c:ser>
        <c:ser>
          <c:idx val="14"/>
          <c:order val="14"/>
          <c:tx>
            <c:v>Jawa Timur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(2)'!$B$115</c:f>
              <c:numCache>
                <c:formatCode>General</c:formatCode>
                <c:ptCount val="1"/>
                <c:pt idx="0">
                  <c:v>8.1613216400146484</c:v>
                </c:pt>
              </c:numCache>
            </c:numRef>
          </c:xVal>
          <c:yVal>
            <c:numRef>
              <c:f>'[1]Summary Kuadran (2)'!$C$115</c:f>
              <c:numCache>
                <c:formatCode>General</c:formatCode>
                <c:ptCount val="1"/>
                <c:pt idx="0">
                  <c:v>11.49571323394775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31BC-9242-BEF3-92B084F4A440}"/>
            </c:ext>
          </c:extLst>
        </c:ser>
        <c:ser>
          <c:idx val="15"/>
          <c:order val="15"/>
          <c:tx>
            <c:v>Banten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(2)'!$B$116</c:f>
              <c:numCache>
                <c:formatCode>General</c:formatCode>
                <c:ptCount val="1"/>
                <c:pt idx="0">
                  <c:v>6.2205958366394043</c:v>
                </c:pt>
              </c:numCache>
            </c:numRef>
          </c:xVal>
          <c:yVal>
            <c:numRef>
              <c:f>'[1]Summary Kuadran (2)'!$C$116</c:f>
              <c:numCache>
                <c:formatCode>General</c:formatCode>
                <c:ptCount val="1"/>
                <c:pt idx="0">
                  <c:v>5.0967068672180176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31BC-9242-BEF3-92B084F4A440}"/>
            </c:ext>
          </c:extLst>
        </c:ser>
        <c:ser>
          <c:idx val="16"/>
          <c:order val="16"/>
          <c:tx>
            <c:v>Bali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(2)'!$B$117</c:f>
              <c:numCache>
                <c:formatCode>General</c:formatCode>
                <c:ptCount val="1"/>
                <c:pt idx="0">
                  <c:v>10.82352924346924</c:v>
                </c:pt>
              </c:numCache>
            </c:numRef>
          </c:xVal>
          <c:yVal>
            <c:numRef>
              <c:f>'[1]Summary Kuadran (2)'!$C$117</c:f>
              <c:numCache>
                <c:formatCode>General</c:formatCode>
                <c:ptCount val="1"/>
                <c:pt idx="0">
                  <c:v>31.529411315917969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31BC-9242-BEF3-92B084F4A440}"/>
            </c:ext>
          </c:extLst>
        </c:ser>
        <c:ser>
          <c:idx val="17"/>
          <c:order val="17"/>
          <c:tx>
            <c:v>Nusa Tenggara Barat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(2)'!$B$118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'[1]Summary Kuadran (2)'!$C$118</c:f>
              <c:numCache>
                <c:formatCode>General</c:formatCode>
                <c:ptCount val="1"/>
                <c:pt idx="0">
                  <c:v>0.94339621067047119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31BC-9242-BEF3-92B084F4A440}"/>
            </c:ext>
          </c:extLst>
        </c:ser>
        <c:ser>
          <c:idx val="18"/>
          <c:order val="18"/>
          <c:tx>
            <c:v>Nusa Tenggara Timur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(2)'!$B$119</c:f>
              <c:numCache>
                <c:formatCode>General</c:formatCode>
                <c:ptCount val="1"/>
                <c:pt idx="0">
                  <c:v>1.315789461135864</c:v>
                </c:pt>
              </c:numCache>
            </c:numRef>
          </c:xVal>
          <c:yVal>
            <c:numRef>
              <c:f>'[1]Summary Kuadran (2)'!$C$119</c:f>
              <c:numCache>
                <c:formatCode>General</c:formatCode>
                <c:ptCount val="1"/>
                <c:pt idx="0">
                  <c:v>1.315789461135864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31BC-9242-BEF3-92B084F4A440}"/>
            </c:ext>
          </c:extLst>
        </c:ser>
        <c:ser>
          <c:idx val="19"/>
          <c:order val="19"/>
          <c:tx>
            <c:v>Kalimantan Barat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(2)'!$B$120</c:f>
              <c:numCache>
                <c:formatCode>General</c:formatCode>
                <c:ptCount val="1"/>
                <c:pt idx="0">
                  <c:v>6.0606060028076172</c:v>
                </c:pt>
              </c:numCache>
            </c:numRef>
          </c:xVal>
          <c:yVal>
            <c:numRef>
              <c:f>'[1]Summary Kuadran (2)'!$C$120</c:f>
              <c:numCache>
                <c:formatCode>General</c:formatCode>
                <c:ptCount val="1"/>
                <c:pt idx="0">
                  <c:v>9.0909090042114258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31BC-9242-BEF3-92B084F4A440}"/>
            </c:ext>
          </c:extLst>
        </c:ser>
        <c:ser>
          <c:idx val="20"/>
          <c:order val="20"/>
          <c:tx>
            <c:v>Kalimantan Tengah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(2)'!$B$121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'[1]Summary Kuadran (2)'!$C$121</c:f>
              <c:numCache>
                <c:formatCode>General</c:formatCode>
                <c:ptCount val="1"/>
                <c:pt idx="0">
                  <c:v>6.6265063285827637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31BC-9242-BEF3-92B084F4A440}"/>
            </c:ext>
          </c:extLst>
        </c:ser>
        <c:ser>
          <c:idx val="21"/>
          <c:order val="21"/>
          <c:tx>
            <c:v>Kalimantan Selatan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(2)'!$B$122</c:f>
              <c:numCache>
                <c:formatCode>General</c:formatCode>
                <c:ptCount val="1"/>
                <c:pt idx="0">
                  <c:v>1.809954881668091</c:v>
                </c:pt>
              </c:numCache>
            </c:numRef>
          </c:xVal>
          <c:yVal>
            <c:numRef>
              <c:f>'[1]Summary Kuadran (2)'!$C$122</c:f>
              <c:numCache>
                <c:formatCode>General</c:formatCode>
                <c:ptCount val="1"/>
                <c:pt idx="0">
                  <c:v>12.21719455718994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31BC-9242-BEF3-92B084F4A440}"/>
            </c:ext>
          </c:extLst>
        </c:ser>
        <c:ser>
          <c:idx val="22"/>
          <c:order val="22"/>
          <c:tx>
            <c:v>Kalimantan Timur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(2)'!$B$123</c:f>
              <c:numCache>
                <c:formatCode>General</c:formatCode>
                <c:ptCount val="1"/>
                <c:pt idx="0">
                  <c:v>1.7730497121810911</c:v>
                </c:pt>
              </c:numCache>
            </c:numRef>
          </c:xVal>
          <c:yVal>
            <c:numRef>
              <c:f>'[1]Summary Kuadran (2)'!$C$123</c:f>
              <c:numCache>
                <c:formatCode>General</c:formatCode>
                <c:ptCount val="1"/>
                <c:pt idx="0">
                  <c:v>3.5460994243621831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31BC-9242-BEF3-92B084F4A440}"/>
            </c:ext>
          </c:extLst>
        </c:ser>
        <c:ser>
          <c:idx val="23"/>
          <c:order val="23"/>
          <c:tx>
            <c:v>Kalimantan Utara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(2)'!$B$124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'[1]Summary Kuadran (2)'!$C$124</c:f>
              <c:numCache>
                <c:formatCode>General</c:formatCode>
                <c:ptCount val="1"/>
                <c:pt idx="0">
                  <c:v>21.052631378173832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31BC-9242-BEF3-92B084F4A440}"/>
            </c:ext>
          </c:extLst>
        </c:ser>
        <c:ser>
          <c:idx val="24"/>
          <c:order val="24"/>
          <c:tx>
            <c:v>Sulawesi Utara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(2)'!$B$125</c:f>
              <c:numCache>
                <c:formatCode>General</c:formatCode>
                <c:ptCount val="1"/>
                <c:pt idx="0">
                  <c:v>7.407407283782959</c:v>
                </c:pt>
              </c:numCache>
            </c:numRef>
          </c:xVal>
          <c:yVal>
            <c:numRef>
              <c:f>'[1]Summary Kuadran (2)'!$C$125</c:f>
              <c:numCache>
                <c:formatCode>General</c:formatCode>
                <c:ptCount val="1"/>
                <c:pt idx="0">
                  <c:v>21.296297073364261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31BC-9242-BEF3-92B084F4A440}"/>
            </c:ext>
          </c:extLst>
        </c:ser>
        <c:ser>
          <c:idx val="25"/>
          <c:order val="25"/>
          <c:tx>
            <c:v>Sulawesi Tengah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(2)'!$B$126</c:f>
              <c:numCache>
                <c:formatCode>General</c:formatCode>
                <c:ptCount val="1"/>
                <c:pt idx="0">
                  <c:v>6.3829789161682129</c:v>
                </c:pt>
              </c:numCache>
            </c:numRef>
          </c:xVal>
          <c:yVal>
            <c:numRef>
              <c:f>'[1]Summary Kuadran (2)'!$C$126</c:f>
              <c:numCache>
                <c:formatCode>General</c:formatCode>
                <c:ptCount val="1"/>
                <c:pt idx="0">
                  <c:v>18.08510589599609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31BC-9242-BEF3-92B084F4A440}"/>
            </c:ext>
          </c:extLst>
        </c:ser>
        <c:ser>
          <c:idx val="26"/>
          <c:order val="26"/>
          <c:tx>
            <c:v>Sulawesi Selatan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(2)'!$B$127</c:f>
              <c:numCache>
                <c:formatCode>General</c:formatCode>
                <c:ptCount val="1"/>
                <c:pt idx="0">
                  <c:v>2.1459226608276372</c:v>
                </c:pt>
              </c:numCache>
            </c:numRef>
          </c:xVal>
          <c:yVal>
            <c:numRef>
              <c:f>'[1]Summary Kuadran (2)'!$C$127</c:f>
              <c:numCache>
                <c:formatCode>General</c:formatCode>
                <c:ptCount val="1"/>
                <c:pt idx="0">
                  <c:v>8.5836906433105469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31BC-9242-BEF3-92B084F4A440}"/>
            </c:ext>
          </c:extLst>
        </c:ser>
        <c:ser>
          <c:idx val="27"/>
          <c:order val="27"/>
          <c:tx>
            <c:v>Sulawesi Tenggara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(2)'!$B$128</c:f>
              <c:numCache>
                <c:formatCode>General</c:formatCode>
                <c:ptCount val="1"/>
                <c:pt idx="0">
                  <c:v>0.746268630027771</c:v>
                </c:pt>
              </c:numCache>
            </c:numRef>
          </c:xVal>
          <c:yVal>
            <c:numRef>
              <c:f>'[1]Summary Kuadran (2)'!$C$128</c:f>
              <c:numCache>
                <c:formatCode>General</c:formatCode>
                <c:ptCount val="1"/>
                <c:pt idx="0">
                  <c:v>5.2238807678222656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31BC-9242-BEF3-92B084F4A440}"/>
            </c:ext>
          </c:extLst>
        </c:ser>
        <c:ser>
          <c:idx val="28"/>
          <c:order val="28"/>
          <c:tx>
            <c:v>Gorontalo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(2)'!$B$129</c:f>
              <c:numCache>
                <c:formatCode>General</c:formatCode>
                <c:ptCount val="1"/>
                <c:pt idx="0">
                  <c:v>3.4482758045196529</c:v>
                </c:pt>
              </c:numCache>
            </c:numRef>
          </c:xVal>
          <c:yVal>
            <c:numRef>
              <c:f>'[1]Summary Kuadran (2)'!$C$129</c:f>
              <c:numCache>
                <c:formatCode>General</c:formatCode>
                <c:ptCount val="1"/>
                <c:pt idx="0">
                  <c:v>3.4482758045196529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31BC-9242-BEF3-92B084F4A440}"/>
            </c:ext>
          </c:extLst>
        </c:ser>
        <c:ser>
          <c:idx val="29"/>
          <c:order val="29"/>
          <c:tx>
            <c:v>Sulawesi Barat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(2)'!$B$130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'[1]Summary Kuadran (2)'!$C$130</c:f>
              <c:numCache>
                <c:formatCode>General</c:formatCode>
                <c:ptCount val="1"/>
                <c:pt idx="0">
                  <c:v>11.111111640930179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31BC-9242-BEF3-92B084F4A440}"/>
            </c:ext>
          </c:extLst>
        </c:ser>
        <c:ser>
          <c:idx val="30"/>
          <c:order val="30"/>
          <c:tx>
            <c:v>Maluku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(2)'!$B$131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'[1]Summary Kuadran (2)'!$C$131</c:f>
              <c:numCache>
                <c:formatCode>General</c:formatCode>
                <c:ptCount val="1"/>
                <c:pt idx="0">
                  <c:v>21.052631378173832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31BC-9242-BEF3-92B084F4A440}"/>
            </c:ext>
          </c:extLst>
        </c:ser>
        <c:ser>
          <c:idx val="31"/>
          <c:order val="31"/>
          <c:tx>
            <c:v>Maluku Utara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(2)'!$B$132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'[1]Summary Kuadran (2)'!$C$132</c:f>
              <c:numCache>
                <c:formatCode>General</c:formatCode>
                <c:ptCount val="1"/>
                <c:pt idx="0">
                  <c:v>24.137929916381839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31BC-9242-BEF3-92B084F4A440}"/>
            </c:ext>
          </c:extLst>
        </c:ser>
        <c:ser>
          <c:idx val="32"/>
          <c:order val="32"/>
          <c:tx>
            <c:v>Papua Barat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(2)'!$B$133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'[1]Summary Kuadran (2)'!$C$133</c:f>
              <c:numCache>
                <c:formatCode>General</c:formatCode>
                <c:ptCount val="1"/>
                <c:pt idx="0">
                  <c:v>12.5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31BC-9242-BEF3-92B084F4A440}"/>
            </c:ext>
          </c:extLst>
        </c:ser>
        <c:ser>
          <c:idx val="33"/>
          <c:order val="33"/>
          <c:tx>
            <c:v>Papua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(2)'!$B$134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'[1]Summary Kuadran (2)'!$C$134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31BC-9242-BEF3-92B084F4A440}"/>
            </c:ext>
          </c:extLst>
        </c:ser>
        <c:ser>
          <c:idx val="34"/>
          <c:order val="34"/>
          <c:tx>
            <c:v>Ambang Impor</c:v>
          </c:tx>
          <c:spPr>
            <a:ln w="12700">
              <a:solidFill>
                <a:srgbClr val="E59A3C"/>
              </a:solidFill>
              <a:prstDash val="solid"/>
            </a:ln>
          </c:spPr>
          <c:marker>
            <c:symbol val="none"/>
          </c:marker>
          <c:xVal>
            <c:numRef>
              <c:f>'[1]Summary Kuadran (2)'!$F$104:$F$105</c:f>
              <c:numCache>
                <c:formatCode>General</c:formatCode>
                <c:ptCount val="2"/>
                <c:pt idx="0">
                  <c:v>4.2970574778669022</c:v>
                </c:pt>
                <c:pt idx="1">
                  <c:v>4.2970574778669022</c:v>
                </c:pt>
              </c:numCache>
            </c:numRef>
          </c:xVal>
          <c:yVal>
            <c:numRef>
              <c:f>'[1]Summary Kuadran (2)'!$G$104:$G$105</c:f>
              <c:numCache>
                <c:formatCode>General</c:formatCode>
                <c:ptCount val="2"/>
                <c:pt idx="0">
                  <c:v>0</c:v>
                </c:pt>
                <c:pt idx="1">
                  <c:v>35.159817504882817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31BC-9242-BEF3-92B084F4A440}"/>
            </c:ext>
          </c:extLst>
        </c:ser>
        <c:ser>
          <c:idx val="35"/>
          <c:order val="35"/>
          <c:tx>
            <c:v>Ambang Ekspor</c:v>
          </c:tx>
          <c:spPr>
            <a:ln w="12700">
              <a:solidFill>
                <a:srgbClr val="E59A3C"/>
              </a:solidFill>
              <a:prstDash val="solid"/>
            </a:ln>
          </c:spPr>
          <c:marker>
            <c:symbol val="none"/>
          </c:marker>
          <c:xVal>
            <c:numRef>
              <c:f>'[1]Summary Kuadran (2)'!$F$108:$F$109</c:f>
              <c:numCache>
                <c:formatCode>General</c:formatCode>
                <c:ptCount val="2"/>
                <c:pt idx="0">
                  <c:v>0</c:v>
                </c:pt>
                <c:pt idx="1">
                  <c:v>38.675798416137695</c:v>
                </c:pt>
              </c:numCache>
            </c:numRef>
          </c:xVal>
          <c:yVal>
            <c:numRef>
              <c:f>'[1]Summary Kuadran (2)'!$G$108:$G$109</c:f>
              <c:numCache>
                <c:formatCode>General</c:formatCode>
                <c:ptCount val="2"/>
                <c:pt idx="0">
                  <c:v>11.943857427905588</c:v>
                </c:pt>
                <c:pt idx="1">
                  <c:v>11.943857427905588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31BC-9242-BEF3-92B084F4A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1000" b="1" i="0" u="none" strike="noStrike" kern="1200" baseline="0">
                    <a:solidFill>
                      <a:srgbClr val="000000"/>
                    </a:solidFill>
                  </a:rPr>
                  <a:t>Share Perusahaan yang  Impor Bahan Baku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1000" b="1" i="0" u="none" strike="noStrike" kern="1200" baseline="0">
                    <a:solidFill>
                      <a:srgbClr val="000000"/>
                    </a:solidFill>
                  </a:rPr>
                  <a:t>Share Perusahaan yang  Ekspor Produk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KBLI 2015 (by value)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007171717171717E-2"/>
          <c:y val="4.5155555555555553E-2"/>
          <c:w val="0.93139141414141413"/>
          <c:h val="0.90203577777777777"/>
        </c:manualLayout>
      </c:layout>
      <c:scatterChart>
        <c:scatterStyle val="lineMarker"/>
        <c:varyColors val="1"/>
        <c:ser>
          <c:idx val="0"/>
          <c:order val="0"/>
          <c:tx>
            <c:v>Makanan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(2)'!$B$4</c:f>
              <c:numCache>
                <c:formatCode>General</c:formatCode>
                <c:ptCount val="1"/>
                <c:pt idx="0">
                  <c:v>10.286594567680471</c:v>
                </c:pt>
              </c:numCache>
            </c:numRef>
          </c:xVal>
          <c:yVal>
            <c:numRef>
              <c:f>'[1]Summary Kuadran (2)'!$C$4</c:f>
              <c:numCache>
                <c:formatCode>General</c:formatCode>
                <c:ptCount val="1"/>
                <c:pt idx="0">
                  <c:v>57.763515033079017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4F-D84C-BFBC-5C24CF2EE9E6}"/>
            </c:ext>
          </c:extLst>
        </c:ser>
        <c:ser>
          <c:idx val="1"/>
          <c:order val="1"/>
          <c:tx>
            <c:v>Minuman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(2)'!$B$5</c:f>
              <c:numCache>
                <c:formatCode>General</c:formatCode>
                <c:ptCount val="1"/>
                <c:pt idx="0">
                  <c:v>18.341960735669289</c:v>
                </c:pt>
              </c:numCache>
            </c:numRef>
          </c:xVal>
          <c:yVal>
            <c:numRef>
              <c:f>'[1]Summary Kuadran (2)'!$C$5</c:f>
              <c:numCache>
                <c:formatCode>General</c:formatCode>
                <c:ptCount val="1"/>
                <c:pt idx="0">
                  <c:v>12.08277677061384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4F-D84C-BFBC-5C24CF2EE9E6}"/>
            </c:ext>
          </c:extLst>
        </c:ser>
        <c:ser>
          <c:idx val="2"/>
          <c:order val="2"/>
          <c:tx>
            <c:v>Pengolahan Tembakau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(2)'!$B$6</c:f>
              <c:numCache>
                <c:formatCode>General</c:formatCode>
                <c:ptCount val="1"/>
                <c:pt idx="0">
                  <c:v>5.2597780739413693</c:v>
                </c:pt>
              </c:numCache>
            </c:numRef>
          </c:xVal>
          <c:yVal>
            <c:numRef>
              <c:f>'[1]Summary Kuadran (2)'!$C$6</c:f>
              <c:numCache>
                <c:formatCode>General</c:formatCode>
                <c:ptCount val="1"/>
                <c:pt idx="0">
                  <c:v>49.946392170674493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44F-D84C-BFBC-5C24CF2EE9E6}"/>
            </c:ext>
          </c:extLst>
        </c:ser>
        <c:ser>
          <c:idx val="3"/>
          <c:order val="3"/>
          <c:tx>
            <c:v>Tekstil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(2)'!$B$7</c:f>
              <c:numCache>
                <c:formatCode>General</c:formatCode>
                <c:ptCount val="1"/>
                <c:pt idx="0">
                  <c:v>26.924796416960699</c:v>
                </c:pt>
              </c:numCache>
            </c:numRef>
          </c:xVal>
          <c:yVal>
            <c:numRef>
              <c:f>'[1]Summary Kuadran (2)'!$C$7</c:f>
              <c:numCache>
                <c:formatCode>General</c:formatCode>
                <c:ptCount val="1"/>
                <c:pt idx="0">
                  <c:v>40.829237215215286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44F-D84C-BFBC-5C24CF2EE9E6}"/>
            </c:ext>
          </c:extLst>
        </c:ser>
        <c:ser>
          <c:idx val="4"/>
          <c:order val="4"/>
          <c:tx>
            <c:v>Pakaian Jadi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(2)'!$B$8</c:f>
              <c:numCache>
                <c:formatCode>General</c:formatCode>
                <c:ptCount val="1"/>
                <c:pt idx="0">
                  <c:v>40.379094559229671</c:v>
                </c:pt>
              </c:numCache>
            </c:numRef>
          </c:xVal>
          <c:yVal>
            <c:numRef>
              <c:f>'[1]Summary Kuadran (2)'!$C$8</c:f>
              <c:numCache>
                <c:formatCode>General</c:formatCode>
                <c:ptCount val="1"/>
                <c:pt idx="0">
                  <c:v>62.028479521786927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44F-D84C-BFBC-5C24CF2EE9E6}"/>
            </c:ext>
          </c:extLst>
        </c:ser>
        <c:ser>
          <c:idx val="5"/>
          <c:order val="5"/>
          <c:tx>
            <c:v>Kulit. Barang dari Kulit dan Alas Kaki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(2)'!$B$9</c:f>
              <c:numCache>
                <c:formatCode>General</c:formatCode>
                <c:ptCount val="1"/>
                <c:pt idx="0">
                  <c:v>27.327824570038771</c:v>
                </c:pt>
              </c:numCache>
            </c:numRef>
          </c:xVal>
          <c:yVal>
            <c:numRef>
              <c:f>'[1]Summary Kuadran (2)'!$C$9</c:f>
              <c:numCache>
                <c:formatCode>General</c:formatCode>
                <c:ptCount val="1"/>
                <c:pt idx="0">
                  <c:v>43.646983080702533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44F-D84C-BFBC-5C24CF2EE9E6}"/>
            </c:ext>
          </c:extLst>
        </c:ser>
        <c:ser>
          <c:idx val="6"/>
          <c:order val="6"/>
          <c:tx>
            <c:v>Kayu. Barang dari Kayu dan Gabus (Tidak Termasuk Furnitur) dan Barang Anyaman dari Bambu. Rotan dan Sejenisnya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(2)'!$B$10</c:f>
              <c:numCache>
                <c:formatCode>General</c:formatCode>
                <c:ptCount val="1"/>
                <c:pt idx="0">
                  <c:v>6.8987478009938261</c:v>
                </c:pt>
              </c:numCache>
            </c:numRef>
          </c:xVal>
          <c:yVal>
            <c:numRef>
              <c:f>'[1]Summary Kuadran (2)'!$C$10</c:f>
              <c:numCache>
                <c:formatCode>General</c:formatCode>
                <c:ptCount val="1"/>
                <c:pt idx="0">
                  <c:v>69.815778400619052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44F-D84C-BFBC-5C24CF2EE9E6}"/>
            </c:ext>
          </c:extLst>
        </c:ser>
        <c:ser>
          <c:idx val="7"/>
          <c:order val="7"/>
          <c:tx>
            <c:v>Kertas dan Barang dari Kertas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(2)'!$B$11</c:f>
              <c:numCache>
                <c:formatCode>General</c:formatCode>
                <c:ptCount val="1"/>
                <c:pt idx="0">
                  <c:v>14.748203875864251</c:v>
                </c:pt>
              </c:numCache>
            </c:numRef>
          </c:xVal>
          <c:yVal>
            <c:numRef>
              <c:f>'[1]Summary Kuadran (2)'!$C$11</c:f>
              <c:numCache>
                <c:formatCode>General</c:formatCode>
                <c:ptCount val="1"/>
                <c:pt idx="0">
                  <c:v>26.222460083614521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44F-D84C-BFBC-5C24CF2EE9E6}"/>
            </c:ext>
          </c:extLst>
        </c:ser>
        <c:ser>
          <c:idx val="8"/>
          <c:order val="8"/>
          <c:tx>
            <c:v>Pencetakan dan Reproduksi Media Rekaman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(2)'!$B$12</c:f>
              <c:numCache>
                <c:formatCode>General</c:formatCode>
                <c:ptCount val="1"/>
                <c:pt idx="0">
                  <c:v>8.0606693583710864</c:v>
                </c:pt>
              </c:numCache>
            </c:numRef>
          </c:xVal>
          <c:yVal>
            <c:numRef>
              <c:f>'[1]Summary Kuadran (2)'!$C$12</c:f>
              <c:numCache>
                <c:formatCode>General</c:formatCode>
                <c:ptCount val="1"/>
                <c:pt idx="0">
                  <c:v>22.251555555555559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44F-D84C-BFBC-5C24CF2EE9E6}"/>
            </c:ext>
          </c:extLst>
        </c:ser>
        <c:ser>
          <c:idx val="9"/>
          <c:order val="9"/>
          <c:tx>
            <c:v>Produk dari Batu Bara dan Pengilangan Minyak Bumi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(2)'!$B$13</c:f>
              <c:numCache>
                <c:formatCode>General</c:formatCode>
                <c:ptCount val="1"/>
                <c:pt idx="0">
                  <c:v>11.98676866134096</c:v>
                </c:pt>
              </c:numCache>
            </c:numRef>
          </c:xVal>
          <c:yVal>
            <c:numRef>
              <c:f>'[1]Summary Kuadran (2)'!$C$13</c:f>
              <c:numCache>
                <c:formatCode>General</c:formatCode>
                <c:ptCount val="1"/>
                <c:pt idx="0">
                  <c:v>38.045789473684209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44F-D84C-BFBC-5C24CF2EE9E6}"/>
            </c:ext>
          </c:extLst>
        </c:ser>
        <c:ser>
          <c:idx val="10"/>
          <c:order val="10"/>
          <c:tx>
            <c:v>Bahan Kimia dan Barang dari Bahan Kimia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(2)'!$B$14</c:f>
              <c:numCache>
                <c:formatCode>General</c:formatCode>
                <c:ptCount val="1"/>
                <c:pt idx="0">
                  <c:v>36.000408264268167</c:v>
                </c:pt>
              </c:numCache>
            </c:numRef>
          </c:xVal>
          <c:yVal>
            <c:numRef>
              <c:f>'[1]Summary Kuadran (2)'!$C$14</c:f>
              <c:numCache>
                <c:formatCode>General</c:formatCode>
                <c:ptCount val="1"/>
                <c:pt idx="0">
                  <c:v>32.896714640024513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44F-D84C-BFBC-5C24CF2EE9E6}"/>
            </c:ext>
          </c:extLst>
        </c:ser>
        <c:ser>
          <c:idx val="11"/>
          <c:order val="11"/>
          <c:tx>
            <c:v>Farmasi. Produk Obat Kimia dan Obat Tradisional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(2)'!$B$15</c:f>
              <c:numCache>
                <c:formatCode>General</c:formatCode>
                <c:ptCount val="1"/>
                <c:pt idx="0">
                  <c:v>38.440680547909572</c:v>
                </c:pt>
              </c:numCache>
            </c:numRef>
          </c:xVal>
          <c:yVal>
            <c:numRef>
              <c:f>'[1]Summary Kuadran (2)'!$C$15</c:f>
              <c:numCache>
                <c:formatCode>General</c:formatCode>
                <c:ptCount val="1"/>
                <c:pt idx="0">
                  <c:v>18.100142006329349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244F-D84C-BFBC-5C24CF2EE9E6}"/>
            </c:ext>
          </c:extLst>
        </c:ser>
        <c:ser>
          <c:idx val="12"/>
          <c:order val="12"/>
          <c:tx>
            <c:v>Karet. Barang dari Karet dan Plastik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(2)'!$B$16</c:f>
              <c:numCache>
                <c:formatCode>General</c:formatCode>
                <c:ptCount val="1"/>
                <c:pt idx="0">
                  <c:v>16.74841257128919</c:v>
                </c:pt>
              </c:numCache>
            </c:numRef>
          </c:xVal>
          <c:yVal>
            <c:numRef>
              <c:f>'[1]Summary Kuadran (2)'!$C$16</c:f>
              <c:numCache>
                <c:formatCode>General</c:formatCode>
                <c:ptCount val="1"/>
                <c:pt idx="0">
                  <c:v>43.04584894433502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244F-D84C-BFBC-5C24CF2EE9E6}"/>
            </c:ext>
          </c:extLst>
        </c:ser>
        <c:ser>
          <c:idx val="13"/>
          <c:order val="13"/>
          <c:tx>
            <c:v>Barang Galian Bukan Logam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(2)'!$B$17</c:f>
              <c:numCache>
                <c:formatCode>General</c:formatCode>
                <c:ptCount val="1"/>
                <c:pt idx="0">
                  <c:v>20.69620253243027</c:v>
                </c:pt>
              </c:numCache>
            </c:numRef>
          </c:xVal>
          <c:yVal>
            <c:numRef>
              <c:f>'[1]Summary Kuadran (2)'!$C$17</c:f>
              <c:numCache>
                <c:formatCode>General</c:formatCode>
                <c:ptCount val="1"/>
                <c:pt idx="0">
                  <c:v>29.72237471977045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44F-D84C-BFBC-5C24CF2EE9E6}"/>
            </c:ext>
          </c:extLst>
        </c:ser>
        <c:ser>
          <c:idx val="14"/>
          <c:order val="14"/>
          <c:tx>
            <c:v>Logam Dasar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(2)'!$B$18</c:f>
              <c:numCache>
                <c:formatCode>General</c:formatCode>
                <c:ptCount val="1"/>
                <c:pt idx="0">
                  <c:v>38.924375301981293</c:v>
                </c:pt>
              </c:numCache>
            </c:numRef>
          </c:xVal>
          <c:yVal>
            <c:numRef>
              <c:f>'[1]Summary Kuadran (2)'!$C$18</c:f>
              <c:numCache>
                <c:formatCode>General</c:formatCode>
                <c:ptCount val="1"/>
                <c:pt idx="0">
                  <c:v>47.999677447153843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244F-D84C-BFBC-5C24CF2EE9E6}"/>
            </c:ext>
          </c:extLst>
        </c:ser>
        <c:ser>
          <c:idx val="15"/>
          <c:order val="15"/>
          <c:tx>
            <c:v>Barang Logam. Bukan Mesin dan Peralatannya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(2)'!$B$19</c:f>
              <c:numCache>
                <c:formatCode>General</c:formatCode>
                <c:ptCount val="1"/>
                <c:pt idx="0">
                  <c:v>30.673520143676001</c:v>
                </c:pt>
              </c:numCache>
            </c:numRef>
          </c:xVal>
          <c:yVal>
            <c:numRef>
              <c:f>'[1]Summary Kuadran (2)'!$C$19</c:f>
              <c:numCache>
                <c:formatCode>General</c:formatCode>
                <c:ptCount val="1"/>
                <c:pt idx="0">
                  <c:v>28.538670507454079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244F-D84C-BFBC-5C24CF2EE9E6}"/>
            </c:ext>
          </c:extLst>
        </c:ser>
        <c:ser>
          <c:idx val="16"/>
          <c:order val="16"/>
          <c:tx>
            <c:v>Komputer. Barang Elektronik dan Optik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(2)'!$B$20</c:f>
              <c:numCache>
                <c:formatCode>General</c:formatCode>
                <c:ptCount val="1"/>
                <c:pt idx="0">
                  <c:v>65.3235450935275</c:v>
                </c:pt>
              </c:numCache>
            </c:numRef>
          </c:xVal>
          <c:yVal>
            <c:numRef>
              <c:f>'[1]Summary Kuadran (2)'!$C$20</c:f>
              <c:numCache>
                <c:formatCode>General</c:formatCode>
                <c:ptCount val="1"/>
                <c:pt idx="0">
                  <c:v>50.435337494786999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244F-D84C-BFBC-5C24CF2EE9E6}"/>
            </c:ext>
          </c:extLst>
        </c:ser>
        <c:ser>
          <c:idx val="17"/>
          <c:order val="17"/>
          <c:tx>
            <c:v>Peralatan Listrik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(2)'!$B$21</c:f>
              <c:numCache>
                <c:formatCode>General</c:formatCode>
                <c:ptCount val="1"/>
                <c:pt idx="0">
                  <c:v>41.873258296855496</c:v>
                </c:pt>
              </c:numCache>
            </c:numRef>
          </c:xVal>
          <c:yVal>
            <c:numRef>
              <c:f>'[1]Summary Kuadran (2)'!$C$21</c:f>
              <c:numCache>
                <c:formatCode>General</c:formatCode>
                <c:ptCount val="1"/>
                <c:pt idx="0">
                  <c:v>29.191352937868889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244F-D84C-BFBC-5C24CF2EE9E6}"/>
            </c:ext>
          </c:extLst>
        </c:ser>
        <c:ser>
          <c:idx val="18"/>
          <c:order val="18"/>
          <c:tx>
            <c:v>Mesin dan Perlengkapan ytdl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(2)'!$B$22</c:f>
              <c:numCache>
                <c:formatCode>General</c:formatCode>
                <c:ptCount val="1"/>
                <c:pt idx="0">
                  <c:v>35.180478122187253</c:v>
                </c:pt>
              </c:numCache>
            </c:numRef>
          </c:xVal>
          <c:yVal>
            <c:numRef>
              <c:f>'[1]Summary Kuadran (2)'!$C$22</c:f>
              <c:numCache>
                <c:formatCode>General</c:formatCode>
                <c:ptCount val="1"/>
                <c:pt idx="0">
                  <c:v>28.846572535723929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244F-D84C-BFBC-5C24CF2EE9E6}"/>
            </c:ext>
          </c:extLst>
        </c:ser>
        <c:ser>
          <c:idx val="19"/>
          <c:order val="19"/>
          <c:tx>
            <c:v>Kendaraan Bermotor. Trailer dan Semi Trailer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(2)'!$B$23</c:f>
              <c:numCache>
                <c:formatCode>General</c:formatCode>
                <c:ptCount val="1"/>
                <c:pt idx="0">
                  <c:v>33.579929275223932</c:v>
                </c:pt>
              </c:numCache>
            </c:numRef>
          </c:xVal>
          <c:yVal>
            <c:numRef>
              <c:f>'[1]Summary Kuadran (2)'!$C$23</c:f>
              <c:numCache>
                <c:formatCode>General</c:formatCode>
                <c:ptCount val="1"/>
                <c:pt idx="0">
                  <c:v>31.3156424206319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244F-D84C-BFBC-5C24CF2EE9E6}"/>
            </c:ext>
          </c:extLst>
        </c:ser>
        <c:ser>
          <c:idx val="20"/>
          <c:order val="20"/>
          <c:tx>
            <c:v>Alat Angkutan Lainnya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(2)'!$B$24</c:f>
              <c:numCache>
                <c:formatCode>General</c:formatCode>
                <c:ptCount val="1"/>
                <c:pt idx="0">
                  <c:v>29.73709607480464</c:v>
                </c:pt>
              </c:numCache>
            </c:numRef>
          </c:xVal>
          <c:yVal>
            <c:numRef>
              <c:f>'[1]Summary Kuadran (2)'!$C$24</c:f>
              <c:numCache>
                <c:formatCode>General</c:formatCode>
                <c:ptCount val="1"/>
                <c:pt idx="0">
                  <c:v>32.113344337097963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244F-D84C-BFBC-5C24CF2EE9E6}"/>
            </c:ext>
          </c:extLst>
        </c:ser>
        <c:ser>
          <c:idx val="21"/>
          <c:order val="21"/>
          <c:tx>
            <c:v>Furnitur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(2)'!$B$25</c:f>
              <c:numCache>
                <c:formatCode>General</c:formatCode>
                <c:ptCount val="1"/>
                <c:pt idx="0">
                  <c:v>7.3534437291700341</c:v>
                </c:pt>
              </c:numCache>
            </c:numRef>
          </c:xVal>
          <c:yVal>
            <c:numRef>
              <c:f>'[1]Summary Kuadran (2)'!$C$25</c:f>
              <c:numCache>
                <c:formatCode>General</c:formatCode>
                <c:ptCount val="1"/>
                <c:pt idx="0">
                  <c:v>77.818728003093881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244F-D84C-BFBC-5C24CF2EE9E6}"/>
            </c:ext>
          </c:extLst>
        </c:ser>
        <c:ser>
          <c:idx val="22"/>
          <c:order val="22"/>
          <c:tx>
            <c:v>Pengolahan Lainnya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(2)'!$B$26</c:f>
              <c:numCache>
                <c:formatCode>General</c:formatCode>
                <c:ptCount val="1"/>
                <c:pt idx="0">
                  <c:v>54.077972556204358</c:v>
                </c:pt>
              </c:numCache>
            </c:numRef>
          </c:xVal>
          <c:yVal>
            <c:numRef>
              <c:f>'[1]Summary Kuadran (2)'!$C$26</c:f>
              <c:numCache>
                <c:formatCode>General</c:formatCode>
                <c:ptCount val="1"/>
                <c:pt idx="0">
                  <c:v>70.96773844309601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244F-D84C-BFBC-5C24CF2EE9E6}"/>
            </c:ext>
          </c:extLst>
        </c:ser>
        <c:ser>
          <c:idx val="23"/>
          <c:order val="23"/>
          <c:tx>
            <c:v>Jasa Reparasi dan Pemasangan Mesin dan Peralatan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'[1]Summary Kuadran (2)'!$B$27</c:f>
              <c:numCache>
                <c:formatCode>General</c:formatCode>
                <c:ptCount val="1"/>
                <c:pt idx="0">
                  <c:v>36.784252304980647</c:v>
                </c:pt>
              </c:numCache>
            </c:numRef>
          </c:xVal>
          <c:yVal>
            <c:numRef>
              <c:f>'[1]Summary Kuadran (2)'!$C$27</c:f>
              <c:numCache>
                <c:formatCode>General</c:formatCode>
                <c:ptCount val="1"/>
                <c:pt idx="0">
                  <c:v>3.333333333333333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244F-D84C-BFBC-5C24CF2EE9E6}"/>
            </c:ext>
          </c:extLst>
        </c:ser>
        <c:ser>
          <c:idx val="24"/>
          <c:order val="24"/>
          <c:tx>
            <c:v>Ambang Impor</c:v>
          </c:tx>
          <c:spPr>
            <a:ln w="12700">
              <a:solidFill>
                <a:srgbClr val="E59A3C"/>
              </a:solidFill>
              <a:prstDash val="solid"/>
            </a:ln>
          </c:spPr>
          <c:marker>
            <c:symbol val="none"/>
          </c:marker>
          <c:xVal>
            <c:numRef>
              <c:f>'[1]Summary Kuadran (2)'!$F$7:$F$8</c:f>
              <c:numCache>
                <c:formatCode>General</c:formatCode>
                <c:ptCount val="2"/>
                <c:pt idx="0">
                  <c:v>27.317000559774954</c:v>
                </c:pt>
                <c:pt idx="1">
                  <c:v>27.317000559774954</c:v>
                </c:pt>
              </c:numCache>
            </c:numRef>
          </c:xVal>
          <c:yVal>
            <c:numRef>
              <c:f>'[1]Summary Kuadran (2)'!$G$7:$G$8</c:f>
              <c:numCache>
                <c:formatCode>General</c:formatCode>
                <c:ptCount val="2"/>
                <c:pt idx="0">
                  <c:v>0</c:v>
                </c:pt>
                <c:pt idx="1">
                  <c:v>85.600600803403282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244F-D84C-BFBC-5C24CF2EE9E6}"/>
            </c:ext>
          </c:extLst>
        </c:ser>
        <c:ser>
          <c:idx val="25"/>
          <c:order val="25"/>
          <c:tx>
            <c:v>Ambang Ekspor</c:v>
          </c:tx>
          <c:spPr>
            <a:ln w="12700">
              <a:solidFill>
                <a:srgbClr val="E59A3C"/>
              </a:solidFill>
              <a:prstDash val="solid"/>
            </a:ln>
          </c:spPr>
          <c:marker>
            <c:symbol val="none"/>
          </c:marker>
          <c:xVal>
            <c:numRef>
              <c:f>'[1]Summary Kuadran (2)'!$F$11:$F$12</c:f>
              <c:numCache>
                <c:formatCode>General</c:formatCode>
                <c:ptCount val="2"/>
                <c:pt idx="0">
                  <c:v>0</c:v>
                </c:pt>
                <c:pt idx="1">
                  <c:v>71.855899602880257</c:v>
                </c:pt>
              </c:numCache>
            </c:numRef>
          </c:xVal>
          <c:yVal>
            <c:numRef>
              <c:f>'[1]Summary Kuadran (2)'!$G$11:$G$12</c:f>
              <c:numCache>
                <c:formatCode>General</c:formatCode>
                <c:ptCount val="2"/>
                <c:pt idx="0">
                  <c:v>39.456601878176897</c:v>
                </c:pt>
                <c:pt idx="1">
                  <c:v>39.456601878176897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244F-D84C-BFBC-5C24CF2EE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Eksposur Impor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Eksposur Ekspor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sz="1400" b="1" i="0" u="none" strike="noStrike" kern="1200" baseline="0">
                <a:solidFill>
                  <a:srgbClr val="000000"/>
                </a:solidFill>
              </a:rPr>
              <a:t>Share Impor vs Ekspor Perusahaan berdasarkan Provinsi, 2015 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0693308080808081"/>
          <c:y val="8.3333333333333329E-2"/>
          <c:w val="0.85536780303030302"/>
          <c:h val="0.82497357593814291"/>
        </c:manualLayout>
      </c:layout>
      <c:scatterChart>
        <c:scatterStyle val="lineMarker"/>
        <c:varyColors val="1"/>
        <c:ser>
          <c:idx val="36"/>
          <c:order val="0"/>
          <c:tx>
            <c:strRef>
              <c:f>Summary!$A$31</c:f>
              <c:strCache>
                <c:ptCount val="1"/>
                <c:pt idx="0">
                  <c:v>Aceh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Summary!$B$31</c:f>
              <c:numCache>
                <c:formatCode>0.00</c:formatCode>
                <c:ptCount val="1"/>
                <c:pt idx="0">
                  <c:v>1.929859925632146</c:v>
                </c:pt>
              </c:numCache>
            </c:numRef>
          </c:xVal>
          <c:yVal>
            <c:numRef>
              <c:f>Summary!$C$31</c:f>
              <c:numCache>
                <c:formatCode>0.00</c:formatCode>
                <c:ptCount val="1"/>
                <c:pt idx="0">
                  <c:v>52.56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DC-F749-8934-E7998D1C90A2}"/>
            </c:ext>
          </c:extLst>
        </c:ser>
        <c:ser>
          <c:idx val="37"/>
          <c:order val="1"/>
          <c:tx>
            <c:strRef>
              <c:f>Summary!$A$32</c:f>
              <c:strCache>
                <c:ptCount val="1"/>
                <c:pt idx="0">
                  <c:v>Sumatera Utara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Summary!$B$32</c:f>
              <c:numCache>
                <c:formatCode>0.00</c:formatCode>
                <c:ptCount val="1"/>
                <c:pt idx="0">
                  <c:v>6.7991339115504994</c:v>
                </c:pt>
              </c:numCache>
            </c:numRef>
          </c:xVal>
          <c:yVal>
            <c:numRef>
              <c:f>Summary!$C$32</c:f>
              <c:numCache>
                <c:formatCode>0.00</c:formatCode>
                <c:ptCount val="1"/>
                <c:pt idx="0">
                  <c:v>73.708539000253751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DC-F749-8934-E7998D1C90A2}"/>
            </c:ext>
          </c:extLst>
        </c:ser>
        <c:ser>
          <c:idx val="38"/>
          <c:order val="2"/>
          <c:tx>
            <c:strRef>
              <c:f>Summary!$A$33</c:f>
              <c:strCache>
                <c:ptCount val="1"/>
                <c:pt idx="0">
                  <c:v>Sumatera Barat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Summary!$B$33</c:f>
              <c:numCache>
                <c:formatCode>0.00</c:formatCode>
                <c:ptCount val="1"/>
                <c:pt idx="0">
                  <c:v>0.73298033006151431</c:v>
                </c:pt>
              </c:numCache>
            </c:numRef>
          </c:xVal>
          <c:yVal>
            <c:numRef>
              <c:f>Summary!$C$33</c:f>
              <c:numCache>
                <c:formatCode>0.00</c:formatCode>
                <c:ptCount val="1"/>
                <c:pt idx="0">
                  <c:v>62.238102947337218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DC-F749-8934-E7998D1C90A2}"/>
            </c:ext>
          </c:extLst>
        </c:ser>
        <c:ser>
          <c:idx val="39"/>
          <c:order val="3"/>
          <c:tx>
            <c:strRef>
              <c:f>Summary!$A$34</c:f>
              <c:strCache>
                <c:ptCount val="1"/>
                <c:pt idx="0">
                  <c:v>Riau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Summary!$B$34</c:f>
              <c:numCache>
                <c:formatCode>0.00</c:formatCode>
                <c:ptCount val="1"/>
                <c:pt idx="0">
                  <c:v>0.47011442011741605</c:v>
                </c:pt>
              </c:numCache>
            </c:numRef>
          </c:xVal>
          <c:yVal>
            <c:numRef>
              <c:f>Summary!$C$34</c:f>
              <c:numCache>
                <c:formatCode>0.00</c:formatCode>
                <c:ptCount val="1"/>
                <c:pt idx="0">
                  <c:v>63.854099692619748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9DC-F749-8934-E7998D1C90A2}"/>
            </c:ext>
          </c:extLst>
        </c:ser>
        <c:ser>
          <c:idx val="40"/>
          <c:order val="4"/>
          <c:tx>
            <c:strRef>
              <c:f>Summary!$A$35</c:f>
              <c:strCache>
                <c:ptCount val="1"/>
                <c:pt idx="0">
                  <c:v>Jambi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Summary!$B$35</c:f>
              <c:numCache>
                <c:formatCode>0.00</c:formatCode>
                <c:ptCount val="1"/>
                <c:pt idx="0">
                  <c:v>0.46810596147328976</c:v>
                </c:pt>
              </c:numCache>
            </c:numRef>
          </c:xVal>
          <c:yVal>
            <c:numRef>
              <c:f>Summary!$C$35</c:f>
              <c:numCache>
                <c:formatCode>0.00</c:formatCode>
                <c:ptCount val="1"/>
                <c:pt idx="0">
                  <c:v>71.364534034398872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9DC-F749-8934-E7998D1C90A2}"/>
            </c:ext>
          </c:extLst>
        </c:ser>
        <c:ser>
          <c:idx val="41"/>
          <c:order val="5"/>
          <c:tx>
            <c:strRef>
              <c:f>Summary!$A$36</c:f>
              <c:strCache>
                <c:ptCount val="1"/>
                <c:pt idx="0">
                  <c:v>Sumatera Selatan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Summary!$B$36</c:f>
              <c:numCache>
                <c:formatCode>0.00</c:formatCode>
                <c:ptCount val="1"/>
                <c:pt idx="0">
                  <c:v>0.98438137574698803</c:v>
                </c:pt>
              </c:numCache>
            </c:numRef>
          </c:xVal>
          <c:yVal>
            <c:numRef>
              <c:f>Summary!$C$36</c:f>
              <c:numCache>
                <c:formatCode>0.00</c:formatCode>
                <c:ptCount val="1"/>
                <c:pt idx="0">
                  <c:v>82.283255813953488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9DC-F749-8934-E7998D1C90A2}"/>
            </c:ext>
          </c:extLst>
        </c:ser>
        <c:ser>
          <c:idx val="42"/>
          <c:order val="6"/>
          <c:tx>
            <c:strRef>
              <c:f>Summary!$A$37</c:f>
              <c:strCache>
                <c:ptCount val="1"/>
                <c:pt idx="0">
                  <c:v>Bengkulu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Summary!$B$37</c:f>
              <c:numCache>
                <c:formatCode>0.00</c:formatCode>
                <c:ptCount val="1"/>
                <c:pt idx="0">
                  <c:v>7.7126132794589066E-3</c:v>
                </c:pt>
              </c:numCache>
            </c:numRef>
          </c:xVal>
          <c:yVal>
            <c:numRef>
              <c:f>Summary!$C$37</c:f>
              <c:numCache>
                <c:formatCode>0.00</c:formatCode>
                <c:ptCount val="1"/>
                <c:pt idx="0">
                  <c:v>86.891999999999996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9DC-F749-8934-E7998D1C90A2}"/>
            </c:ext>
          </c:extLst>
        </c:ser>
        <c:ser>
          <c:idx val="43"/>
          <c:order val="7"/>
          <c:tx>
            <c:strRef>
              <c:f>Summary!$A$38</c:f>
              <c:strCache>
                <c:ptCount val="1"/>
                <c:pt idx="0">
                  <c:v>Lampung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Summary!$B$38</c:f>
              <c:numCache>
                <c:formatCode>0.00</c:formatCode>
                <c:ptCount val="1"/>
                <c:pt idx="0">
                  <c:v>13.294370087488325</c:v>
                </c:pt>
              </c:numCache>
            </c:numRef>
          </c:xVal>
          <c:yVal>
            <c:numRef>
              <c:f>Summary!$C$38</c:f>
              <c:numCache>
                <c:formatCode>0.00</c:formatCode>
                <c:ptCount val="1"/>
                <c:pt idx="0">
                  <c:v>66.907638888888883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9DC-F749-8934-E7998D1C90A2}"/>
            </c:ext>
          </c:extLst>
        </c:ser>
        <c:ser>
          <c:idx val="44"/>
          <c:order val="8"/>
          <c:tx>
            <c:strRef>
              <c:f>Summary!$A$39</c:f>
              <c:strCache>
                <c:ptCount val="1"/>
                <c:pt idx="0">
                  <c:v>Bangka Belitung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Summary!$B$39</c:f>
              <c:numCache>
                <c:formatCode>0.00</c:formatCode>
                <c:ptCount val="1"/>
                <c:pt idx="0">
                  <c:v>0.39376654288572144</c:v>
                </c:pt>
              </c:numCache>
            </c:numRef>
          </c:xVal>
          <c:yVal>
            <c:numRef>
              <c:f>Summary!$C$39</c:f>
              <c:numCache>
                <c:formatCode>0.00</c:formatCode>
                <c:ptCount val="1"/>
                <c:pt idx="0">
                  <c:v>88.029707214493683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9DC-F749-8934-E7998D1C90A2}"/>
            </c:ext>
          </c:extLst>
        </c:ser>
        <c:ser>
          <c:idx val="45"/>
          <c:order val="9"/>
          <c:tx>
            <c:strRef>
              <c:f>Summary!$A$40</c:f>
              <c:strCache>
                <c:ptCount val="1"/>
                <c:pt idx="0">
                  <c:v>Kepulauan Riau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Summary!$B$40</c:f>
              <c:numCache>
                <c:formatCode>0.00</c:formatCode>
                <c:ptCount val="1"/>
                <c:pt idx="0">
                  <c:v>38.265498903606506</c:v>
                </c:pt>
              </c:numCache>
            </c:numRef>
          </c:xVal>
          <c:yVal>
            <c:numRef>
              <c:f>Summary!$C$40</c:f>
              <c:numCache>
                <c:formatCode>0.00</c:formatCode>
                <c:ptCount val="1"/>
                <c:pt idx="0">
                  <c:v>77.710719236364028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9DC-F749-8934-E7998D1C90A2}"/>
            </c:ext>
          </c:extLst>
        </c:ser>
        <c:ser>
          <c:idx val="46"/>
          <c:order val="10"/>
          <c:tx>
            <c:strRef>
              <c:f>Summary!$A$41</c:f>
              <c:strCache>
                <c:ptCount val="1"/>
                <c:pt idx="0">
                  <c:v>Dki Jakarta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Summary!$B$41</c:f>
              <c:numCache>
                <c:formatCode>0.00</c:formatCode>
                <c:ptCount val="1"/>
                <c:pt idx="0">
                  <c:v>30.348546028602978</c:v>
                </c:pt>
              </c:numCache>
            </c:numRef>
          </c:xVal>
          <c:yVal>
            <c:numRef>
              <c:f>Summary!$C$41</c:f>
              <c:numCache>
                <c:formatCode>0.00</c:formatCode>
                <c:ptCount val="1"/>
                <c:pt idx="0">
                  <c:v>38.218826762575027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9DC-F749-8934-E7998D1C90A2}"/>
            </c:ext>
          </c:extLst>
        </c:ser>
        <c:ser>
          <c:idx val="47"/>
          <c:order val="11"/>
          <c:tx>
            <c:strRef>
              <c:f>Summary!$A$42</c:f>
              <c:strCache>
                <c:ptCount val="1"/>
                <c:pt idx="0">
                  <c:v>Jawa Barat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Summary!$B$42</c:f>
              <c:numCache>
                <c:formatCode>0.00</c:formatCode>
                <c:ptCount val="1"/>
                <c:pt idx="0">
                  <c:v>38.159048027228323</c:v>
                </c:pt>
              </c:numCache>
            </c:numRef>
          </c:xVal>
          <c:yVal>
            <c:numRef>
              <c:f>Summary!$C$42</c:f>
              <c:numCache>
                <c:formatCode>0.00</c:formatCode>
                <c:ptCount val="1"/>
                <c:pt idx="0">
                  <c:v>36.321701528575787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9DC-F749-8934-E7998D1C90A2}"/>
            </c:ext>
          </c:extLst>
        </c:ser>
        <c:ser>
          <c:idx val="48"/>
          <c:order val="12"/>
          <c:tx>
            <c:strRef>
              <c:f>Summary!$A$43</c:f>
              <c:strCache>
                <c:ptCount val="1"/>
                <c:pt idx="0">
                  <c:v>Jawa Tengah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Summary!$B$43</c:f>
              <c:numCache>
                <c:formatCode>0.00</c:formatCode>
                <c:ptCount val="1"/>
                <c:pt idx="0">
                  <c:v>20.383104570680779</c:v>
                </c:pt>
              </c:numCache>
            </c:numRef>
          </c:xVal>
          <c:yVal>
            <c:numRef>
              <c:f>Summary!$C$43</c:f>
              <c:numCache>
                <c:formatCode>0.00</c:formatCode>
                <c:ptCount val="1"/>
                <c:pt idx="0">
                  <c:v>74.558131852465024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9DC-F749-8934-E7998D1C90A2}"/>
            </c:ext>
          </c:extLst>
        </c:ser>
        <c:ser>
          <c:idx val="49"/>
          <c:order val="13"/>
          <c:tx>
            <c:strRef>
              <c:f>Summary!$A$44</c:f>
              <c:strCache>
                <c:ptCount val="1"/>
                <c:pt idx="0">
                  <c:v>Di Yogyakarta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Summary!$B$44</c:f>
              <c:numCache>
                <c:formatCode>0.00</c:formatCode>
                <c:ptCount val="1"/>
                <c:pt idx="0">
                  <c:v>31.068102571012485</c:v>
                </c:pt>
              </c:numCache>
            </c:numRef>
          </c:xVal>
          <c:yVal>
            <c:numRef>
              <c:f>Summary!$C$44</c:f>
              <c:numCache>
                <c:formatCode>0.00</c:formatCode>
                <c:ptCount val="1"/>
                <c:pt idx="0">
                  <c:v>77.384182029778884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9DC-F749-8934-E7998D1C90A2}"/>
            </c:ext>
          </c:extLst>
        </c:ser>
        <c:ser>
          <c:idx val="50"/>
          <c:order val="14"/>
          <c:tx>
            <c:strRef>
              <c:f>Summary!$A$45</c:f>
              <c:strCache>
                <c:ptCount val="1"/>
                <c:pt idx="0">
                  <c:v>Jawa Timur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Summary!$B$45</c:f>
              <c:numCache>
                <c:formatCode>0.00</c:formatCode>
                <c:ptCount val="1"/>
                <c:pt idx="0">
                  <c:v>21.309498325981874</c:v>
                </c:pt>
              </c:numCache>
            </c:numRef>
          </c:xVal>
          <c:yVal>
            <c:numRef>
              <c:f>Summary!$C$45</c:f>
              <c:numCache>
                <c:formatCode>0.00</c:formatCode>
                <c:ptCount val="1"/>
                <c:pt idx="0">
                  <c:v>43.31582197885821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9DC-F749-8934-E7998D1C90A2}"/>
            </c:ext>
          </c:extLst>
        </c:ser>
        <c:ser>
          <c:idx val="51"/>
          <c:order val="15"/>
          <c:tx>
            <c:strRef>
              <c:f>Summary!$A$46</c:f>
              <c:strCache>
                <c:ptCount val="1"/>
                <c:pt idx="0">
                  <c:v>Banten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Summary!$B$46</c:f>
              <c:numCache>
                <c:formatCode>0.00</c:formatCode>
                <c:ptCount val="1"/>
                <c:pt idx="0">
                  <c:v>29.487721766550308</c:v>
                </c:pt>
              </c:numCache>
            </c:numRef>
          </c:xVal>
          <c:yVal>
            <c:numRef>
              <c:f>Summary!$C$46</c:f>
              <c:numCache>
                <c:formatCode>0.00</c:formatCode>
                <c:ptCount val="1"/>
                <c:pt idx="0">
                  <c:v>36.117925642920071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9DC-F749-8934-E7998D1C90A2}"/>
            </c:ext>
          </c:extLst>
        </c:ser>
        <c:ser>
          <c:idx val="52"/>
          <c:order val="16"/>
          <c:tx>
            <c:strRef>
              <c:f>Summary!$A$47</c:f>
              <c:strCache>
                <c:ptCount val="1"/>
                <c:pt idx="0">
                  <c:v>Bali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Summary!$B$47</c:f>
              <c:numCache>
                <c:formatCode>0.00</c:formatCode>
                <c:ptCount val="1"/>
                <c:pt idx="0">
                  <c:v>16.101761344195907</c:v>
                </c:pt>
              </c:numCache>
            </c:numRef>
          </c:xVal>
          <c:yVal>
            <c:numRef>
              <c:f>Summary!$C$47</c:f>
              <c:numCache>
                <c:formatCode>0.00</c:formatCode>
                <c:ptCount val="1"/>
                <c:pt idx="0">
                  <c:v>75.207097984399795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9DC-F749-8934-E7998D1C90A2}"/>
            </c:ext>
          </c:extLst>
        </c:ser>
        <c:ser>
          <c:idx val="53"/>
          <c:order val="17"/>
          <c:tx>
            <c:strRef>
              <c:f>Summary!$A$48</c:f>
              <c:strCache>
                <c:ptCount val="1"/>
                <c:pt idx="0">
                  <c:v>Nusa Tenggara Barat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Summary!$B$48</c:f>
              <c:numCache>
                <c:formatCode>0.00</c:formatCode>
                <c:ptCount val="1"/>
                <c:pt idx="0">
                  <c:v>0.19869823007315399</c:v>
                </c:pt>
              </c:numCache>
            </c:numRef>
          </c:xVal>
          <c:yVal>
            <c:numRef>
              <c:f>Summary!$C$48</c:f>
              <c:numCache>
                <c:formatCode>0.00</c:formatCode>
                <c:ptCount val="1"/>
                <c:pt idx="0">
                  <c:v>68.24666666666667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59DC-F749-8934-E7998D1C90A2}"/>
            </c:ext>
          </c:extLst>
        </c:ser>
        <c:ser>
          <c:idx val="54"/>
          <c:order val="18"/>
          <c:tx>
            <c:strRef>
              <c:f>Summary!$A$49</c:f>
              <c:strCache>
                <c:ptCount val="1"/>
                <c:pt idx="0">
                  <c:v>Nusa Tenggara Timur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Summary!$B$49</c:f>
              <c:numCache>
                <c:formatCode>0.00</c:formatCode>
                <c:ptCount val="1"/>
                <c:pt idx="0">
                  <c:v>0.28042439538072655</c:v>
                </c:pt>
              </c:numCache>
            </c:numRef>
          </c:xVal>
          <c:yVal>
            <c:numRef>
              <c:f>Summary!$C$49</c:f>
              <c:numCache>
                <c:formatCode>0.00</c:formatCode>
                <c:ptCount val="1"/>
                <c:pt idx="0">
                  <c:v>56.023333333333333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59DC-F749-8934-E7998D1C90A2}"/>
            </c:ext>
          </c:extLst>
        </c:ser>
        <c:ser>
          <c:idx val="55"/>
          <c:order val="19"/>
          <c:tx>
            <c:strRef>
              <c:f>Summary!$A$50</c:f>
              <c:strCache>
                <c:ptCount val="1"/>
                <c:pt idx="0">
                  <c:v>Kalimantan Barat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Summary!$B$50</c:f>
              <c:numCache>
                <c:formatCode>0.00</c:formatCode>
                <c:ptCount val="1"/>
                <c:pt idx="0">
                  <c:v>1.342485736821704</c:v>
                </c:pt>
              </c:numCache>
            </c:numRef>
          </c:xVal>
          <c:yVal>
            <c:numRef>
              <c:f>Summary!$C$50</c:f>
              <c:numCache>
                <c:formatCode>0.00</c:formatCode>
                <c:ptCount val="1"/>
                <c:pt idx="0">
                  <c:v>72.314516129032256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59DC-F749-8934-E7998D1C90A2}"/>
            </c:ext>
          </c:extLst>
        </c:ser>
        <c:ser>
          <c:idx val="56"/>
          <c:order val="20"/>
          <c:tx>
            <c:strRef>
              <c:f>Summary!$A$51</c:f>
              <c:strCache>
                <c:ptCount val="1"/>
                <c:pt idx="0">
                  <c:v>Kalimantan Tengah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Summary!$B$51</c:f>
              <c:numCache>
                <c:formatCode>0.00</c:formatCode>
                <c:ptCount val="1"/>
                <c:pt idx="0">
                  <c:v>4.6489773354598134E-2</c:v>
                </c:pt>
              </c:numCache>
            </c:numRef>
          </c:xVal>
          <c:yVal>
            <c:numRef>
              <c:f>Summary!$C$51</c:f>
              <c:numCache>
                <c:formatCode>0.00</c:formatCode>
                <c:ptCount val="1"/>
                <c:pt idx="0">
                  <c:v>77.509251313827363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59DC-F749-8934-E7998D1C90A2}"/>
            </c:ext>
          </c:extLst>
        </c:ser>
        <c:ser>
          <c:idx val="57"/>
          <c:order val="21"/>
          <c:tx>
            <c:strRef>
              <c:f>Summary!$A$52</c:f>
              <c:strCache>
                <c:ptCount val="1"/>
                <c:pt idx="0">
                  <c:v>Kalimantan Selatan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Summary!$B$52</c:f>
              <c:numCache>
                <c:formatCode>0.00</c:formatCode>
                <c:ptCount val="1"/>
                <c:pt idx="0">
                  <c:v>3.1259433780205863</c:v>
                </c:pt>
              </c:numCache>
            </c:numRef>
          </c:xVal>
          <c:yVal>
            <c:numRef>
              <c:f>Summary!$C$52</c:f>
              <c:numCache>
                <c:formatCode>0.00</c:formatCode>
                <c:ptCount val="1"/>
                <c:pt idx="0">
                  <c:v>68.413124999999994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59DC-F749-8934-E7998D1C90A2}"/>
            </c:ext>
          </c:extLst>
        </c:ser>
        <c:ser>
          <c:idx val="58"/>
          <c:order val="22"/>
          <c:tx>
            <c:strRef>
              <c:f>Summary!$A$53</c:f>
              <c:strCache>
                <c:ptCount val="1"/>
                <c:pt idx="0">
                  <c:v>Kalimantan Timur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Summary!$B$53</c:f>
              <c:numCache>
                <c:formatCode>0.00</c:formatCode>
                <c:ptCount val="1"/>
                <c:pt idx="0">
                  <c:v>1.343861383581932</c:v>
                </c:pt>
              </c:numCache>
            </c:numRef>
          </c:xVal>
          <c:yVal>
            <c:numRef>
              <c:f>Summary!$C$53</c:f>
              <c:numCache>
                <c:formatCode>0.00</c:formatCode>
                <c:ptCount val="1"/>
                <c:pt idx="0">
                  <c:v>50.526144770635135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59DC-F749-8934-E7998D1C90A2}"/>
            </c:ext>
          </c:extLst>
        </c:ser>
        <c:ser>
          <c:idx val="59"/>
          <c:order val="23"/>
          <c:tx>
            <c:strRef>
              <c:f>Summary!$A$54</c:f>
              <c:strCache>
                <c:ptCount val="1"/>
                <c:pt idx="0">
                  <c:v>Kalimantan Utara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Summary!$B$54</c:f>
              <c:numCache>
                <c:formatCode>0.00</c:formatCode>
                <c:ptCount val="1"/>
                <c:pt idx="0">
                  <c:v>2.4233882812982643</c:v>
                </c:pt>
              </c:numCache>
            </c:numRef>
          </c:xVal>
          <c:yVal>
            <c:numRef>
              <c:f>Summary!$C$54</c:f>
              <c:numCache>
                <c:formatCode>0.00</c:formatCode>
                <c:ptCount val="1"/>
                <c:pt idx="0">
                  <c:v>88.94517294241794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59DC-F749-8934-E7998D1C90A2}"/>
            </c:ext>
          </c:extLst>
        </c:ser>
        <c:ser>
          <c:idx val="60"/>
          <c:order val="24"/>
          <c:tx>
            <c:strRef>
              <c:f>Summary!$A$55</c:f>
              <c:strCache>
                <c:ptCount val="1"/>
                <c:pt idx="0">
                  <c:v>Sulawesi Utara</c:v>
                </c:pt>
              </c:strCache>
            </c:strRef>
          </c:tx>
          <c:spPr>
            <a:ln w="12700">
              <a:solidFill>
                <a:srgbClr val="E59A3C"/>
              </a:solidFill>
              <a:prstDash val="solid"/>
            </a:ln>
          </c:spPr>
          <c:xVal>
            <c:numRef>
              <c:f>Summary!$B$55</c:f>
              <c:numCache>
                <c:formatCode>0.00</c:formatCode>
                <c:ptCount val="1"/>
                <c:pt idx="0">
                  <c:v>1.6310036026666115</c:v>
                </c:pt>
              </c:numCache>
            </c:numRef>
          </c:xVal>
          <c:yVal>
            <c:numRef>
              <c:f>Summary!$C$55</c:f>
              <c:numCache>
                <c:formatCode>0.00</c:formatCode>
                <c:ptCount val="1"/>
                <c:pt idx="0">
                  <c:v>61.759705882352939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59DC-F749-8934-E7998D1C90A2}"/>
            </c:ext>
          </c:extLst>
        </c:ser>
        <c:ser>
          <c:idx val="61"/>
          <c:order val="25"/>
          <c:tx>
            <c:strRef>
              <c:f>Summary!$A$56</c:f>
              <c:strCache>
                <c:ptCount val="1"/>
                <c:pt idx="0">
                  <c:v>Sulawesi Tengah</c:v>
                </c:pt>
              </c:strCache>
            </c:strRef>
          </c:tx>
          <c:spPr>
            <a:ln w="12700">
              <a:solidFill>
                <a:srgbClr val="E59A3C"/>
              </a:solidFill>
              <a:prstDash val="solid"/>
            </a:ln>
          </c:spPr>
          <c:xVal>
            <c:numRef>
              <c:f>Summary!$B$56</c:f>
              <c:numCache>
                <c:formatCode>0.00</c:formatCode>
                <c:ptCount val="1"/>
                <c:pt idx="0">
                  <c:v>6.3964781868707021E-2</c:v>
                </c:pt>
              </c:numCache>
            </c:numRef>
          </c:xVal>
          <c:yVal>
            <c:numRef>
              <c:f>Summary!$C$56</c:f>
              <c:numCache>
                <c:formatCode>0.00</c:formatCode>
                <c:ptCount val="1"/>
                <c:pt idx="0">
                  <c:v>73.008181818181825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59DC-F749-8934-E7998D1C90A2}"/>
            </c:ext>
          </c:extLst>
        </c:ser>
        <c:ser>
          <c:idx val="62"/>
          <c:order val="26"/>
          <c:tx>
            <c:strRef>
              <c:f>Summary!$A$57</c:f>
              <c:strCache>
                <c:ptCount val="1"/>
                <c:pt idx="0">
                  <c:v>Sulawesi Selatan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Summary!$B$57</c:f>
              <c:numCache>
                <c:formatCode>0.00</c:formatCode>
                <c:ptCount val="1"/>
                <c:pt idx="0">
                  <c:v>15.628928388257011</c:v>
                </c:pt>
              </c:numCache>
            </c:numRef>
          </c:xVal>
          <c:yVal>
            <c:numRef>
              <c:f>Summary!$C$57</c:f>
              <c:numCache>
                <c:formatCode>0.00</c:formatCode>
                <c:ptCount val="1"/>
                <c:pt idx="0">
                  <c:v>67.40150537634409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59DC-F749-8934-E7998D1C90A2}"/>
            </c:ext>
          </c:extLst>
        </c:ser>
        <c:ser>
          <c:idx val="63"/>
          <c:order val="27"/>
          <c:tx>
            <c:strRef>
              <c:f>Summary!$A$58</c:f>
              <c:strCache>
                <c:ptCount val="1"/>
                <c:pt idx="0">
                  <c:v>Sulawesi Tenggara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Summary!$B$58</c:f>
              <c:numCache>
                <c:formatCode>0.00</c:formatCode>
                <c:ptCount val="1"/>
                <c:pt idx="0">
                  <c:v>0.23156513296862685</c:v>
                </c:pt>
              </c:numCache>
            </c:numRef>
          </c:xVal>
          <c:yVal>
            <c:numRef>
              <c:f>Summary!$C$58</c:f>
              <c:numCache>
                <c:formatCode>0.00</c:formatCode>
                <c:ptCount val="1"/>
                <c:pt idx="0">
                  <c:v>96.578947368421055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59DC-F749-8934-E7998D1C90A2}"/>
            </c:ext>
          </c:extLst>
        </c:ser>
        <c:ser>
          <c:idx val="64"/>
          <c:order val="28"/>
          <c:tx>
            <c:strRef>
              <c:f>Summary!$A$59</c:f>
              <c:strCache>
                <c:ptCount val="1"/>
                <c:pt idx="0">
                  <c:v>Gorontalo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Summary!$B$59</c:f>
              <c:numCache>
                <c:formatCode>0.00</c:formatCode>
                <c:ptCount val="1"/>
                <c:pt idx="0">
                  <c:v>1.9962619298038233</c:v>
                </c:pt>
              </c:numCache>
            </c:numRef>
          </c:xVal>
          <c:yVal>
            <c:numRef>
              <c:f>Summary!$C$59</c:f>
              <c:numCache>
                <c:formatCode>0.00</c:formatCode>
                <c:ptCount val="1"/>
                <c:pt idx="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59DC-F749-8934-E7998D1C90A2}"/>
            </c:ext>
          </c:extLst>
        </c:ser>
        <c:ser>
          <c:idx val="65"/>
          <c:order val="29"/>
          <c:tx>
            <c:strRef>
              <c:f>Summary!$A$60</c:f>
              <c:strCache>
                <c:ptCount val="1"/>
                <c:pt idx="0">
                  <c:v>Sulawesi Barat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Summary!$B$60</c:f>
              <c:numCache>
                <c:formatCode>0.00</c:formatCode>
                <c:ptCount val="1"/>
                <c:pt idx="0">
                  <c:v>0.29562665500740692</c:v>
                </c:pt>
              </c:numCache>
            </c:numRef>
          </c:xVal>
          <c:yVal>
            <c:numRef>
              <c:f>Summary!$C$60</c:f>
              <c:numCache>
                <c:formatCode>0.00</c:formatCode>
                <c:ptCount val="1"/>
                <c:pt idx="0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59DC-F749-8934-E7998D1C90A2}"/>
            </c:ext>
          </c:extLst>
        </c:ser>
        <c:ser>
          <c:idx val="66"/>
          <c:order val="30"/>
          <c:tx>
            <c:strRef>
              <c:f>Summary!$A$61</c:f>
              <c:strCache>
                <c:ptCount val="1"/>
                <c:pt idx="0">
                  <c:v>Maluku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Summary!$B$61</c:f>
              <c:numCache>
                <c:formatCode>0.00</c:formatCode>
                <c:ptCount val="1"/>
                <c:pt idx="0">
                  <c:v>7.864306856810957E-2</c:v>
                </c:pt>
              </c:numCache>
            </c:numRef>
          </c:xVal>
          <c:yVal>
            <c:numRef>
              <c:f>Summary!$C$61</c:f>
              <c:numCache>
                <c:formatCode>0.00</c:formatCode>
                <c:ptCount val="1"/>
                <c:pt idx="0">
                  <c:v>93.843571428571423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59DC-F749-8934-E7998D1C90A2}"/>
            </c:ext>
          </c:extLst>
        </c:ser>
        <c:ser>
          <c:idx val="67"/>
          <c:order val="31"/>
          <c:tx>
            <c:strRef>
              <c:f>Summary!$A$62</c:f>
              <c:strCache>
                <c:ptCount val="1"/>
                <c:pt idx="0">
                  <c:v>Maluku Utara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Summary!$B$62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Summary!$C$62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59DC-F749-8934-E7998D1C90A2}"/>
            </c:ext>
          </c:extLst>
        </c:ser>
        <c:ser>
          <c:idx val="68"/>
          <c:order val="32"/>
          <c:tx>
            <c:strRef>
              <c:f>Summary!$A$63</c:f>
              <c:strCache>
                <c:ptCount val="1"/>
                <c:pt idx="0">
                  <c:v>Papua Barat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Summary!$B$63</c:f>
              <c:numCache>
                <c:formatCode>0.00</c:formatCode>
                <c:ptCount val="1"/>
                <c:pt idx="0">
                  <c:v>3.7155316166160226</c:v>
                </c:pt>
              </c:numCache>
            </c:numRef>
          </c:xVal>
          <c:yVal>
            <c:numRef>
              <c:f>Summary!$C$63</c:f>
              <c:numCache>
                <c:formatCode>0.00</c:formatCode>
                <c:ptCount val="1"/>
                <c:pt idx="0">
                  <c:v>80.656000000000006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59DC-F749-8934-E7998D1C90A2}"/>
            </c:ext>
          </c:extLst>
        </c:ser>
        <c:ser>
          <c:idx val="69"/>
          <c:order val="33"/>
          <c:tx>
            <c:strRef>
              <c:f>Summary!$A$64</c:f>
              <c:strCache>
                <c:ptCount val="1"/>
                <c:pt idx="0">
                  <c:v>Papua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Summary!$B$64</c:f>
              <c:numCache>
                <c:formatCode>0.00</c:formatCode>
                <c:ptCount val="1"/>
                <c:pt idx="0">
                  <c:v>9.9857625028971202E-3</c:v>
                </c:pt>
              </c:numCache>
            </c:numRef>
          </c:xVal>
          <c:yVal>
            <c:numRef>
              <c:f>Summary!$C$64</c:f>
              <c:numCache>
                <c:formatCode>0.00</c:formatCode>
                <c:ptCount val="1"/>
                <c:pt idx="0">
                  <c:v>67.930430626477431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59DC-F749-8934-E7998D1C90A2}"/>
            </c:ext>
          </c:extLst>
        </c:ser>
        <c:ser>
          <c:idx val="70"/>
          <c:order val="34"/>
          <c:tx>
            <c:v>Impor</c:v>
          </c:tx>
          <c:spPr>
            <a:ln w="19050">
              <a:solidFill>
                <a:srgbClr val="E59A3C"/>
              </a:solidFill>
            </a:ln>
          </c:spPr>
          <c:xVal>
            <c:numRef>
              <c:f>Summary!$F$48:$F$49</c:f>
              <c:numCache>
                <c:formatCode>0.00</c:formatCode>
                <c:ptCount val="2"/>
                <c:pt idx="0">
                  <c:v>1.4874324931242717</c:v>
                </c:pt>
                <c:pt idx="1">
                  <c:v>1.4874324931242717</c:v>
                </c:pt>
              </c:numCache>
            </c:numRef>
          </c:xVal>
          <c:yVal>
            <c:numRef>
              <c:f>Summary!$G$48:$G$49</c:f>
              <c:numCache>
                <c:formatCode>0.00</c:formatCode>
                <c:ptCount val="2"/>
                <c:pt idx="0">
                  <c:v>0</c:v>
                </c:pt>
                <c:pt idx="1">
                  <c:v>110.00000000000001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59DC-F749-8934-E7998D1C90A2}"/>
            </c:ext>
          </c:extLst>
        </c:ser>
        <c:ser>
          <c:idx val="71"/>
          <c:order val="35"/>
          <c:tx>
            <c:v>Ekspor</c:v>
          </c:tx>
          <c:spPr>
            <a:ln w="19050">
              <a:solidFill>
                <a:srgbClr val="E59A3C"/>
              </a:solidFill>
            </a:ln>
          </c:spPr>
          <c:xVal>
            <c:numRef>
              <c:f>Summary!$F$52:$F$53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42.092048793967159</c:v>
                </c:pt>
              </c:numCache>
            </c:numRef>
          </c:xVal>
          <c:yVal>
            <c:numRef>
              <c:f>Summary!$G$52:$G$53</c:f>
              <c:numCache>
                <c:formatCode>0.00</c:formatCode>
                <c:ptCount val="2"/>
                <c:pt idx="0">
                  <c:v>71.839525081715564</c:v>
                </c:pt>
                <c:pt idx="1">
                  <c:v>71.839525081715564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59DC-F749-8934-E7998D1C90A2}"/>
            </c:ext>
          </c:extLst>
        </c:ser>
        <c:ser>
          <c:idx val="0"/>
          <c:order val="36"/>
          <c:tx>
            <c:strRef>
              <c:f>Summary!$A$31</c:f>
              <c:strCache>
                <c:ptCount val="1"/>
                <c:pt idx="0">
                  <c:v>Aceh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Summary!$B$31</c:f>
              <c:numCache>
                <c:formatCode>0.00</c:formatCode>
                <c:ptCount val="1"/>
                <c:pt idx="0">
                  <c:v>1.929859925632146</c:v>
                </c:pt>
              </c:numCache>
            </c:numRef>
          </c:xVal>
          <c:yVal>
            <c:numRef>
              <c:f>Summary!$C$31</c:f>
              <c:numCache>
                <c:formatCode>0.00</c:formatCode>
                <c:ptCount val="1"/>
                <c:pt idx="0">
                  <c:v>52.56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59DC-F749-8934-E7998D1C90A2}"/>
            </c:ext>
          </c:extLst>
        </c:ser>
        <c:ser>
          <c:idx val="1"/>
          <c:order val="37"/>
          <c:tx>
            <c:strRef>
              <c:f>Summary!$A$32</c:f>
              <c:strCache>
                <c:ptCount val="1"/>
                <c:pt idx="0">
                  <c:v>Sumatera Utara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Summary!$B$32</c:f>
              <c:numCache>
                <c:formatCode>0.00</c:formatCode>
                <c:ptCount val="1"/>
                <c:pt idx="0">
                  <c:v>6.7991339115504994</c:v>
                </c:pt>
              </c:numCache>
            </c:numRef>
          </c:xVal>
          <c:yVal>
            <c:numRef>
              <c:f>Summary!$C$32</c:f>
              <c:numCache>
                <c:formatCode>0.00</c:formatCode>
                <c:ptCount val="1"/>
                <c:pt idx="0">
                  <c:v>73.708539000253751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59DC-F749-8934-E7998D1C90A2}"/>
            </c:ext>
          </c:extLst>
        </c:ser>
        <c:ser>
          <c:idx val="2"/>
          <c:order val="38"/>
          <c:tx>
            <c:strRef>
              <c:f>Summary!$A$33</c:f>
              <c:strCache>
                <c:ptCount val="1"/>
                <c:pt idx="0">
                  <c:v>Sumatera Barat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Summary!$B$33</c:f>
              <c:numCache>
                <c:formatCode>0.00</c:formatCode>
                <c:ptCount val="1"/>
                <c:pt idx="0">
                  <c:v>0.73298033006151431</c:v>
                </c:pt>
              </c:numCache>
            </c:numRef>
          </c:xVal>
          <c:yVal>
            <c:numRef>
              <c:f>Summary!$C$33</c:f>
              <c:numCache>
                <c:formatCode>0.00</c:formatCode>
                <c:ptCount val="1"/>
                <c:pt idx="0">
                  <c:v>62.238102947337218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59DC-F749-8934-E7998D1C90A2}"/>
            </c:ext>
          </c:extLst>
        </c:ser>
        <c:ser>
          <c:idx val="3"/>
          <c:order val="39"/>
          <c:tx>
            <c:strRef>
              <c:f>Summary!$A$34</c:f>
              <c:strCache>
                <c:ptCount val="1"/>
                <c:pt idx="0">
                  <c:v>Riau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Summary!$B$34</c:f>
              <c:numCache>
                <c:formatCode>0.00</c:formatCode>
                <c:ptCount val="1"/>
                <c:pt idx="0">
                  <c:v>0.47011442011741605</c:v>
                </c:pt>
              </c:numCache>
            </c:numRef>
          </c:xVal>
          <c:yVal>
            <c:numRef>
              <c:f>Summary!$C$34</c:f>
              <c:numCache>
                <c:formatCode>0.00</c:formatCode>
                <c:ptCount val="1"/>
                <c:pt idx="0">
                  <c:v>63.854099692619748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7-59DC-F749-8934-E7998D1C90A2}"/>
            </c:ext>
          </c:extLst>
        </c:ser>
        <c:ser>
          <c:idx val="4"/>
          <c:order val="40"/>
          <c:tx>
            <c:strRef>
              <c:f>Summary!$A$35</c:f>
              <c:strCache>
                <c:ptCount val="1"/>
                <c:pt idx="0">
                  <c:v>Jambi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Summary!$B$35</c:f>
              <c:numCache>
                <c:formatCode>0.00</c:formatCode>
                <c:ptCount val="1"/>
                <c:pt idx="0">
                  <c:v>0.46810596147328976</c:v>
                </c:pt>
              </c:numCache>
            </c:numRef>
          </c:xVal>
          <c:yVal>
            <c:numRef>
              <c:f>Summary!$C$35</c:f>
              <c:numCache>
                <c:formatCode>0.00</c:formatCode>
                <c:ptCount val="1"/>
                <c:pt idx="0">
                  <c:v>71.364534034398872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8-59DC-F749-8934-E7998D1C90A2}"/>
            </c:ext>
          </c:extLst>
        </c:ser>
        <c:ser>
          <c:idx val="5"/>
          <c:order val="41"/>
          <c:tx>
            <c:strRef>
              <c:f>Summary!$A$36</c:f>
              <c:strCache>
                <c:ptCount val="1"/>
                <c:pt idx="0">
                  <c:v>Sumatera Selatan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Summary!$B$36</c:f>
              <c:numCache>
                <c:formatCode>0.00</c:formatCode>
                <c:ptCount val="1"/>
                <c:pt idx="0">
                  <c:v>0.98438137574698803</c:v>
                </c:pt>
              </c:numCache>
            </c:numRef>
          </c:xVal>
          <c:yVal>
            <c:numRef>
              <c:f>Summary!$C$36</c:f>
              <c:numCache>
                <c:formatCode>0.00</c:formatCode>
                <c:ptCount val="1"/>
                <c:pt idx="0">
                  <c:v>82.283255813953488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9-59DC-F749-8934-E7998D1C90A2}"/>
            </c:ext>
          </c:extLst>
        </c:ser>
        <c:ser>
          <c:idx val="6"/>
          <c:order val="42"/>
          <c:tx>
            <c:strRef>
              <c:f>Summary!$A$37</c:f>
              <c:strCache>
                <c:ptCount val="1"/>
                <c:pt idx="0">
                  <c:v>Bengkulu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Summary!$B$37</c:f>
              <c:numCache>
                <c:formatCode>0.00</c:formatCode>
                <c:ptCount val="1"/>
                <c:pt idx="0">
                  <c:v>7.7126132794589066E-3</c:v>
                </c:pt>
              </c:numCache>
            </c:numRef>
          </c:xVal>
          <c:yVal>
            <c:numRef>
              <c:f>Summary!$C$37</c:f>
              <c:numCache>
                <c:formatCode>0.00</c:formatCode>
                <c:ptCount val="1"/>
                <c:pt idx="0">
                  <c:v>86.891999999999996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A-59DC-F749-8934-E7998D1C90A2}"/>
            </c:ext>
          </c:extLst>
        </c:ser>
        <c:ser>
          <c:idx val="7"/>
          <c:order val="43"/>
          <c:tx>
            <c:strRef>
              <c:f>Summary!$A$38</c:f>
              <c:strCache>
                <c:ptCount val="1"/>
                <c:pt idx="0">
                  <c:v>Lampung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4.8106060606061193E-3"/>
                  <c:y val="6.7567567567566739E-3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59DC-F749-8934-E7998D1C90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Summary!$B$38</c:f>
              <c:numCache>
                <c:formatCode>0.00</c:formatCode>
                <c:ptCount val="1"/>
                <c:pt idx="0">
                  <c:v>13.294370087488325</c:v>
                </c:pt>
              </c:numCache>
            </c:numRef>
          </c:xVal>
          <c:yVal>
            <c:numRef>
              <c:f>Summary!$C$38</c:f>
              <c:numCache>
                <c:formatCode>0.00</c:formatCode>
                <c:ptCount val="1"/>
                <c:pt idx="0">
                  <c:v>66.907638888888883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C-59DC-F749-8934-E7998D1C90A2}"/>
            </c:ext>
          </c:extLst>
        </c:ser>
        <c:ser>
          <c:idx val="8"/>
          <c:order val="44"/>
          <c:tx>
            <c:strRef>
              <c:f>Summary!$A$39</c:f>
              <c:strCache>
                <c:ptCount val="1"/>
                <c:pt idx="0">
                  <c:v>Bangka Belitung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Summary!$B$39</c:f>
              <c:numCache>
                <c:formatCode>0.00</c:formatCode>
                <c:ptCount val="1"/>
                <c:pt idx="0">
                  <c:v>0.39376654288572144</c:v>
                </c:pt>
              </c:numCache>
            </c:numRef>
          </c:xVal>
          <c:yVal>
            <c:numRef>
              <c:f>Summary!$C$39</c:f>
              <c:numCache>
                <c:formatCode>0.00</c:formatCode>
                <c:ptCount val="1"/>
                <c:pt idx="0">
                  <c:v>88.029707214493683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D-59DC-F749-8934-E7998D1C90A2}"/>
            </c:ext>
          </c:extLst>
        </c:ser>
        <c:ser>
          <c:idx val="9"/>
          <c:order val="45"/>
          <c:tx>
            <c:strRef>
              <c:f>Summary!$A$40</c:f>
              <c:strCache>
                <c:ptCount val="1"/>
                <c:pt idx="0">
                  <c:v>Kepulauan Riau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Summary!$B$40</c:f>
              <c:numCache>
                <c:formatCode>0.00</c:formatCode>
                <c:ptCount val="1"/>
                <c:pt idx="0">
                  <c:v>38.265498903606506</c:v>
                </c:pt>
              </c:numCache>
            </c:numRef>
          </c:xVal>
          <c:yVal>
            <c:numRef>
              <c:f>Summary!$C$40</c:f>
              <c:numCache>
                <c:formatCode>0.00</c:formatCode>
                <c:ptCount val="1"/>
                <c:pt idx="0">
                  <c:v>77.710719236364028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E-59DC-F749-8934-E7998D1C90A2}"/>
            </c:ext>
          </c:extLst>
        </c:ser>
        <c:ser>
          <c:idx val="10"/>
          <c:order val="46"/>
          <c:tx>
            <c:strRef>
              <c:f>Summary!$A$41</c:f>
              <c:strCache>
                <c:ptCount val="1"/>
                <c:pt idx="0">
                  <c:v>Dki Jakarta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Summary!$B$41</c:f>
              <c:numCache>
                <c:formatCode>0.00</c:formatCode>
                <c:ptCount val="1"/>
                <c:pt idx="0">
                  <c:v>30.348546028602978</c:v>
                </c:pt>
              </c:numCache>
            </c:numRef>
          </c:xVal>
          <c:yVal>
            <c:numRef>
              <c:f>Summary!$C$41</c:f>
              <c:numCache>
                <c:formatCode>0.00</c:formatCode>
                <c:ptCount val="1"/>
                <c:pt idx="0">
                  <c:v>38.218826762575027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F-59DC-F749-8934-E7998D1C90A2}"/>
            </c:ext>
          </c:extLst>
        </c:ser>
        <c:ser>
          <c:idx val="11"/>
          <c:order val="47"/>
          <c:tx>
            <c:strRef>
              <c:f>Summary!$A$42</c:f>
              <c:strCache>
                <c:ptCount val="1"/>
                <c:pt idx="0">
                  <c:v>Jawa Barat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Summary!$B$42</c:f>
              <c:numCache>
                <c:formatCode>0.00</c:formatCode>
                <c:ptCount val="1"/>
                <c:pt idx="0">
                  <c:v>38.159048027228323</c:v>
                </c:pt>
              </c:numCache>
            </c:numRef>
          </c:xVal>
          <c:yVal>
            <c:numRef>
              <c:f>Summary!$C$42</c:f>
              <c:numCache>
                <c:formatCode>0.00</c:formatCode>
                <c:ptCount val="1"/>
                <c:pt idx="0">
                  <c:v>36.321701528575787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0-59DC-F749-8934-E7998D1C90A2}"/>
            </c:ext>
          </c:extLst>
        </c:ser>
        <c:ser>
          <c:idx val="12"/>
          <c:order val="48"/>
          <c:tx>
            <c:strRef>
              <c:f>Summary!$A$43</c:f>
              <c:strCache>
                <c:ptCount val="1"/>
                <c:pt idx="0">
                  <c:v>Jawa Tengah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Summary!$B$43</c:f>
              <c:numCache>
                <c:formatCode>0.00</c:formatCode>
                <c:ptCount val="1"/>
                <c:pt idx="0">
                  <c:v>20.383104570680779</c:v>
                </c:pt>
              </c:numCache>
            </c:numRef>
          </c:xVal>
          <c:yVal>
            <c:numRef>
              <c:f>Summary!$C$43</c:f>
              <c:numCache>
                <c:formatCode>0.00</c:formatCode>
                <c:ptCount val="1"/>
                <c:pt idx="0">
                  <c:v>74.558131852465024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1-59DC-F749-8934-E7998D1C90A2}"/>
            </c:ext>
          </c:extLst>
        </c:ser>
        <c:ser>
          <c:idx val="13"/>
          <c:order val="49"/>
          <c:tx>
            <c:strRef>
              <c:f>Summary!$A$44</c:f>
              <c:strCache>
                <c:ptCount val="1"/>
                <c:pt idx="0">
                  <c:v>Di Yogyakarta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Summary!$B$44</c:f>
              <c:numCache>
                <c:formatCode>0.00</c:formatCode>
                <c:ptCount val="1"/>
                <c:pt idx="0">
                  <c:v>31.068102571012485</c:v>
                </c:pt>
              </c:numCache>
            </c:numRef>
          </c:xVal>
          <c:yVal>
            <c:numRef>
              <c:f>Summary!$C$44</c:f>
              <c:numCache>
                <c:formatCode>0.00</c:formatCode>
                <c:ptCount val="1"/>
                <c:pt idx="0">
                  <c:v>77.384182029778884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2-59DC-F749-8934-E7998D1C90A2}"/>
            </c:ext>
          </c:extLst>
        </c:ser>
        <c:ser>
          <c:idx val="14"/>
          <c:order val="50"/>
          <c:tx>
            <c:strRef>
              <c:f>Summary!$A$45</c:f>
              <c:strCache>
                <c:ptCount val="1"/>
                <c:pt idx="0">
                  <c:v>Jawa Timur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Summary!$B$45</c:f>
              <c:numCache>
                <c:formatCode>0.00</c:formatCode>
                <c:ptCount val="1"/>
                <c:pt idx="0">
                  <c:v>21.309498325981874</c:v>
                </c:pt>
              </c:numCache>
            </c:numRef>
          </c:xVal>
          <c:yVal>
            <c:numRef>
              <c:f>Summary!$C$45</c:f>
              <c:numCache>
                <c:formatCode>0.00</c:formatCode>
                <c:ptCount val="1"/>
                <c:pt idx="0">
                  <c:v>43.31582197885821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3-59DC-F749-8934-E7998D1C90A2}"/>
            </c:ext>
          </c:extLst>
        </c:ser>
        <c:ser>
          <c:idx val="15"/>
          <c:order val="51"/>
          <c:tx>
            <c:strRef>
              <c:f>Summary!$A$46</c:f>
              <c:strCache>
                <c:ptCount val="1"/>
                <c:pt idx="0">
                  <c:v>Banten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Summary!$B$46</c:f>
              <c:numCache>
                <c:formatCode>0.00</c:formatCode>
                <c:ptCount val="1"/>
                <c:pt idx="0">
                  <c:v>29.487721766550308</c:v>
                </c:pt>
              </c:numCache>
            </c:numRef>
          </c:xVal>
          <c:yVal>
            <c:numRef>
              <c:f>Summary!$C$46</c:f>
              <c:numCache>
                <c:formatCode>0.00</c:formatCode>
                <c:ptCount val="1"/>
                <c:pt idx="0">
                  <c:v>36.117925642920071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4-59DC-F749-8934-E7998D1C90A2}"/>
            </c:ext>
          </c:extLst>
        </c:ser>
        <c:ser>
          <c:idx val="16"/>
          <c:order val="52"/>
          <c:tx>
            <c:strRef>
              <c:f>Summary!$A$47</c:f>
              <c:strCache>
                <c:ptCount val="1"/>
                <c:pt idx="0">
                  <c:v>Bali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Summary!$B$47</c:f>
              <c:numCache>
                <c:formatCode>0.00</c:formatCode>
                <c:ptCount val="1"/>
                <c:pt idx="0">
                  <c:v>16.101761344195907</c:v>
                </c:pt>
              </c:numCache>
            </c:numRef>
          </c:xVal>
          <c:yVal>
            <c:numRef>
              <c:f>Summary!$C$47</c:f>
              <c:numCache>
                <c:formatCode>0.00</c:formatCode>
                <c:ptCount val="1"/>
                <c:pt idx="0">
                  <c:v>75.207097984399795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5-59DC-F749-8934-E7998D1C90A2}"/>
            </c:ext>
          </c:extLst>
        </c:ser>
        <c:ser>
          <c:idx val="17"/>
          <c:order val="53"/>
          <c:tx>
            <c:strRef>
              <c:f>Summary!$A$48</c:f>
              <c:strCache>
                <c:ptCount val="1"/>
                <c:pt idx="0">
                  <c:v>Nusa Tenggara Barat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Summary!$B$48</c:f>
              <c:numCache>
                <c:formatCode>0.00</c:formatCode>
                <c:ptCount val="1"/>
                <c:pt idx="0">
                  <c:v>0.19869823007315399</c:v>
                </c:pt>
              </c:numCache>
            </c:numRef>
          </c:xVal>
          <c:yVal>
            <c:numRef>
              <c:f>Summary!$C$48</c:f>
              <c:numCache>
                <c:formatCode>0.00</c:formatCode>
                <c:ptCount val="1"/>
                <c:pt idx="0">
                  <c:v>68.24666666666667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6-59DC-F749-8934-E7998D1C90A2}"/>
            </c:ext>
          </c:extLst>
        </c:ser>
        <c:ser>
          <c:idx val="18"/>
          <c:order val="54"/>
          <c:tx>
            <c:strRef>
              <c:f>Summary!$A$49</c:f>
              <c:strCache>
                <c:ptCount val="1"/>
                <c:pt idx="0">
                  <c:v>Nusa Tenggara Timur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Summary!$B$49</c:f>
              <c:numCache>
                <c:formatCode>0.00</c:formatCode>
                <c:ptCount val="1"/>
                <c:pt idx="0">
                  <c:v>0.28042439538072655</c:v>
                </c:pt>
              </c:numCache>
            </c:numRef>
          </c:xVal>
          <c:yVal>
            <c:numRef>
              <c:f>Summary!$C$49</c:f>
              <c:numCache>
                <c:formatCode>0.00</c:formatCode>
                <c:ptCount val="1"/>
                <c:pt idx="0">
                  <c:v>56.023333333333333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7-59DC-F749-8934-E7998D1C90A2}"/>
            </c:ext>
          </c:extLst>
        </c:ser>
        <c:ser>
          <c:idx val="19"/>
          <c:order val="55"/>
          <c:tx>
            <c:strRef>
              <c:f>Summary!$A$50</c:f>
              <c:strCache>
                <c:ptCount val="1"/>
                <c:pt idx="0">
                  <c:v>Kalimantan Barat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Summary!$B$50</c:f>
              <c:numCache>
                <c:formatCode>0.00</c:formatCode>
                <c:ptCount val="1"/>
                <c:pt idx="0">
                  <c:v>1.342485736821704</c:v>
                </c:pt>
              </c:numCache>
            </c:numRef>
          </c:xVal>
          <c:yVal>
            <c:numRef>
              <c:f>Summary!$C$50</c:f>
              <c:numCache>
                <c:formatCode>0.00</c:formatCode>
                <c:ptCount val="1"/>
                <c:pt idx="0">
                  <c:v>72.314516129032256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8-59DC-F749-8934-E7998D1C90A2}"/>
            </c:ext>
          </c:extLst>
        </c:ser>
        <c:ser>
          <c:idx val="20"/>
          <c:order val="56"/>
          <c:tx>
            <c:strRef>
              <c:f>Summary!$A$51</c:f>
              <c:strCache>
                <c:ptCount val="1"/>
                <c:pt idx="0">
                  <c:v>Kalimantan Tengah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Summary!$B$51</c:f>
              <c:numCache>
                <c:formatCode>0.00</c:formatCode>
                <c:ptCount val="1"/>
                <c:pt idx="0">
                  <c:v>4.6489773354598134E-2</c:v>
                </c:pt>
              </c:numCache>
            </c:numRef>
          </c:xVal>
          <c:yVal>
            <c:numRef>
              <c:f>Summary!$C$51</c:f>
              <c:numCache>
                <c:formatCode>0.00</c:formatCode>
                <c:ptCount val="1"/>
                <c:pt idx="0">
                  <c:v>77.509251313827363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9-59DC-F749-8934-E7998D1C90A2}"/>
            </c:ext>
          </c:extLst>
        </c:ser>
        <c:ser>
          <c:idx val="21"/>
          <c:order val="57"/>
          <c:tx>
            <c:strRef>
              <c:f>Summary!$A$52</c:f>
              <c:strCache>
                <c:ptCount val="1"/>
                <c:pt idx="0">
                  <c:v>Kalimantan Selatan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Summary!$B$52</c:f>
              <c:numCache>
                <c:formatCode>0.00</c:formatCode>
                <c:ptCount val="1"/>
                <c:pt idx="0">
                  <c:v>3.1259433780205863</c:v>
                </c:pt>
              </c:numCache>
            </c:numRef>
          </c:xVal>
          <c:yVal>
            <c:numRef>
              <c:f>Summary!$C$52</c:f>
              <c:numCache>
                <c:formatCode>0.00</c:formatCode>
                <c:ptCount val="1"/>
                <c:pt idx="0">
                  <c:v>68.413124999999994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A-59DC-F749-8934-E7998D1C90A2}"/>
            </c:ext>
          </c:extLst>
        </c:ser>
        <c:ser>
          <c:idx val="22"/>
          <c:order val="58"/>
          <c:tx>
            <c:strRef>
              <c:f>Summary!$A$53</c:f>
              <c:strCache>
                <c:ptCount val="1"/>
                <c:pt idx="0">
                  <c:v>Kalimantan Timur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Summary!$B$53</c:f>
              <c:numCache>
                <c:formatCode>0.00</c:formatCode>
                <c:ptCount val="1"/>
                <c:pt idx="0">
                  <c:v>1.343861383581932</c:v>
                </c:pt>
              </c:numCache>
            </c:numRef>
          </c:xVal>
          <c:yVal>
            <c:numRef>
              <c:f>Summary!$C$53</c:f>
              <c:numCache>
                <c:formatCode>0.00</c:formatCode>
                <c:ptCount val="1"/>
                <c:pt idx="0">
                  <c:v>50.526144770635135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B-59DC-F749-8934-E7998D1C90A2}"/>
            </c:ext>
          </c:extLst>
        </c:ser>
        <c:ser>
          <c:idx val="23"/>
          <c:order val="59"/>
          <c:tx>
            <c:strRef>
              <c:f>Summary!$A$54</c:f>
              <c:strCache>
                <c:ptCount val="1"/>
                <c:pt idx="0">
                  <c:v>Kalimantan Utara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Summary!$B$54</c:f>
              <c:numCache>
                <c:formatCode>0.00</c:formatCode>
                <c:ptCount val="1"/>
                <c:pt idx="0">
                  <c:v>2.4233882812982643</c:v>
                </c:pt>
              </c:numCache>
            </c:numRef>
          </c:xVal>
          <c:yVal>
            <c:numRef>
              <c:f>Summary!$C$54</c:f>
              <c:numCache>
                <c:formatCode>0.00</c:formatCode>
                <c:ptCount val="1"/>
                <c:pt idx="0">
                  <c:v>88.94517294241794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C-59DC-F749-8934-E7998D1C90A2}"/>
            </c:ext>
          </c:extLst>
        </c:ser>
        <c:ser>
          <c:idx val="24"/>
          <c:order val="60"/>
          <c:tx>
            <c:strRef>
              <c:f>Summary!$A$55</c:f>
              <c:strCache>
                <c:ptCount val="1"/>
                <c:pt idx="0">
                  <c:v>Sulawesi Utara</c:v>
                </c:pt>
              </c:strCache>
            </c:strRef>
          </c:tx>
          <c:spPr>
            <a:ln w="12700">
              <a:solidFill>
                <a:srgbClr val="E59A3C"/>
              </a:solidFill>
              <a:prstDash val="solid"/>
            </a:ln>
          </c:spPr>
          <c:marker>
            <c:symbol val="none"/>
          </c:marker>
          <c:xVal>
            <c:numRef>
              <c:f>Summary!$B$55</c:f>
              <c:numCache>
                <c:formatCode>0.00</c:formatCode>
                <c:ptCount val="1"/>
                <c:pt idx="0">
                  <c:v>1.6310036026666115</c:v>
                </c:pt>
              </c:numCache>
            </c:numRef>
          </c:xVal>
          <c:yVal>
            <c:numRef>
              <c:f>Summary!$C$55</c:f>
              <c:numCache>
                <c:formatCode>0.00</c:formatCode>
                <c:ptCount val="1"/>
                <c:pt idx="0">
                  <c:v>61.759705882352939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D-59DC-F749-8934-E7998D1C90A2}"/>
            </c:ext>
          </c:extLst>
        </c:ser>
        <c:ser>
          <c:idx val="25"/>
          <c:order val="61"/>
          <c:tx>
            <c:strRef>
              <c:f>Summary!$A$56</c:f>
              <c:strCache>
                <c:ptCount val="1"/>
                <c:pt idx="0">
                  <c:v>Sulawesi Tengah</c:v>
                </c:pt>
              </c:strCache>
            </c:strRef>
          </c:tx>
          <c:spPr>
            <a:ln w="12700">
              <a:solidFill>
                <a:srgbClr val="E59A3C"/>
              </a:solidFill>
              <a:prstDash val="solid"/>
            </a:ln>
          </c:spPr>
          <c:marker>
            <c:symbol val="none"/>
          </c:marker>
          <c:xVal>
            <c:numRef>
              <c:f>Summary!$B$56</c:f>
              <c:numCache>
                <c:formatCode>0.00</c:formatCode>
                <c:ptCount val="1"/>
                <c:pt idx="0">
                  <c:v>6.3964781868707021E-2</c:v>
                </c:pt>
              </c:numCache>
            </c:numRef>
          </c:xVal>
          <c:yVal>
            <c:numRef>
              <c:f>Summary!$C$56</c:f>
              <c:numCache>
                <c:formatCode>0.00</c:formatCode>
                <c:ptCount val="1"/>
                <c:pt idx="0">
                  <c:v>73.008181818181825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E-59DC-F749-8934-E7998D1C90A2}"/>
            </c:ext>
          </c:extLst>
        </c:ser>
        <c:ser>
          <c:idx val="26"/>
          <c:order val="62"/>
          <c:tx>
            <c:strRef>
              <c:f>Summary!$A$57</c:f>
              <c:strCache>
                <c:ptCount val="1"/>
                <c:pt idx="0">
                  <c:v>Sulawesi Selatan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6B4233"/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65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Summary!$B$57</c:f>
              <c:numCache>
                <c:formatCode>0.00</c:formatCode>
                <c:ptCount val="1"/>
                <c:pt idx="0">
                  <c:v>15.628928388257011</c:v>
                </c:pt>
              </c:numCache>
            </c:numRef>
          </c:xVal>
          <c:yVal>
            <c:numRef>
              <c:f>Summary!$C$57</c:f>
              <c:numCache>
                <c:formatCode>0.00</c:formatCode>
                <c:ptCount val="1"/>
                <c:pt idx="0">
                  <c:v>67.40150537634409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59DC-F749-8934-E7998D1C90A2}"/>
            </c:ext>
          </c:extLst>
        </c:ser>
        <c:ser>
          <c:idx val="27"/>
          <c:order val="63"/>
          <c:tx>
            <c:strRef>
              <c:f>Summary!$A$58</c:f>
              <c:strCache>
                <c:ptCount val="1"/>
                <c:pt idx="0">
                  <c:v>Sulawesi Tenggara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6B4233"/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65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Summary!$B$58</c:f>
              <c:numCache>
                <c:formatCode>0.00</c:formatCode>
                <c:ptCount val="1"/>
                <c:pt idx="0">
                  <c:v>0.23156513296862685</c:v>
                </c:pt>
              </c:numCache>
            </c:numRef>
          </c:xVal>
          <c:yVal>
            <c:numRef>
              <c:f>Summary!$C$58</c:f>
              <c:numCache>
                <c:formatCode>0.00</c:formatCode>
                <c:ptCount val="1"/>
                <c:pt idx="0">
                  <c:v>96.578947368421055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59DC-F749-8934-E7998D1C90A2}"/>
            </c:ext>
          </c:extLst>
        </c:ser>
        <c:ser>
          <c:idx val="28"/>
          <c:order val="64"/>
          <c:tx>
            <c:strRef>
              <c:f>Summary!$A$59</c:f>
              <c:strCache>
                <c:ptCount val="1"/>
                <c:pt idx="0">
                  <c:v>Gorontalo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6B4233"/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65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Summary!$B$59</c:f>
              <c:numCache>
                <c:formatCode>0.00</c:formatCode>
                <c:ptCount val="1"/>
                <c:pt idx="0">
                  <c:v>1.9962619298038233</c:v>
                </c:pt>
              </c:numCache>
            </c:numRef>
          </c:xVal>
          <c:yVal>
            <c:numRef>
              <c:f>Summary!$C$59</c:f>
              <c:numCache>
                <c:formatCode>0.00</c:formatCode>
                <c:ptCount val="1"/>
                <c:pt idx="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59DC-F749-8934-E7998D1C90A2}"/>
            </c:ext>
          </c:extLst>
        </c:ser>
        <c:ser>
          <c:idx val="29"/>
          <c:order val="65"/>
          <c:tx>
            <c:strRef>
              <c:f>Summary!$A$60</c:f>
              <c:strCache>
                <c:ptCount val="1"/>
                <c:pt idx="0">
                  <c:v>Sulawesi Barat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6B4233"/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65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Summary!$B$60</c:f>
              <c:numCache>
                <c:formatCode>0.00</c:formatCode>
                <c:ptCount val="1"/>
                <c:pt idx="0">
                  <c:v>0.29562665500740692</c:v>
                </c:pt>
              </c:numCache>
            </c:numRef>
          </c:xVal>
          <c:yVal>
            <c:numRef>
              <c:f>Summary!$C$60</c:f>
              <c:numCache>
                <c:formatCode>0.00</c:formatCode>
                <c:ptCount val="1"/>
                <c:pt idx="0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59DC-F749-8934-E7998D1C90A2}"/>
            </c:ext>
          </c:extLst>
        </c:ser>
        <c:ser>
          <c:idx val="30"/>
          <c:order val="66"/>
          <c:tx>
            <c:strRef>
              <c:f>Summary!$A$61</c:f>
              <c:strCache>
                <c:ptCount val="1"/>
                <c:pt idx="0">
                  <c:v>Maluku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6B4233"/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65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Summary!$B$61</c:f>
              <c:numCache>
                <c:formatCode>0.00</c:formatCode>
                <c:ptCount val="1"/>
                <c:pt idx="0">
                  <c:v>7.864306856810957E-2</c:v>
                </c:pt>
              </c:numCache>
            </c:numRef>
          </c:xVal>
          <c:yVal>
            <c:numRef>
              <c:f>Summary!$C$61</c:f>
              <c:numCache>
                <c:formatCode>0.00</c:formatCode>
                <c:ptCount val="1"/>
                <c:pt idx="0">
                  <c:v>93.843571428571423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59DC-F749-8934-E7998D1C90A2}"/>
            </c:ext>
          </c:extLst>
        </c:ser>
        <c:ser>
          <c:idx val="31"/>
          <c:order val="67"/>
          <c:tx>
            <c:strRef>
              <c:f>Summary!$A$62</c:f>
              <c:strCache>
                <c:ptCount val="1"/>
                <c:pt idx="0">
                  <c:v>Maluku Utara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6"/>
            <c:spPr>
              <a:noFill/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65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Summary!$B$62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Summary!$C$62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59DC-F749-8934-E7998D1C90A2}"/>
            </c:ext>
          </c:extLst>
        </c:ser>
        <c:ser>
          <c:idx val="32"/>
          <c:order val="68"/>
          <c:tx>
            <c:strRef>
              <c:f>Summary!$A$63</c:f>
              <c:strCache>
                <c:ptCount val="1"/>
                <c:pt idx="0">
                  <c:v>Papua Barat</c:v>
                </c:pt>
              </c:strCache>
            </c:strRef>
          </c:tx>
          <c:spPr>
            <a:ln w="19050">
              <a:noFill/>
            </a:ln>
          </c:spPr>
          <c:marker>
            <c:spPr>
              <a:solidFill>
                <a:srgbClr val="6B4233"/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65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Summary!$B$63</c:f>
              <c:numCache>
                <c:formatCode>0.00</c:formatCode>
                <c:ptCount val="1"/>
                <c:pt idx="0">
                  <c:v>3.7155316166160226</c:v>
                </c:pt>
              </c:numCache>
            </c:numRef>
          </c:xVal>
          <c:yVal>
            <c:numRef>
              <c:f>Summary!$C$63</c:f>
              <c:numCache>
                <c:formatCode>0.00</c:formatCode>
                <c:ptCount val="1"/>
                <c:pt idx="0">
                  <c:v>80.656000000000006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59DC-F749-8934-E7998D1C90A2}"/>
            </c:ext>
          </c:extLst>
        </c:ser>
        <c:ser>
          <c:idx val="33"/>
          <c:order val="69"/>
          <c:tx>
            <c:strRef>
              <c:f>Summary!$A$64</c:f>
              <c:strCache>
                <c:ptCount val="1"/>
                <c:pt idx="0">
                  <c:v>Papua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xVal>
            <c:numRef>
              <c:f>Summary!$B$64</c:f>
              <c:numCache>
                <c:formatCode>0.00</c:formatCode>
                <c:ptCount val="1"/>
                <c:pt idx="0">
                  <c:v>9.9857625028971202E-3</c:v>
                </c:pt>
              </c:numCache>
            </c:numRef>
          </c:xVal>
          <c:yVal>
            <c:numRef>
              <c:f>Summary!$C$64</c:f>
              <c:numCache>
                <c:formatCode>0.00</c:formatCode>
                <c:ptCount val="1"/>
                <c:pt idx="0">
                  <c:v>67.930430626477431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59DC-F749-8934-E7998D1C90A2}"/>
            </c:ext>
          </c:extLst>
        </c:ser>
        <c:ser>
          <c:idx val="34"/>
          <c:order val="70"/>
          <c:tx>
            <c:v>Impor</c:v>
          </c:tx>
          <c:spPr>
            <a:ln w="19050">
              <a:solidFill>
                <a:srgbClr val="E59A3C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Summary!$F$48:$F$49</c:f>
              <c:numCache>
                <c:formatCode>0.00</c:formatCode>
                <c:ptCount val="2"/>
                <c:pt idx="0">
                  <c:v>1.4874324931242717</c:v>
                </c:pt>
                <c:pt idx="1">
                  <c:v>1.4874324931242717</c:v>
                </c:pt>
              </c:numCache>
            </c:numRef>
          </c:xVal>
          <c:yVal>
            <c:numRef>
              <c:f>Summary!$G$48:$G$49</c:f>
              <c:numCache>
                <c:formatCode>0.00</c:formatCode>
                <c:ptCount val="2"/>
                <c:pt idx="0">
                  <c:v>0</c:v>
                </c:pt>
                <c:pt idx="1">
                  <c:v>110.00000000000001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59DC-F749-8934-E7998D1C90A2}"/>
            </c:ext>
          </c:extLst>
        </c:ser>
        <c:ser>
          <c:idx val="35"/>
          <c:order val="71"/>
          <c:tx>
            <c:v>Ekspor</c:v>
          </c:tx>
          <c:spPr>
            <a:ln w="19050">
              <a:solidFill>
                <a:srgbClr val="E59A3C"/>
              </a:solidFill>
            </a:ln>
          </c:spPr>
          <c:marker>
            <c:symbol val="circle"/>
            <c:size val="6"/>
            <c:spPr>
              <a:noFill/>
              <a:ln>
                <a:noFill/>
              </a:ln>
            </c:spPr>
          </c:marker>
          <c:xVal>
            <c:numRef>
              <c:f>Summary!$F$52:$F$53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42.092048793967159</c:v>
                </c:pt>
              </c:numCache>
            </c:numRef>
          </c:xVal>
          <c:yVal>
            <c:numRef>
              <c:f>Summary!$G$52:$G$53</c:f>
              <c:numCache>
                <c:formatCode>0.00</c:formatCode>
                <c:ptCount val="2"/>
                <c:pt idx="0">
                  <c:v>71.839525081715564</c:v>
                </c:pt>
                <c:pt idx="1">
                  <c:v>71.839525081715564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59DC-F749-8934-E7998D1C9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1000" b="1" i="0" u="none" strike="noStrike" kern="1200" baseline="0">
                    <a:solidFill>
                      <a:srgbClr val="000000"/>
                    </a:solidFill>
                  </a:rPr>
                  <a:t>Share Impor terhadap Total Biaya Input (%)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1000" b="1" i="0" u="none" strike="noStrike" kern="1200" baseline="0">
                    <a:solidFill>
                      <a:srgbClr val="000000"/>
                    </a:solidFill>
                  </a:rPr>
                  <a:t>Share Ekspor terhadap Total Penjualan (%)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GB" sz="1400" b="1" i="0" u="none" strike="noStrike" kern="1200" baseline="0">
                <a:solidFill>
                  <a:srgbClr val="000000"/>
                </a:solidFill>
              </a:rPr>
              <a:t>Share Impor vs Ekspor Perusahaan berdasarkan Sektor, 2015 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1826286210729441E-2"/>
          <c:y val="7.717099927519265E-2"/>
          <c:w val="0.8703828211087381"/>
          <c:h val="0.82706043624781078"/>
        </c:manualLayout>
      </c:layout>
      <c:scatterChart>
        <c:scatterStyle val="lineMarker"/>
        <c:varyColors val="1"/>
        <c:ser>
          <c:idx val="50"/>
          <c:order val="0"/>
          <c:tx>
            <c:strRef>
              <c:f>Summary!$A$4</c:f>
              <c:strCache>
                <c:ptCount val="1"/>
                <c:pt idx="0">
                  <c:v>Makanan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Summary!$B$4</c:f>
              <c:numCache>
                <c:formatCode>0.00</c:formatCode>
                <c:ptCount val="1"/>
                <c:pt idx="0">
                  <c:v>10.286594567680474</c:v>
                </c:pt>
              </c:numCache>
            </c:numRef>
          </c:xVal>
          <c:yVal>
            <c:numRef>
              <c:f>Summary!$C$4</c:f>
              <c:numCache>
                <c:formatCode>0.00</c:formatCode>
                <c:ptCount val="1"/>
                <c:pt idx="0">
                  <c:v>57.763515033079017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BF-7F48-92D7-A2384E19AA45}"/>
            </c:ext>
          </c:extLst>
        </c:ser>
        <c:ser>
          <c:idx val="51"/>
          <c:order val="1"/>
          <c:tx>
            <c:strRef>
              <c:f>Summary!$A$5</c:f>
              <c:strCache>
                <c:ptCount val="1"/>
                <c:pt idx="0">
                  <c:v>Minuman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Summary!$B$5</c:f>
              <c:numCache>
                <c:formatCode>0.00</c:formatCode>
                <c:ptCount val="1"/>
                <c:pt idx="0">
                  <c:v>18.341960735669293</c:v>
                </c:pt>
              </c:numCache>
            </c:numRef>
          </c:xVal>
          <c:yVal>
            <c:numRef>
              <c:f>Summary!$C$5</c:f>
              <c:numCache>
                <c:formatCode>0.00</c:formatCode>
                <c:ptCount val="1"/>
                <c:pt idx="0">
                  <c:v>12.082776770613844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BF-7F48-92D7-A2384E19AA45}"/>
            </c:ext>
          </c:extLst>
        </c:ser>
        <c:ser>
          <c:idx val="52"/>
          <c:order val="2"/>
          <c:tx>
            <c:strRef>
              <c:f>Summary!$A$6</c:f>
              <c:strCache>
                <c:ptCount val="1"/>
                <c:pt idx="0">
                  <c:v>Pengolahan Tembakau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Summary!$B$6</c:f>
              <c:numCache>
                <c:formatCode>0.00</c:formatCode>
                <c:ptCount val="1"/>
                <c:pt idx="0">
                  <c:v>5.2597780739413693</c:v>
                </c:pt>
              </c:numCache>
            </c:numRef>
          </c:xVal>
          <c:yVal>
            <c:numRef>
              <c:f>Summary!$C$6</c:f>
              <c:numCache>
                <c:formatCode>0.00</c:formatCode>
                <c:ptCount val="1"/>
                <c:pt idx="0">
                  <c:v>49.946392170674486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BF-7F48-92D7-A2384E19AA45}"/>
            </c:ext>
          </c:extLst>
        </c:ser>
        <c:ser>
          <c:idx val="53"/>
          <c:order val="3"/>
          <c:tx>
            <c:strRef>
              <c:f>Summary!$A$7</c:f>
              <c:strCache>
                <c:ptCount val="1"/>
                <c:pt idx="0">
                  <c:v>Tekstil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Summary!$B$7</c:f>
              <c:numCache>
                <c:formatCode>0.00</c:formatCode>
                <c:ptCount val="1"/>
                <c:pt idx="0">
                  <c:v>26.924796416960699</c:v>
                </c:pt>
              </c:numCache>
            </c:numRef>
          </c:xVal>
          <c:yVal>
            <c:numRef>
              <c:f>Summary!$C$7</c:f>
              <c:numCache>
                <c:formatCode>0.00</c:formatCode>
                <c:ptCount val="1"/>
                <c:pt idx="0">
                  <c:v>40.829237215215286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ABF-7F48-92D7-A2384E19AA45}"/>
            </c:ext>
          </c:extLst>
        </c:ser>
        <c:ser>
          <c:idx val="54"/>
          <c:order val="4"/>
          <c:tx>
            <c:strRef>
              <c:f>Summary!$A$8</c:f>
              <c:strCache>
                <c:ptCount val="1"/>
                <c:pt idx="0">
                  <c:v>Pakaian Jadi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Summary!$B$8</c:f>
              <c:numCache>
                <c:formatCode>0.00</c:formatCode>
                <c:ptCount val="1"/>
                <c:pt idx="0">
                  <c:v>40.379094559229671</c:v>
                </c:pt>
              </c:numCache>
            </c:numRef>
          </c:xVal>
          <c:yVal>
            <c:numRef>
              <c:f>Summary!$C$9</c:f>
              <c:numCache>
                <c:formatCode>0.00</c:formatCode>
                <c:ptCount val="1"/>
                <c:pt idx="0">
                  <c:v>43.646983080702526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ABF-7F48-92D7-A2384E19AA45}"/>
            </c:ext>
          </c:extLst>
        </c:ser>
        <c:ser>
          <c:idx val="55"/>
          <c:order val="5"/>
          <c:tx>
            <c:strRef>
              <c:f>Summary!$A$10</c:f>
              <c:strCache>
                <c:ptCount val="1"/>
                <c:pt idx="0">
                  <c:v>Kayu. Barang dari Kayu dan Gabus (Tidak Termasuk Furnitur) dan Barang Anyaman dari Bambu. Rotan dan Sejenisnya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Summary!$B$10</c:f>
              <c:numCache>
                <c:formatCode>0.00</c:formatCode>
                <c:ptCount val="1"/>
                <c:pt idx="0">
                  <c:v>6.8987478009938261</c:v>
                </c:pt>
              </c:numCache>
            </c:numRef>
          </c:xVal>
          <c:yVal>
            <c:numRef>
              <c:f>Summary!$C$10</c:f>
              <c:numCache>
                <c:formatCode>0.00</c:formatCode>
                <c:ptCount val="1"/>
                <c:pt idx="0">
                  <c:v>69.815778400619052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ABF-7F48-92D7-A2384E19AA45}"/>
            </c:ext>
          </c:extLst>
        </c:ser>
        <c:ser>
          <c:idx val="56"/>
          <c:order val="6"/>
          <c:tx>
            <c:strRef>
              <c:f>Summary!$A$11</c:f>
              <c:strCache>
                <c:ptCount val="1"/>
                <c:pt idx="0">
                  <c:v>Kertas dan Barang dari Kertas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Summary!$B$11</c:f>
              <c:numCache>
                <c:formatCode>0.00</c:formatCode>
                <c:ptCount val="1"/>
                <c:pt idx="0">
                  <c:v>14.748203875864254</c:v>
                </c:pt>
              </c:numCache>
            </c:numRef>
          </c:xVal>
          <c:yVal>
            <c:numRef>
              <c:f>Summary!$C$11</c:f>
              <c:numCache>
                <c:formatCode>0.00</c:formatCode>
                <c:ptCount val="1"/>
                <c:pt idx="0">
                  <c:v>26.222460083614525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ABF-7F48-92D7-A2384E19AA45}"/>
            </c:ext>
          </c:extLst>
        </c:ser>
        <c:ser>
          <c:idx val="57"/>
          <c:order val="7"/>
          <c:tx>
            <c:strRef>
              <c:f>Summary!$A$12</c:f>
              <c:strCache>
                <c:ptCount val="1"/>
                <c:pt idx="0">
                  <c:v>Pencetakan dan Reproduksi Media Rekaman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Summary!$B$12</c:f>
              <c:numCache>
                <c:formatCode>0.00</c:formatCode>
                <c:ptCount val="1"/>
                <c:pt idx="0">
                  <c:v>8.0606693583710864</c:v>
                </c:pt>
              </c:numCache>
            </c:numRef>
          </c:xVal>
          <c:yVal>
            <c:numRef>
              <c:f>Summary!$C$12</c:f>
              <c:numCache>
                <c:formatCode>0.00</c:formatCode>
                <c:ptCount val="1"/>
                <c:pt idx="0">
                  <c:v>22.251555555555555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ABF-7F48-92D7-A2384E19AA45}"/>
            </c:ext>
          </c:extLst>
        </c:ser>
        <c:ser>
          <c:idx val="58"/>
          <c:order val="8"/>
          <c:tx>
            <c:strRef>
              <c:f>Summary!$A$13</c:f>
              <c:strCache>
                <c:ptCount val="1"/>
                <c:pt idx="0">
                  <c:v>Produk dari Batu Bara dan Pengilangan Minyak Bumi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Summary!$B$13</c:f>
              <c:numCache>
                <c:formatCode>0.00</c:formatCode>
                <c:ptCount val="1"/>
                <c:pt idx="0">
                  <c:v>11.986768661340957</c:v>
                </c:pt>
              </c:numCache>
            </c:numRef>
          </c:xVal>
          <c:yVal>
            <c:numRef>
              <c:f>Summary!$C$13</c:f>
              <c:numCache>
                <c:formatCode>0.00</c:formatCode>
                <c:ptCount val="1"/>
                <c:pt idx="0">
                  <c:v>38.045789473684209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ABF-7F48-92D7-A2384E19AA45}"/>
            </c:ext>
          </c:extLst>
        </c:ser>
        <c:ser>
          <c:idx val="59"/>
          <c:order val="9"/>
          <c:tx>
            <c:strRef>
              <c:f>Summary!$A$14</c:f>
              <c:strCache>
                <c:ptCount val="1"/>
                <c:pt idx="0">
                  <c:v>Bahan Kimia dan Barang dari Bahan Kimia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Summary!$B$14</c:f>
              <c:numCache>
                <c:formatCode>0.00</c:formatCode>
                <c:ptCount val="1"/>
                <c:pt idx="0">
                  <c:v>36.000408264268167</c:v>
                </c:pt>
              </c:numCache>
            </c:numRef>
          </c:xVal>
          <c:yVal>
            <c:numRef>
              <c:f>Summary!$C$14</c:f>
              <c:numCache>
                <c:formatCode>0.00</c:formatCode>
                <c:ptCount val="1"/>
                <c:pt idx="0">
                  <c:v>32.896714640024506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ABF-7F48-92D7-A2384E19AA45}"/>
            </c:ext>
          </c:extLst>
        </c:ser>
        <c:ser>
          <c:idx val="60"/>
          <c:order val="10"/>
          <c:tx>
            <c:strRef>
              <c:f>Summary!$A$15</c:f>
              <c:strCache>
                <c:ptCount val="1"/>
                <c:pt idx="0">
                  <c:v>Farmasi. Produk Obat Kimia dan Obat Tradisional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Summary!$B$15</c:f>
              <c:numCache>
                <c:formatCode>0.00</c:formatCode>
                <c:ptCount val="1"/>
                <c:pt idx="0">
                  <c:v>38.440680547909572</c:v>
                </c:pt>
              </c:numCache>
            </c:numRef>
          </c:xVal>
          <c:yVal>
            <c:numRef>
              <c:f>Summary!$C$15</c:f>
              <c:numCache>
                <c:formatCode>0.00</c:formatCode>
                <c:ptCount val="1"/>
                <c:pt idx="0">
                  <c:v>18.100142006329349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ABF-7F48-92D7-A2384E19AA45}"/>
            </c:ext>
          </c:extLst>
        </c:ser>
        <c:ser>
          <c:idx val="61"/>
          <c:order val="11"/>
          <c:tx>
            <c:strRef>
              <c:f>Summary!$A$16</c:f>
              <c:strCache>
                <c:ptCount val="1"/>
                <c:pt idx="0">
                  <c:v>Karet. Barang dari Karet dan Plastik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Summary!$B$16</c:f>
              <c:numCache>
                <c:formatCode>0.00</c:formatCode>
                <c:ptCount val="1"/>
                <c:pt idx="0">
                  <c:v>16.74841257128919</c:v>
                </c:pt>
              </c:numCache>
            </c:numRef>
          </c:xVal>
          <c:yVal>
            <c:numRef>
              <c:f>Summary!$C$1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ABF-7F48-92D7-A2384E19AA45}"/>
            </c:ext>
          </c:extLst>
        </c:ser>
        <c:ser>
          <c:idx val="62"/>
          <c:order val="12"/>
          <c:tx>
            <c:strRef>
              <c:f>Summary!$A$17</c:f>
              <c:strCache>
                <c:ptCount val="1"/>
                <c:pt idx="0">
                  <c:v>Barang Galian Bukan Logam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Summary!$B$17</c:f>
              <c:numCache>
                <c:formatCode>0.00</c:formatCode>
                <c:ptCount val="1"/>
                <c:pt idx="0">
                  <c:v>20.69620253243027</c:v>
                </c:pt>
              </c:numCache>
            </c:numRef>
          </c:xVal>
          <c:yVal>
            <c:numRef>
              <c:f>Summary!$C$17</c:f>
              <c:numCache>
                <c:formatCode>0.00</c:formatCode>
                <c:ptCount val="1"/>
                <c:pt idx="0">
                  <c:v>29.722374719770446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ABF-7F48-92D7-A2384E19AA45}"/>
            </c:ext>
          </c:extLst>
        </c:ser>
        <c:ser>
          <c:idx val="63"/>
          <c:order val="13"/>
          <c:tx>
            <c:strRef>
              <c:f>Summary!$A$18</c:f>
              <c:strCache>
                <c:ptCount val="1"/>
                <c:pt idx="0">
                  <c:v>Logam Dasar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Summary!$B$18</c:f>
              <c:numCache>
                <c:formatCode>0.00</c:formatCode>
                <c:ptCount val="1"/>
                <c:pt idx="0">
                  <c:v>38.924375301981293</c:v>
                </c:pt>
              </c:numCache>
            </c:numRef>
          </c:xVal>
          <c:yVal>
            <c:numRef>
              <c:f>Summary!$C$18</c:f>
              <c:numCache>
                <c:formatCode>0.00</c:formatCode>
                <c:ptCount val="1"/>
                <c:pt idx="0">
                  <c:v>47.999677447153836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ABF-7F48-92D7-A2384E19AA45}"/>
            </c:ext>
          </c:extLst>
        </c:ser>
        <c:ser>
          <c:idx val="64"/>
          <c:order val="14"/>
          <c:tx>
            <c:strRef>
              <c:f>Summary!$A$19</c:f>
              <c:strCache>
                <c:ptCount val="1"/>
                <c:pt idx="0">
                  <c:v>Barang Logam. Bukan Mesin dan Peralatannya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Summary!$B$19</c:f>
              <c:numCache>
                <c:formatCode>0.00</c:formatCode>
                <c:ptCount val="1"/>
                <c:pt idx="0">
                  <c:v>30.673520143676004</c:v>
                </c:pt>
              </c:numCache>
            </c:numRef>
          </c:xVal>
          <c:yVal>
            <c:numRef>
              <c:f>Summary!$C$19</c:f>
              <c:numCache>
                <c:formatCode>0.00</c:formatCode>
                <c:ptCount val="1"/>
                <c:pt idx="0">
                  <c:v>28.538670507454082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ABF-7F48-92D7-A2384E19AA45}"/>
            </c:ext>
          </c:extLst>
        </c:ser>
        <c:ser>
          <c:idx val="65"/>
          <c:order val="15"/>
          <c:tx>
            <c:strRef>
              <c:f>Summary!$A$20</c:f>
              <c:strCache>
                <c:ptCount val="1"/>
                <c:pt idx="0">
                  <c:v>Komputer. Barang Elektronik dan Optik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Summary!$B$20</c:f>
              <c:numCache>
                <c:formatCode>0.00</c:formatCode>
                <c:ptCount val="1"/>
                <c:pt idx="0">
                  <c:v>65.3235450935275</c:v>
                </c:pt>
              </c:numCache>
            </c:numRef>
          </c:xVal>
          <c:yVal>
            <c:numRef>
              <c:f>Summary!$C$20</c:f>
              <c:numCache>
                <c:formatCode>0.00</c:formatCode>
                <c:ptCount val="1"/>
                <c:pt idx="0">
                  <c:v>50.435337494786999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ABF-7F48-92D7-A2384E19AA45}"/>
            </c:ext>
          </c:extLst>
        </c:ser>
        <c:ser>
          <c:idx val="66"/>
          <c:order val="16"/>
          <c:tx>
            <c:strRef>
              <c:f>Summary!$A$21</c:f>
              <c:strCache>
                <c:ptCount val="1"/>
                <c:pt idx="0">
                  <c:v>Peralatan Listrik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Summary!$B$21</c:f>
              <c:numCache>
                <c:formatCode>0.00</c:formatCode>
                <c:ptCount val="1"/>
                <c:pt idx="0">
                  <c:v>41.873258296855504</c:v>
                </c:pt>
              </c:numCache>
            </c:numRef>
          </c:xVal>
          <c:yVal>
            <c:numRef>
              <c:f>Summary!$C$21</c:f>
              <c:numCache>
                <c:formatCode>0.00</c:formatCode>
                <c:ptCount val="1"/>
                <c:pt idx="0">
                  <c:v>29.191352937868889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BABF-7F48-92D7-A2384E19AA45}"/>
            </c:ext>
          </c:extLst>
        </c:ser>
        <c:ser>
          <c:idx val="67"/>
          <c:order val="17"/>
          <c:tx>
            <c:strRef>
              <c:f>Summary!$A$22</c:f>
              <c:strCache>
                <c:ptCount val="1"/>
                <c:pt idx="0">
                  <c:v>Mesin dan Perlengkapan ytdl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Summary!$B$22</c:f>
              <c:numCache>
                <c:formatCode>0.00</c:formatCode>
                <c:ptCount val="1"/>
                <c:pt idx="0">
                  <c:v>35.180478122187253</c:v>
                </c:pt>
              </c:numCache>
            </c:numRef>
          </c:xVal>
          <c:yVal>
            <c:numRef>
              <c:f>Summary!$C$22</c:f>
              <c:numCache>
                <c:formatCode>0.00</c:formatCode>
                <c:ptCount val="1"/>
                <c:pt idx="0">
                  <c:v>28.846572535723929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BABF-7F48-92D7-A2384E19AA45}"/>
            </c:ext>
          </c:extLst>
        </c:ser>
        <c:ser>
          <c:idx val="68"/>
          <c:order val="18"/>
          <c:tx>
            <c:strRef>
              <c:f>Summary!$A$23</c:f>
              <c:strCache>
                <c:ptCount val="1"/>
                <c:pt idx="0">
                  <c:v>Kendaraan Bermotor. Trailer dan Semi Trailer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Summary!$B$23</c:f>
              <c:numCache>
                <c:formatCode>0.00</c:formatCode>
                <c:ptCount val="1"/>
                <c:pt idx="0">
                  <c:v>33.579929275223925</c:v>
                </c:pt>
              </c:numCache>
            </c:numRef>
          </c:xVal>
          <c:yVal>
            <c:numRef>
              <c:f>Summary!$C$23</c:f>
              <c:numCache>
                <c:formatCode>0.00</c:formatCode>
                <c:ptCount val="1"/>
                <c:pt idx="0">
                  <c:v>31.3156424206319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BABF-7F48-92D7-A2384E19AA45}"/>
            </c:ext>
          </c:extLst>
        </c:ser>
        <c:ser>
          <c:idx val="69"/>
          <c:order val="19"/>
          <c:tx>
            <c:strRef>
              <c:f>Summary!$A$24</c:f>
              <c:strCache>
                <c:ptCount val="1"/>
                <c:pt idx="0">
                  <c:v>Alat Angkutan Lainnya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Summary!$B$24</c:f>
              <c:numCache>
                <c:formatCode>0.00</c:formatCode>
                <c:ptCount val="1"/>
                <c:pt idx="0">
                  <c:v>29.737096074804636</c:v>
                </c:pt>
              </c:numCache>
            </c:numRef>
          </c:xVal>
          <c:yVal>
            <c:numRef>
              <c:f>Summary!$C$24</c:f>
              <c:numCache>
                <c:formatCode>0.00</c:formatCode>
                <c:ptCount val="1"/>
                <c:pt idx="0">
                  <c:v>32.113344337097963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BABF-7F48-92D7-A2384E19AA45}"/>
            </c:ext>
          </c:extLst>
        </c:ser>
        <c:ser>
          <c:idx val="70"/>
          <c:order val="20"/>
          <c:tx>
            <c:strRef>
              <c:f>Summary!$A$25</c:f>
              <c:strCache>
                <c:ptCount val="1"/>
                <c:pt idx="0">
                  <c:v>Furnitur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Summary!$B$25</c:f>
              <c:numCache>
                <c:formatCode>0.00</c:formatCode>
                <c:ptCount val="1"/>
                <c:pt idx="0">
                  <c:v>7.3534437291700341</c:v>
                </c:pt>
              </c:numCache>
            </c:numRef>
          </c:xVal>
          <c:yVal>
            <c:numRef>
              <c:f>Summary!$C$2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BABF-7F48-92D7-A2384E19AA45}"/>
            </c:ext>
          </c:extLst>
        </c:ser>
        <c:ser>
          <c:idx val="71"/>
          <c:order val="21"/>
          <c:tx>
            <c:strRef>
              <c:f>Summary!$A$26</c:f>
              <c:strCache>
                <c:ptCount val="1"/>
                <c:pt idx="0">
                  <c:v>Pengolahan Lainnya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Summary!$B$26</c:f>
              <c:numCache>
                <c:formatCode>0.00</c:formatCode>
                <c:ptCount val="1"/>
                <c:pt idx="0">
                  <c:v>54.077972556204358</c:v>
                </c:pt>
              </c:numCache>
            </c:numRef>
          </c:xVal>
          <c:yVal>
            <c:numRef>
              <c:f>Summary!$C$26</c:f>
              <c:numCache>
                <c:formatCode>0.00</c:formatCode>
                <c:ptCount val="1"/>
                <c:pt idx="0">
                  <c:v>70.96773844309601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BABF-7F48-92D7-A2384E19AA45}"/>
            </c:ext>
          </c:extLst>
        </c:ser>
        <c:ser>
          <c:idx val="72"/>
          <c:order val="22"/>
          <c:tx>
            <c:strRef>
              <c:f>Summary!$A$27</c:f>
              <c:strCache>
                <c:ptCount val="1"/>
                <c:pt idx="0">
                  <c:v>Jasa Reparasi dan Pemasangan Mesin dan Peralatan</c:v>
                </c:pt>
              </c:strCache>
            </c:strRef>
          </c:tx>
          <c:spPr>
            <a:ln>
              <a:noFill/>
              <a:prstDash val="solid"/>
            </a:ln>
          </c:spPr>
          <c:xVal>
            <c:numRef>
              <c:f>Summary!$B$27</c:f>
              <c:numCache>
                <c:formatCode>0.00</c:formatCode>
                <c:ptCount val="1"/>
                <c:pt idx="0">
                  <c:v>36.784252304980654</c:v>
                </c:pt>
              </c:numCache>
            </c:numRef>
          </c:xVal>
          <c:yVal>
            <c:numRef>
              <c:f>Summary!$C$27</c:f>
              <c:numCache>
                <c:formatCode>0.00</c:formatCode>
                <c:ptCount val="1"/>
                <c:pt idx="0">
                  <c:v>3.3333333333333335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BABF-7F48-92D7-A2384E19AA45}"/>
            </c:ext>
          </c:extLst>
        </c:ser>
        <c:ser>
          <c:idx val="74"/>
          <c:order val="23"/>
          <c:tx>
            <c:v>Ekspor</c:v>
          </c:tx>
          <c:spPr>
            <a:ln w="12700">
              <a:noFill/>
              <a:prstDash val="solid"/>
            </a:ln>
          </c:spPr>
          <c:xVal>
            <c:numRef>
              <c:f>Summary!$F$11:$F$12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71.855899602880257</c:v>
                </c:pt>
              </c:numCache>
            </c:numRef>
          </c:xVal>
          <c:yVal>
            <c:numRef>
              <c:f>Summary!$G$11:$G$12</c:f>
              <c:numCache>
                <c:formatCode>0.00</c:formatCode>
                <c:ptCount val="2"/>
                <c:pt idx="0">
                  <c:v>39.456601878176897</c:v>
                </c:pt>
                <c:pt idx="1">
                  <c:v>39.456601878176897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BABF-7F48-92D7-A2384E19AA45}"/>
            </c:ext>
          </c:extLst>
        </c:ser>
        <c:ser>
          <c:idx val="75"/>
          <c:order val="24"/>
          <c:tx>
            <c:strRef>
              <c:f>Summary!$A$4</c:f>
              <c:strCache>
                <c:ptCount val="1"/>
                <c:pt idx="0">
                  <c:v>Makanan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Summary!$B$4</c:f>
              <c:numCache>
                <c:formatCode>0.00</c:formatCode>
                <c:ptCount val="1"/>
                <c:pt idx="0">
                  <c:v>10.286594567680474</c:v>
                </c:pt>
              </c:numCache>
            </c:numRef>
          </c:xVal>
          <c:yVal>
            <c:numRef>
              <c:f>Summary!$C$4</c:f>
              <c:numCache>
                <c:formatCode>0.00</c:formatCode>
                <c:ptCount val="1"/>
                <c:pt idx="0">
                  <c:v>57.763515033079017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BABF-7F48-92D7-A2384E19AA45}"/>
            </c:ext>
          </c:extLst>
        </c:ser>
        <c:ser>
          <c:idx val="76"/>
          <c:order val="25"/>
          <c:tx>
            <c:strRef>
              <c:f>Summary!$A$5</c:f>
              <c:strCache>
                <c:ptCount val="1"/>
                <c:pt idx="0">
                  <c:v>Minuman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Summary!$B$5</c:f>
              <c:numCache>
                <c:formatCode>0.00</c:formatCode>
                <c:ptCount val="1"/>
                <c:pt idx="0">
                  <c:v>18.341960735669293</c:v>
                </c:pt>
              </c:numCache>
            </c:numRef>
          </c:xVal>
          <c:yVal>
            <c:numRef>
              <c:f>Summary!$C$5</c:f>
              <c:numCache>
                <c:formatCode>0.00</c:formatCode>
                <c:ptCount val="1"/>
                <c:pt idx="0">
                  <c:v>12.082776770613844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BABF-7F48-92D7-A2384E19AA45}"/>
            </c:ext>
          </c:extLst>
        </c:ser>
        <c:ser>
          <c:idx val="77"/>
          <c:order val="26"/>
          <c:tx>
            <c:strRef>
              <c:f>Summary!$A$6</c:f>
              <c:strCache>
                <c:ptCount val="1"/>
                <c:pt idx="0">
                  <c:v>Pengolahan Tembakau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Summary!$B$6</c:f>
              <c:numCache>
                <c:formatCode>0.00</c:formatCode>
                <c:ptCount val="1"/>
                <c:pt idx="0">
                  <c:v>5.2597780739413693</c:v>
                </c:pt>
              </c:numCache>
            </c:numRef>
          </c:xVal>
          <c:yVal>
            <c:numRef>
              <c:f>Summary!$C$6</c:f>
              <c:numCache>
                <c:formatCode>0.00</c:formatCode>
                <c:ptCount val="1"/>
                <c:pt idx="0">
                  <c:v>49.946392170674486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BABF-7F48-92D7-A2384E19AA45}"/>
            </c:ext>
          </c:extLst>
        </c:ser>
        <c:ser>
          <c:idx val="78"/>
          <c:order val="27"/>
          <c:tx>
            <c:strRef>
              <c:f>Summary!$A$7</c:f>
              <c:strCache>
                <c:ptCount val="1"/>
                <c:pt idx="0">
                  <c:v>Tekstil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Summary!$B$7</c:f>
              <c:numCache>
                <c:formatCode>0.00</c:formatCode>
                <c:ptCount val="1"/>
                <c:pt idx="0">
                  <c:v>26.924796416960699</c:v>
                </c:pt>
              </c:numCache>
            </c:numRef>
          </c:xVal>
          <c:yVal>
            <c:numRef>
              <c:f>Summary!$C$7</c:f>
              <c:numCache>
                <c:formatCode>0.00</c:formatCode>
                <c:ptCount val="1"/>
                <c:pt idx="0">
                  <c:v>40.829237215215286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BABF-7F48-92D7-A2384E19AA45}"/>
            </c:ext>
          </c:extLst>
        </c:ser>
        <c:ser>
          <c:idx val="79"/>
          <c:order val="28"/>
          <c:tx>
            <c:strRef>
              <c:f>Summary!$A$8</c:f>
              <c:strCache>
                <c:ptCount val="1"/>
                <c:pt idx="0">
                  <c:v>Pakaian Jadi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Summary!$B$8</c:f>
              <c:numCache>
                <c:formatCode>0.00</c:formatCode>
                <c:ptCount val="1"/>
                <c:pt idx="0">
                  <c:v>40.379094559229671</c:v>
                </c:pt>
              </c:numCache>
            </c:numRef>
          </c:xVal>
          <c:yVal>
            <c:numRef>
              <c:f>Summary!$C$9</c:f>
              <c:numCache>
                <c:formatCode>0.00</c:formatCode>
                <c:ptCount val="1"/>
                <c:pt idx="0">
                  <c:v>43.646983080702526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BABF-7F48-92D7-A2384E19AA45}"/>
            </c:ext>
          </c:extLst>
        </c:ser>
        <c:ser>
          <c:idx val="80"/>
          <c:order val="29"/>
          <c:tx>
            <c:strRef>
              <c:f>Summary!$A$10</c:f>
              <c:strCache>
                <c:ptCount val="1"/>
                <c:pt idx="0">
                  <c:v>Kayu. Barang dari Kayu dan Gabus (Tidak Termasuk Furnitur) dan Barang Anyaman dari Bambu. Rotan dan Sejenisnya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Summary!$B$10</c:f>
              <c:numCache>
                <c:formatCode>0.00</c:formatCode>
                <c:ptCount val="1"/>
                <c:pt idx="0">
                  <c:v>6.8987478009938261</c:v>
                </c:pt>
              </c:numCache>
            </c:numRef>
          </c:xVal>
          <c:yVal>
            <c:numRef>
              <c:f>Summary!$C$10</c:f>
              <c:numCache>
                <c:formatCode>0.00</c:formatCode>
                <c:ptCount val="1"/>
                <c:pt idx="0">
                  <c:v>69.815778400619052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BABF-7F48-92D7-A2384E19AA45}"/>
            </c:ext>
          </c:extLst>
        </c:ser>
        <c:ser>
          <c:idx val="81"/>
          <c:order val="30"/>
          <c:tx>
            <c:strRef>
              <c:f>Summary!$A$11</c:f>
              <c:strCache>
                <c:ptCount val="1"/>
                <c:pt idx="0">
                  <c:v>Kertas dan Barang dari Kertas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Summary!$B$11</c:f>
              <c:numCache>
                <c:formatCode>0.00</c:formatCode>
                <c:ptCount val="1"/>
                <c:pt idx="0">
                  <c:v>14.748203875864254</c:v>
                </c:pt>
              </c:numCache>
            </c:numRef>
          </c:xVal>
          <c:yVal>
            <c:numRef>
              <c:f>Summary!$C$11</c:f>
              <c:numCache>
                <c:formatCode>0.00</c:formatCode>
                <c:ptCount val="1"/>
                <c:pt idx="0">
                  <c:v>26.222460083614525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BABF-7F48-92D7-A2384E19AA45}"/>
            </c:ext>
          </c:extLst>
        </c:ser>
        <c:ser>
          <c:idx val="82"/>
          <c:order val="31"/>
          <c:tx>
            <c:strRef>
              <c:f>Summary!$A$12</c:f>
              <c:strCache>
                <c:ptCount val="1"/>
                <c:pt idx="0">
                  <c:v>Pencetakan dan Reproduksi Media Rekaman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Summary!$B$12</c:f>
              <c:numCache>
                <c:formatCode>0.00</c:formatCode>
                <c:ptCount val="1"/>
                <c:pt idx="0">
                  <c:v>8.0606693583710864</c:v>
                </c:pt>
              </c:numCache>
            </c:numRef>
          </c:xVal>
          <c:yVal>
            <c:numRef>
              <c:f>Summary!$C$12</c:f>
              <c:numCache>
                <c:formatCode>0.00</c:formatCode>
                <c:ptCount val="1"/>
                <c:pt idx="0">
                  <c:v>22.251555555555555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BABF-7F48-92D7-A2384E19AA45}"/>
            </c:ext>
          </c:extLst>
        </c:ser>
        <c:ser>
          <c:idx val="83"/>
          <c:order val="32"/>
          <c:tx>
            <c:strRef>
              <c:f>Summary!$A$13</c:f>
              <c:strCache>
                <c:ptCount val="1"/>
                <c:pt idx="0">
                  <c:v>Produk dari Batu Bara dan Pengilangan Minyak Bumi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Summary!$B$13</c:f>
              <c:numCache>
                <c:formatCode>0.00</c:formatCode>
                <c:ptCount val="1"/>
                <c:pt idx="0">
                  <c:v>11.986768661340957</c:v>
                </c:pt>
              </c:numCache>
            </c:numRef>
          </c:xVal>
          <c:yVal>
            <c:numRef>
              <c:f>Summary!$C$13</c:f>
              <c:numCache>
                <c:formatCode>0.00</c:formatCode>
                <c:ptCount val="1"/>
                <c:pt idx="0">
                  <c:v>38.045789473684209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BABF-7F48-92D7-A2384E19AA45}"/>
            </c:ext>
          </c:extLst>
        </c:ser>
        <c:ser>
          <c:idx val="84"/>
          <c:order val="33"/>
          <c:tx>
            <c:strRef>
              <c:f>Summary!$A$14</c:f>
              <c:strCache>
                <c:ptCount val="1"/>
                <c:pt idx="0">
                  <c:v>Bahan Kimia dan Barang dari Bahan Kimia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Summary!$B$14</c:f>
              <c:numCache>
                <c:formatCode>0.00</c:formatCode>
                <c:ptCount val="1"/>
                <c:pt idx="0">
                  <c:v>36.000408264268167</c:v>
                </c:pt>
              </c:numCache>
            </c:numRef>
          </c:xVal>
          <c:yVal>
            <c:numRef>
              <c:f>Summary!$C$14</c:f>
              <c:numCache>
                <c:formatCode>0.00</c:formatCode>
                <c:ptCount val="1"/>
                <c:pt idx="0">
                  <c:v>32.896714640024506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BABF-7F48-92D7-A2384E19AA45}"/>
            </c:ext>
          </c:extLst>
        </c:ser>
        <c:ser>
          <c:idx val="85"/>
          <c:order val="34"/>
          <c:tx>
            <c:strRef>
              <c:f>Summary!$A$15</c:f>
              <c:strCache>
                <c:ptCount val="1"/>
                <c:pt idx="0">
                  <c:v>Farmasi. Produk Obat Kimia dan Obat Tradisional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Summary!$B$15</c:f>
              <c:numCache>
                <c:formatCode>0.00</c:formatCode>
                <c:ptCount val="1"/>
                <c:pt idx="0">
                  <c:v>38.440680547909572</c:v>
                </c:pt>
              </c:numCache>
            </c:numRef>
          </c:xVal>
          <c:yVal>
            <c:numRef>
              <c:f>Summary!$C$15</c:f>
              <c:numCache>
                <c:formatCode>0.00</c:formatCode>
                <c:ptCount val="1"/>
                <c:pt idx="0">
                  <c:v>18.100142006329349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BABF-7F48-92D7-A2384E19AA45}"/>
            </c:ext>
          </c:extLst>
        </c:ser>
        <c:ser>
          <c:idx val="86"/>
          <c:order val="35"/>
          <c:tx>
            <c:strRef>
              <c:f>Summary!$A$16</c:f>
              <c:strCache>
                <c:ptCount val="1"/>
                <c:pt idx="0">
                  <c:v>Karet. Barang dari Karet dan Plastik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Summary!$B$16</c:f>
              <c:numCache>
                <c:formatCode>0.00</c:formatCode>
                <c:ptCount val="1"/>
                <c:pt idx="0">
                  <c:v>16.74841257128919</c:v>
                </c:pt>
              </c:numCache>
            </c:numRef>
          </c:xVal>
          <c:yVal>
            <c:numRef>
              <c:f>Summary!$C$1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BABF-7F48-92D7-A2384E19AA45}"/>
            </c:ext>
          </c:extLst>
        </c:ser>
        <c:ser>
          <c:idx val="87"/>
          <c:order val="36"/>
          <c:tx>
            <c:strRef>
              <c:f>Summary!$A$17</c:f>
              <c:strCache>
                <c:ptCount val="1"/>
                <c:pt idx="0">
                  <c:v>Barang Galian Bukan Logam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Summary!$B$17</c:f>
              <c:numCache>
                <c:formatCode>0.00</c:formatCode>
                <c:ptCount val="1"/>
                <c:pt idx="0">
                  <c:v>20.69620253243027</c:v>
                </c:pt>
              </c:numCache>
            </c:numRef>
          </c:xVal>
          <c:yVal>
            <c:numRef>
              <c:f>Summary!$C$17</c:f>
              <c:numCache>
                <c:formatCode>0.00</c:formatCode>
                <c:ptCount val="1"/>
                <c:pt idx="0">
                  <c:v>29.722374719770446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BABF-7F48-92D7-A2384E19AA45}"/>
            </c:ext>
          </c:extLst>
        </c:ser>
        <c:ser>
          <c:idx val="88"/>
          <c:order val="37"/>
          <c:tx>
            <c:strRef>
              <c:f>Summary!$A$18</c:f>
              <c:strCache>
                <c:ptCount val="1"/>
                <c:pt idx="0">
                  <c:v>Logam Dasar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Summary!$B$18</c:f>
              <c:numCache>
                <c:formatCode>0.00</c:formatCode>
                <c:ptCount val="1"/>
                <c:pt idx="0">
                  <c:v>38.924375301981293</c:v>
                </c:pt>
              </c:numCache>
            </c:numRef>
          </c:xVal>
          <c:yVal>
            <c:numRef>
              <c:f>Summary!$C$18</c:f>
              <c:numCache>
                <c:formatCode>0.00</c:formatCode>
                <c:ptCount val="1"/>
                <c:pt idx="0">
                  <c:v>47.999677447153836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BABF-7F48-92D7-A2384E19AA45}"/>
            </c:ext>
          </c:extLst>
        </c:ser>
        <c:ser>
          <c:idx val="89"/>
          <c:order val="38"/>
          <c:tx>
            <c:strRef>
              <c:f>Summary!$A$19</c:f>
              <c:strCache>
                <c:ptCount val="1"/>
                <c:pt idx="0">
                  <c:v>Barang Logam. Bukan Mesin dan Peralatannya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Summary!$B$19</c:f>
              <c:numCache>
                <c:formatCode>0.00</c:formatCode>
                <c:ptCount val="1"/>
                <c:pt idx="0">
                  <c:v>30.673520143676004</c:v>
                </c:pt>
              </c:numCache>
            </c:numRef>
          </c:xVal>
          <c:yVal>
            <c:numRef>
              <c:f>Summary!$C$19</c:f>
              <c:numCache>
                <c:formatCode>0.00</c:formatCode>
                <c:ptCount val="1"/>
                <c:pt idx="0">
                  <c:v>28.538670507454082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BABF-7F48-92D7-A2384E19AA45}"/>
            </c:ext>
          </c:extLst>
        </c:ser>
        <c:ser>
          <c:idx val="90"/>
          <c:order val="39"/>
          <c:tx>
            <c:strRef>
              <c:f>Summary!$A$20</c:f>
              <c:strCache>
                <c:ptCount val="1"/>
                <c:pt idx="0">
                  <c:v>Komputer. Barang Elektronik dan Optik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Summary!$B$20</c:f>
              <c:numCache>
                <c:formatCode>0.00</c:formatCode>
                <c:ptCount val="1"/>
                <c:pt idx="0">
                  <c:v>65.3235450935275</c:v>
                </c:pt>
              </c:numCache>
            </c:numRef>
          </c:xVal>
          <c:yVal>
            <c:numRef>
              <c:f>Summary!$C$20</c:f>
              <c:numCache>
                <c:formatCode>0.00</c:formatCode>
                <c:ptCount val="1"/>
                <c:pt idx="0">
                  <c:v>50.435337494786999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BABF-7F48-92D7-A2384E19AA45}"/>
            </c:ext>
          </c:extLst>
        </c:ser>
        <c:ser>
          <c:idx val="91"/>
          <c:order val="40"/>
          <c:tx>
            <c:strRef>
              <c:f>Summary!$A$21</c:f>
              <c:strCache>
                <c:ptCount val="1"/>
                <c:pt idx="0">
                  <c:v>Peralatan Listrik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Summary!$B$21</c:f>
              <c:numCache>
                <c:formatCode>0.00</c:formatCode>
                <c:ptCount val="1"/>
                <c:pt idx="0">
                  <c:v>41.873258296855504</c:v>
                </c:pt>
              </c:numCache>
            </c:numRef>
          </c:xVal>
          <c:yVal>
            <c:numRef>
              <c:f>Summary!$C$21</c:f>
              <c:numCache>
                <c:formatCode>0.00</c:formatCode>
                <c:ptCount val="1"/>
                <c:pt idx="0">
                  <c:v>29.191352937868889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BABF-7F48-92D7-A2384E19AA45}"/>
            </c:ext>
          </c:extLst>
        </c:ser>
        <c:ser>
          <c:idx val="92"/>
          <c:order val="41"/>
          <c:tx>
            <c:strRef>
              <c:f>Summary!$A$22</c:f>
              <c:strCache>
                <c:ptCount val="1"/>
                <c:pt idx="0">
                  <c:v>Mesin dan Perlengkapan ytdl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Summary!$B$22</c:f>
              <c:numCache>
                <c:formatCode>0.00</c:formatCode>
                <c:ptCount val="1"/>
                <c:pt idx="0">
                  <c:v>35.180478122187253</c:v>
                </c:pt>
              </c:numCache>
            </c:numRef>
          </c:xVal>
          <c:yVal>
            <c:numRef>
              <c:f>Summary!$C$22</c:f>
              <c:numCache>
                <c:formatCode>0.00</c:formatCode>
                <c:ptCount val="1"/>
                <c:pt idx="0">
                  <c:v>28.846572535723929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BABF-7F48-92D7-A2384E19AA45}"/>
            </c:ext>
          </c:extLst>
        </c:ser>
        <c:ser>
          <c:idx val="93"/>
          <c:order val="42"/>
          <c:tx>
            <c:strRef>
              <c:f>Summary!$A$23</c:f>
              <c:strCache>
                <c:ptCount val="1"/>
                <c:pt idx="0">
                  <c:v>Kendaraan Bermotor. Trailer dan Semi Trailer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Summary!$B$23</c:f>
              <c:numCache>
                <c:formatCode>0.00</c:formatCode>
                <c:ptCount val="1"/>
                <c:pt idx="0">
                  <c:v>33.579929275223925</c:v>
                </c:pt>
              </c:numCache>
            </c:numRef>
          </c:xVal>
          <c:yVal>
            <c:numRef>
              <c:f>Summary!$C$23</c:f>
              <c:numCache>
                <c:formatCode>0.00</c:formatCode>
                <c:ptCount val="1"/>
                <c:pt idx="0">
                  <c:v>31.3156424206319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BABF-7F48-92D7-A2384E19AA45}"/>
            </c:ext>
          </c:extLst>
        </c:ser>
        <c:ser>
          <c:idx val="94"/>
          <c:order val="43"/>
          <c:tx>
            <c:strRef>
              <c:f>Summary!$A$24</c:f>
              <c:strCache>
                <c:ptCount val="1"/>
                <c:pt idx="0">
                  <c:v>Alat Angkutan Lainnya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Summary!$B$24</c:f>
              <c:numCache>
                <c:formatCode>0.00</c:formatCode>
                <c:ptCount val="1"/>
                <c:pt idx="0">
                  <c:v>29.737096074804636</c:v>
                </c:pt>
              </c:numCache>
            </c:numRef>
          </c:xVal>
          <c:yVal>
            <c:numRef>
              <c:f>Summary!$C$24</c:f>
              <c:numCache>
                <c:formatCode>0.00</c:formatCode>
                <c:ptCount val="1"/>
                <c:pt idx="0">
                  <c:v>32.113344337097963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BABF-7F48-92D7-A2384E19AA45}"/>
            </c:ext>
          </c:extLst>
        </c:ser>
        <c:ser>
          <c:idx val="95"/>
          <c:order val="44"/>
          <c:tx>
            <c:strRef>
              <c:f>Summary!$A$25</c:f>
              <c:strCache>
                <c:ptCount val="1"/>
                <c:pt idx="0">
                  <c:v>Furnitur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Summary!$B$25</c:f>
              <c:numCache>
                <c:formatCode>0.00</c:formatCode>
                <c:ptCount val="1"/>
                <c:pt idx="0">
                  <c:v>7.3534437291700341</c:v>
                </c:pt>
              </c:numCache>
            </c:numRef>
          </c:xVal>
          <c:yVal>
            <c:numRef>
              <c:f>Summary!$C$2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BABF-7F48-92D7-A2384E19AA45}"/>
            </c:ext>
          </c:extLst>
        </c:ser>
        <c:ser>
          <c:idx val="96"/>
          <c:order val="45"/>
          <c:tx>
            <c:strRef>
              <c:f>Summary!$A$26</c:f>
              <c:strCache>
                <c:ptCount val="1"/>
                <c:pt idx="0">
                  <c:v>Pengolahan Lainnya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Summary!$B$26</c:f>
              <c:numCache>
                <c:formatCode>0.00</c:formatCode>
                <c:ptCount val="1"/>
                <c:pt idx="0">
                  <c:v>54.077972556204358</c:v>
                </c:pt>
              </c:numCache>
            </c:numRef>
          </c:xVal>
          <c:yVal>
            <c:numRef>
              <c:f>Summary!$C$26</c:f>
              <c:numCache>
                <c:formatCode>0.00</c:formatCode>
                <c:ptCount val="1"/>
                <c:pt idx="0">
                  <c:v>70.96773844309601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BABF-7F48-92D7-A2384E19AA45}"/>
            </c:ext>
          </c:extLst>
        </c:ser>
        <c:ser>
          <c:idx val="97"/>
          <c:order val="46"/>
          <c:tx>
            <c:strRef>
              <c:f>Summary!$A$27</c:f>
              <c:strCache>
                <c:ptCount val="1"/>
                <c:pt idx="0">
                  <c:v>Jasa Reparasi dan Pemasangan Mesin dan Peralatan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Summary!$B$27</c:f>
              <c:numCache>
                <c:formatCode>0.00</c:formatCode>
                <c:ptCount val="1"/>
                <c:pt idx="0">
                  <c:v>36.784252304980654</c:v>
                </c:pt>
              </c:numCache>
            </c:numRef>
          </c:xVal>
          <c:yVal>
            <c:numRef>
              <c:f>Summary!$C$27</c:f>
              <c:numCache>
                <c:formatCode>0.00</c:formatCode>
                <c:ptCount val="1"/>
                <c:pt idx="0">
                  <c:v>3.3333333333333335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BABF-7F48-92D7-A2384E19AA45}"/>
            </c:ext>
          </c:extLst>
        </c:ser>
        <c:ser>
          <c:idx val="98"/>
          <c:order val="47"/>
          <c:tx>
            <c:v>Impor</c:v>
          </c:tx>
          <c:spPr>
            <a:ln>
              <a:noFill/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317C-47A1-9A0C-E5989AFBAC89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317C-47A1-9A0C-E5989AFBAC89}"/>
              </c:ext>
            </c:extLst>
          </c:dPt>
          <c:xVal>
            <c:numRef>
              <c:f>Summary!$F$7:$F$8</c:f>
              <c:numCache>
                <c:formatCode>0.00</c:formatCode>
                <c:ptCount val="2"/>
                <c:pt idx="0">
                  <c:v>27.317000559774954</c:v>
                </c:pt>
                <c:pt idx="1">
                  <c:v>27.317000559774954</c:v>
                </c:pt>
              </c:numCache>
            </c:numRef>
          </c:xVal>
          <c:yVal>
            <c:numRef>
              <c:f>Summary!$G$7:$G$8</c:f>
              <c:numCache>
                <c:formatCode>0.00</c:formatCode>
                <c:ptCount val="2"/>
                <c:pt idx="0">
                  <c:v>0</c:v>
                </c:pt>
                <c:pt idx="1">
                  <c:v>85.600600803403282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BABF-7F48-92D7-A2384E19AA45}"/>
            </c:ext>
          </c:extLst>
        </c:ser>
        <c:ser>
          <c:idx val="99"/>
          <c:order val="48"/>
          <c:spPr>
            <a:ln w="19050">
              <a:noFill/>
            </a:ln>
          </c:spPr>
          <c:xVal>
            <c:numRef>
              <c:f>Summary!$F$11:$F$12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71.855899602880257</c:v>
                </c:pt>
              </c:numCache>
            </c:numRef>
          </c:xVal>
          <c:yVal>
            <c:numRef>
              <c:f>Summary!$G$23:$G$24</c:f>
              <c:numCache>
                <c:formatCode>0.00</c:formatCode>
                <c:ptCount val="2"/>
                <c:pt idx="0">
                  <c:v>35.471252056854354</c:v>
                </c:pt>
                <c:pt idx="1">
                  <c:v>35.471252056854354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BABF-7F48-92D7-A2384E19AA45}"/>
            </c:ext>
          </c:extLst>
        </c:ser>
        <c:ser>
          <c:idx val="25"/>
          <c:order val="49"/>
          <c:tx>
            <c:strRef>
              <c:f>Summary!$A$4</c:f>
              <c:strCache>
                <c:ptCount val="1"/>
                <c:pt idx="0">
                  <c:v>Makanan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Summary!$B$4</c:f>
              <c:numCache>
                <c:formatCode>0.00</c:formatCode>
                <c:ptCount val="1"/>
                <c:pt idx="0">
                  <c:v>10.286594567680474</c:v>
                </c:pt>
              </c:numCache>
            </c:numRef>
          </c:xVal>
          <c:yVal>
            <c:numRef>
              <c:f>Summary!$C$4</c:f>
              <c:numCache>
                <c:formatCode>0.00</c:formatCode>
                <c:ptCount val="1"/>
                <c:pt idx="0">
                  <c:v>57.763515033079017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BABF-7F48-92D7-A2384E19AA45}"/>
            </c:ext>
          </c:extLst>
        </c:ser>
        <c:ser>
          <c:idx val="26"/>
          <c:order val="50"/>
          <c:tx>
            <c:strRef>
              <c:f>Summary!$A$5</c:f>
              <c:strCache>
                <c:ptCount val="1"/>
                <c:pt idx="0">
                  <c:v>Minuman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Summary!$B$5</c:f>
              <c:numCache>
                <c:formatCode>0.00</c:formatCode>
                <c:ptCount val="1"/>
                <c:pt idx="0">
                  <c:v>18.341960735669293</c:v>
                </c:pt>
              </c:numCache>
            </c:numRef>
          </c:xVal>
          <c:yVal>
            <c:numRef>
              <c:f>Summary!$C$5</c:f>
              <c:numCache>
                <c:formatCode>0.00</c:formatCode>
                <c:ptCount val="1"/>
                <c:pt idx="0">
                  <c:v>12.082776770613844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BABF-7F48-92D7-A2384E19AA45}"/>
            </c:ext>
          </c:extLst>
        </c:ser>
        <c:ser>
          <c:idx val="27"/>
          <c:order val="51"/>
          <c:tx>
            <c:strRef>
              <c:f>Summary!$A$6</c:f>
              <c:strCache>
                <c:ptCount val="1"/>
                <c:pt idx="0">
                  <c:v>Pengolahan Tembakau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Summary!$B$6</c:f>
              <c:numCache>
                <c:formatCode>0.00</c:formatCode>
                <c:ptCount val="1"/>
                <c:pt idx="0">
                  <c:v>5.2597780739413693</c:v>
                </c:pt>
              </c:numCache>
            </c:numRef>
          </c:xVal>
          <c:yVal>
            <c:numRef>
              <c:f>Summary!$C$6</c:f>
              <c:numCache>
                <c:formatCode>0.00</c:formatCode>
                <c:ptCount val="1"/>
                <c:pt idx="0">
                  <c:v>49.946392170674486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BABF-7F48-92D7-A2384E19AA45}"/>
            </c:ext>
          </c:extLst>
        </c:ser>
        <c:ser>
          <c:idx val="28"/>
          <c:order val="52"/>
          <c:tx>
            <c:strRef>
              <c:f>Summary!$A$7</c:f>
              <c:strCache>
                <c:ptCount val="1"/>
                <c:pt idx="0">
                  <c:v>Tekstil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Summary!$B$7</c:f>
              <c:numCache>
                <c:formatCode>0.00</c:formatCode>
                <c:ptCount val="1"/>
                <c:pt idx="0">
                  <c:v>26.924796416960699</c:v>
                </c:pt>
              </c:numCache>
            </c:numRef>
          </c:xVal>
          <c:yVal>
            <c:numRef>
              <c:f>Summary!$C$7</c:f>
              <c:numCache>
                <c:formatCode>0.00</c:formatCode>
                <c:ptCount val="1"/>
                <c:pt idx="0">
                  <c:v>40.829237215215286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BABF-7F48-92D7-A2384E19AA45}"/>
            </c:ext>
          </c:extLst>
        </c:ser>
        <c:ser>
          <c:idx val="29"/>
          <c:order val="53"/>
          <c:tx>
            <c:strRef>
              <c:f>Summary!$A$8</c:f>
              <c:strCache>
                <c:ptCount val="1"/>
                <c:pt idx="0">
                  <c:v>Pakaian Jadi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Summary!$B$8</c:f>
              <c:numCache>
                <c:formatCode>0.00</c:formatCode>
                <c:ptCount val="1"/>
                <c:pt idx="0">
                  <c:v>40.379094559229671</c:v>
                </c:pt>
              </c:numCache>
            </c:numRef>
          </c:xVal>
          <c:yVal>
            <c:numRef>
              <c:f>Summary!$C$9</c:f>
              <c:numCache>
                <c:formatCode>0.00</c:formatCode>
                <c:ptCount val="1"/>
                <c:pt idx="0">
                  <c:v>43.646983080702526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BABF-7F48-92D7-A2384E19AA45}"/>
            </c:ext>
          </c:extLst>
        </c:ser>
        <c:ser>
          <c:idx val="30"/>
          <c:order val="54"/>
          <c:tx>
            <c:strRef>
              <c:f>Summary!$A$10</c:f>
              <c:strCache>
                <c:ptCount val="1"/>
                <c:pt idx="0">
                  <c:v>Kayu. Barang dari Kayu dan Gabus (Tidak Termasuk Furnitur) dan Barang Anyaman dari Bambu. Rotan dan Sejenisnya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Summary!$B$10</c:f>
              <c:numCache>
                <c:formatCode>0.00</c:formatCode>
                <c:ptCount val="1"/>
                <c:pt idx="0">
                  <c:v>6.8987478009938261</c:v>
                </c:pt>
              </c:numCache>
            </c:numRef>
          </c:xVal>
          <c:yVal>
            <c:numRef>
              <c:f>Summary!$C$10</c:f>
              <c:numCache>
                <c:formatCode>0.00</c:formatCode>
                <c:ptCount val="1"/>
                <c:pt idx="0">
                  <c:v>69.815778400619052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BABF-7F48-92D7-A2384E19AA45}"/>
            </c:ext>
          </c:extLst>
        </c:ser>
        <c:ser>
          <c:idx val="31"/>
          <c:order val="55"/>
          <c:tx>
            <c:strRef>
              <c:f>Summary!$A$11</c:f>
              <c:strCache>
                <c:ptCount val="1"/>
                <c:pt idx="0">
                  <c:v>Kertas dan Barang dari Kertas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Summary!$B$11</c:f>
              <c:numCache>
                <c:formatCode>0.00</c:formatCode>
                <c:ptCount val="1"/>
                <c:pt idx="0">
                  <c:v>14.748203875864254</c:v>
                </c:pt>
              </c:numCache>
            </c:numRef>
          </c:xVal>
          <c:yVal>
            <c:numRef>
              <c:f>Summary!$C$11</c:f>
              <c:numCache>
                <c:formatCode>0.00</c:formatCode>
                <c:ptCount val="1"/>
                <c:pt idx="0">
                  <c:v>26.222460083614525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BABF-7F48-92D7-A2384E19AA45}"/>
            </c:ext>
          </c:extLst>
        </c:ser>
        <c:ser>
          <c:idx val="32"/>
          <c:order val="56"/>
          <c:tx>
            <c:strRef>
              <c:f>Summary!$A$12</c:f>
              <c:strCache>
                <c:ptCount val="1"/>
                <c:pt idx="0">
                  <c:v>Pencetakan dan Reproduksi Media Rekaman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Summary!$B$12</c:f>
              <c:numCache>
                <c:formatCode>0.00</c:formatCode>
                <c:ptCount val="1"/>
                <c:pt idx="0">
                  <c:v>8.0606693583710864</c:v>
                </c:pt>
              </c:numCache>
            </c:numRef>
          </c:xVal>
          <c:yVal>
            <c:numRef>
              <c:f>Summary!$C$12</c:f>
              <c:numCache>
                <c:formatCode>0.00</c:formatCode>
                <c:ptCount val="1"/>
                <c:pt idx="0">
                  <c:v>22.251555555555555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BABF-7F48-92D7-A2384E19AA45}"/>
            </c:ext>
          </c:extLst>
        </c:ser>
        <c:ser>
          <c:idx val="33"/>
          <c:order val="57"/>
          <c:tx>
            <c:strRef>
              <c:f>Summary!$A$13</c:f>
              <c:strCache>
                <c:ptCount val="1"/>
                <c:pt idx="0">
                  <c:v>Produk dari Batu Bara dan Pengilangan Minyak Bumi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Summary!$B$13</c:f>
              <c:numCache>
                <c:formatCode>0.00</c:formatCode>
                <c:ptCount val="1"/>
                <c:pt idx="0">
                  <c:v>11.986768661340957</c:v>
                </c:pt>
              </c:numCache>
            </c:numRef>
          </c:xVal>
          <c:yVal>
            <c:numRef>
              <c:f>Summary!$C$13</c:f>
              <c:numCache>
                <c:formatCode>0.00</c:formatCode>
                <c:ptCount val="1"/>
                <c:pt idx="0">
                  <c:v>38.045789473684209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BABF-7F48-92D7-A2384E19AA45}"/>
            </c:ext>
          </c:extLst>
        </c:ser>
        <c:ser>
          <c:idx val="34"/>
          <c:order val="58"/>
          <c:tx>
            <c:strRef>
              <c:f>Summary!$A$14</c:f>
              <c:strCache>
                <c:ptCount val="1"/>
                <c:pt idx="0">
                  <c:v>Bahan Kimia dan Barang dari Bahan Kimia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Summary!$B$14</c:f>
              <c:numCache>
                <c:formatCode>0.00</c:formatCode>
                <c:ptCount val="1"/>
                <c:pt idx="0">
                  <c:v>36.000408264268167</c:v>
                </c:pt>
              </c:numCache>
            </c:numRef>
          </c:xVal>
          <c:yVal>
            <c:numRef>
              <c:f>Summary!$C$14</c:f>
              <c:numCache>
                <c:formatCode>0.00</c:formatCode>
                <c:ptCount val="1"/>
                <c:pt idx="0">
                  <c:v>32.896714640024506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BABF-7F48-92D7-A2384E19AA45}"/>
            </c:ext>
          </c:extLst>
        </c:ser>
        <c:ser>
          <c:idx val="35"/>
          <c:order val="59"/>
          <c:tx>
            <c:strRef>
              <c:f>Summary!$A$15</c:f>
              <c:strCache>
                <c:ptCount val="1"/>
                <c:pt idx="0">
                  <c:v>Farmasi. Produk Obat Kimia dan Obat Tradisional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Summary!$B$15</c:f>
              <c:numCache>
                <c:formatCode>0.00</c:formatCode>
                <c:ptCount val="1"/>
                <c:pt idx="0">
                  <c:v>38.440680547909572</c:v>
                </c:pt>
              </c:numCache>
            </c:numRef>
          </c:xVal>
          <c:yVal>
            <c:numRef>
              <c:f>Summary!$C$15</c:f>
              <c:numCache>
                <c:formatCode>0.00</c:formatCode>
                <c:ptCount val="1"/>
                <c:pt idx="0">
                  <c:v>18.100142006329349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BABF-7F48-92D7-A2384E19AA45}"/>
            </c:ext>
          </c:extLst>
        </c:ser>
        <c:ser>
          <c:idx val="36"/>
          <c:order val="60"/>
          <c:tx>
            <c:strRef>
              <c:f>Summary!$A$16</c:f>
              <c:strCache>
                <c:ptCount val="1"/>
                <c:pt idx="0">
                  <c:v>Karet. Barang dari Karet dan Plastik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Summary!$B$16</c:f>
              <c:numCache>
                <c:formatCode>0.00</c:formatCode>
                <c:ptCount val="1"/>
                <c:pt idx="0">
                  <c:v>16.74841257128919</c:v>
                </c:pt>
              </c:numCache>
            </c:numRef>
          </c:xVal>
          <c:yVal>
            <c:numRef>
              <c:f>Summary!$C$1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BABF-7F48-92D7-A2384E19AA45}"/>
            </c:ext>
          </c:extLst>
        </c:ser>
        <c:ser>
          <c:idx val="37"/>
          <c:order val="61"/>
          <c:tx>
            <c:strRef>
              <c:f>Summary!$A$17</c:f>
              <c:strCache>
                <c:ptCount val="1"/>
                <c:pt idx="0">
                  <c:v>Barang Galian Bukan Logam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Summary!$B$17</c:f>
              <c:numCache>
                <c:formatCode>0.00</c:formatCode>
                <c:ptCount val="1"/>
                <c:pt idx="0">
                  <c:v>20.69620253243027</c:v>
                </c:pt>
              </c:numCache>
            </c:numRef>
          </c:xVal>
          <c:yVal>
            <c:numRef>
              <c:f>Summary!$C$17</c:f>
              <c:numCache>
                <c:formatCode>0.00</c:formatCode>
                <c:ptCount val="1"/>
                <c:pt idx="0">
                  <c:v>29.722374719770446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BABF-7F48-92D7-A2384E19AA45}"/>
            </c:ext>
          </c:extLst>
        </c:ser>
        <c:ser>
          <c:idx val="38"/>
          <c:order val="62"/>
          <c:tx>
            <c:strRef>
              <c:f>Summary!$A$18</c:f>
              <c:strCache>
                <c:ptCount val="1"/>
                <c:pt idx="0">
                  <c:v>Logam Dasar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Summary!$B$18</c:f>
              <c:numCache>
                <c:formatCode>0.00</c:formatCode>
                <c:ptCount val="1"/>
                <c:pt idx="0">
                  <c:v>38.924375301981293</c:v>
                </c:pt>
              </c:numCache>
            </c:numRef>
          </c:xVal>
          <c:yVal>
            <c:numRef>
              <c:f>Summary!$C$18</c:f>
              <c:numCache>
                <c:formatCode>0.00</c:formatCode>
                <c:ptCount val="1"/>
                <c:pt idx="0">
                  <c:v>47.999677447153836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BABF-7F48-92D7-A2384E19AA45}"/>
            </c:ext>
          </c:extLst>
        </c:ser>
        <c:ser>
          <c:idx val="39"/>
          <c:order val="63"/>
          <c:tx>
            <c:strRef>
              <c:f>Summary!$A$19</c:f>
              <c:strCache>
                <c:ptCount val="1"/>
                <c:pt idx="0">
                  <c:v>Barang Logam. Bukan Mesin dan Peralatannya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Summary!$B$19</c:f>
              <c:numCache>
                <c:formatCode>0.00</c:formatCode>
                <c:ptCount val="1"/>
                <c:pt idx="0">
                  <c:v>30.673520143676004</c:v>
                </c:pt>
              </c:numCache>
            </c:numRef>
          </c:xVal>
          <c:yVal>
            <c:numRef>
              <c:f>Summary!$C$19</c:f>
              <c:numCache>
                <c:formatCode>0.00</c:formatCode>
                <c:ptCount val="1"/>
                <c:pt idx="0">
                  <c:v>28.538670507454082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BABF-7F48-92D7-A2384E19AA45}"/>
            </c:ext>
          </c:extLst>
        </c:ser>
        <c:ser>
          <c:idx val="40"/>
          <c:order val="64"/>
          <c:tx>
            <c:strRef>
              <c:f>Summary!$A$20</c:f>
              <c:strCache>
                <c:ptCount val="1"/>
                <c:pt idx="0">
                  <c:v>Komputer. Barang Elektronik dan Optik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Summary!$B$20</c:f>
              <c:numCache>
                <c:formatCode>0.00</c:formatCode>
                <c:ptCount val="1"/>
                <c:pt idx="0">
                  <c:v>65.3235450935275</c:v>
                </c:pt>
              </c:numCache>
            </c:numRef>
          </c:xVal>
          <c:yVal>
            <c:numRef>
              <c:f>Summary!$C$20</c:f>
              <c:numCache>
                <c:formatCode>0.00</c:formatCode>
                <c:ptCount val="1"/>
                <c:pt idx="0">
                  <c:v>50.435337494786999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BABF-7F48-92D7-A2384E19AA45}"/>
            </c:ext>
          </c:extLst>
        </c:ser>
        <c:ser>
          <c:idx val="41"/>
          <c:order val="65"/>
          <c:tx>
            <c:strRef>
              <c:f>Summary!$A$21</c:f>
              <c:strCache>
                <c:ptCount val="1"/>
                <c:pt idx="0">
                  <c:v>Peralatan Listrik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Summary!$B$21</c:f>
              <c:numCache>
                <c:formatCode>0.00</c:formatCode>
                <c:ptCount val="1"/>
                <c:pt idx="0">
                  <c:v>41.873258296855504</c:v>
                </c:pt>
              </c:numCache>
            </c:numRef>
          </c:xVal>
          <c:yVal>
            <c:numRef>
              <c:f>Summary!$C$21</c:f>
              <c:numCache>
                <c:formatCode>0.00</c:formatCode>
                <c:ptCount val="1"/>
                <c:pt idx="0">
                  <c:v>29.191352937868889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BABF-7F48-92D7-A2384E19AA45}"/>
            </c:ext>
          </c:extLst>
        </c:ser>
        <c:ser>
          <c:idx val="42"/>
          <c:order val="66"/>
          <c:tx>
            <c:strRef>
              <c:f>Summary!$A$22</c:f>
              <c:strCache>
                <c:ptCount val="1"/>
                <c:pt idx="0">
                  <c:v>Mesin dan Perlengkapan ytdl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Summary!$B$22</c:f>
              <c:numCache>
                <c:formatCode>0.00</c:formatCode>
                <c:ptCount val="1"/>
                <c:pt idx="0">
                  <c:v>35.180478122187253</c:v>
                </c:pt>
              </c:numCache>
            </c:numRef>
          </c:xVal>
          <c:yVal>
            <c:numRef>
              <c:f>Summary!$C$22</c:f>
              <c:numCache>
                <c:formatCode>0.00</c:formatCode>
                <c:ptCount val="1"/>
                <c:pt idx="0">
                  <c:v>28.846572535723929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BABF-7F48-92D7-A2384E19AA45}"/>
            </c:ext>
          </c:extLst>
        </c:ser>
        <c:ser>
          <c:idx val="43"/>
          <c:order val="67"/>
          <c:tx>
            <c:strRef>
              <c:f>Summary!$A$23</c:f>
              <c:strCache>
                <c:ptCount val="1"/>
                <c:pt idx="0">
                  <c:v>Kendaraan Bermotor. Trailer dan Semi Trailer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Summary!$B$23</c:f>
              <c:numCache>
                <c:formatCode>0.00</c:formatCode>
                <c:ptCount val="1"/>
                <c:pt idx="0">
                  <c:v>33.579929275223925</c:v>
                </c:pt>
              </c:numCache>
            </c:numRef>
          </c:xVal>
          <c:yVal>
            <c:numRef>
              <c:f>Summary!$C$23</c:f>
              <c:numCache>
                <c:formatCode>0.00</c:formatCode>
                <c:ptCount val="1"/>
                <c:pt idx="0">
                  <c:v>31.3156424206319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BABF-7F48-92D7-A2384E19AA45}"/>
            </c:ext>
          </c:extLst>
        </c:ser>
        <c:ser>
          <c:idx val="44"/>
          <c:order val="68"/>
          <c:tx>
            <c:strRef>
              <c:f>Summary!$A$24</c:f>
              <c:strCache>
                <c:ptCount val="1"/>
                <c:pt idx="0">
                  <c:v>Alat Angkutan Lainnya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Summary!$B$24</c:f>
              <c:numCache>
                <c:formatCode>0.00</c:formatCode>
                <c:ptCount val="1"/>
                <c:pt idx="0">
                  <c:v>29.737096074804636</c:v>
                </c:pt>
              </c:numCache>
            </c:numRef>
          </c:xVal>
          <c:yVal>
            <c:numRef>
              <c:f>Summary!$C$24</c:f>
              <c:numCache>
                <c:formatCode>0.00</c:formatCode>
                <c:ptCount val="1"/>
                <c:pt idx="0">
                  <c:v>32.113344337097963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BABF-7F48-92D7-A2384E19AA45}"/>
            </c:ext>
          </c:extLst>
        </c:ser>
        <c:ser>
          <c:idx val="45"/>
          <c:order val="69"/>
          <c:tx>
            <c:strRef>
              <c:f>Summary!$A$25</c:f>
              <c:strCache>
                <c:ptCount val="1"/>
                <c:pt idx="0">
                  <c:v>Furnitur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Summary!$B$25</c:f>
              <c:numCache>
                <c:formatCode>0.00</c:formatCode>
                <c:ptCount val="1"/>
                <c:pt idx="0">
                  <c:v>7.3534437291700341</c:v>
                </c:pt>
              </c:numCache>
            </c:numRef>
          </c:xVal>
          <c:yVal>
            <c:numRef>
              <c:f>Summary!$C$2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BABF-7F48-92D7-A2384E19AA45}"/>
            </c:ext>
          </c:extLst>
        </c:ser>
        <c:ser>
          <c:idx val="46"/>
          <c:order val="70"/>
          <c:tx>
            <c:strRef>
              <c:f>Summary!$A$26</c:f>
              <c:strCache>
                <c:ptCount val="1"/>
                <c:pt idx="0">
                  <c:v>Pengolahan Lainnya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Summary!$B$26</c:f>
              <c:numCache>
                <c:formatCode>0.00</c:formatCode>
                <c:ptCount val="1"/>
                <c:pt idx="0">
                  <c:v>54.077972556204358</c:v>
                </c:pt>
              </c:numCache>
            </c:numRef>
          </c:xVal>
          <c:yVal>
            <c:numRef>
              <c:f>Summary!$C$26</c:f>
              <c:numCache>
                <c:formatCode>0.00</c:formatCode>
                <c:ptCount val="1"/>
                <c:pt idx="0">
                  <c:v>70.96773844309601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BABF-7F48-92D7-A2384E19AA45}"/>
            </c:ext>
          </c:extLst>
        </c:ser>
        <c:ser>
          <c:idx val="47"/>
          <c:order val="71"/>
          <c:tx>
            <c:strRef>
              <c:f>Summary!$A$27</c:f>
              <c:strCache>
                <c:ptCount val="1"/>
                <c:pt idx="0">
                  <c:v>Jasa Reparasi dan Pemasangan Mesin dan Peralatan</c:v>
                </c:pt>
              </c:strCache>
            </c:strRef>
          </c:tx>
          <c:spPr>
            <a:ln w="19050">
              <a:noFill/>
            </a:ln>
          </c:spPr>
          <c:xVal>
            <c:numRef>
              <c:f>Summary!$B$27</c:f>
              <c:numCache>
                <c:formatCode>0.00</c:formatCode>
                <c:ptCount val="1"/>
                <c:pt idx="0">
                  <c:v>36.784252304980654</c:v>
                </c:pt>
              </c:numCache>
            </c:numRef>
          </c:xVal>
          <c:yVal>
            <c:numRef>
              <c:f>Summary!$C$27</c:f>
              <c:numCache>
                <c:formatCode>0.00</c:formatCode>
                <c:ptCount val="1"/>
                <c:pt idx="0">
                  <c:v>3.3333333333333335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BABF-7F48-92D7-A2384E19AA45}"/>
            </c:ext>
          </c:extLst>
        </c:ser>
        <c:ser>
          <c:idx val="49"/>
          <c:order val="72"/>
          <c:spPr>
            <a:ln w="19050">
              <a:noFill/>
            </a:ln>
          </c:spPr>
          <c:xVal>
            <c:numRef>
              <c:f>Summary!$F$23:$F$24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71.855899602880257</c:v>
                </c:pt>
              </c:numCache>
            </c:numRef>
          </c:xVal>
          <c:yVal>
            <c:numRef>
              <c:f>Summary!$G$23:$G$24</c:f>
              <c:numCache>
                <c:formatCode>0.00</c:formatCode>
                <c:ptCount val="2"/>
                <c:pt idx="0">
                  <c:v>35.471252056854354</c:v>
                </c:pt>
                <c:pt idx="1">
                  <c:v>35.471252056854354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BABF-7F48-92D7-A2384E19AA45}"/>
            </c:ext>
          </c:extLst>
        </c:ser>
        <c:ser>
          <c:idx val="0"/>
          <c:order val="73"/>
          <c:tx>
            <c:strRef>
              <c:f>Summary!$A$4</c:f>
              <c:strCache>
                <c:ptCount val="1"/>
                <c:pt idx="0">
                  <c:v>Makanan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Summary!$B$4</c:f>
              <c:numCache>
                <c:formatCode>0.00</c:formatCode>
                <c:ptCount val="1"/>
                <c:pt idx="0">
                  <c:v>10.286594567680474</c:v>
                </c:pt>
              </c:numCache>
            </c:numRef>
          </c:xVal>
          <c:yVal>
            <c:numRef>
              <c:f>Summary!$C$4</c:f>
              <c:numCache>
                <c:formatCode>0.00</c:formatCode>
                <c:ptCount val="1"/>
                <c:pt idx="0">
                  <c:v>57.763515033079017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B-BABF-7F48-92D7-A2384E19AA45}"/>
            </c:ext>
          </c:extLst>
        </c:ser>
        <c:ser>
          <c:idx val="1"/>
          <c:order val="74"/>
          <c:tx>
            <c:strRef>
              <c:f>Summary!$A$5</c:f>
              <c:strCache>
                <c:ptCount val="1"/>
                <c:pt idx="0">
                  <c:v>Minuman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Summary!$B$5</c:f>
              <c:numCache>
                <c:formatCode>0.00</c:formatCode>
                <c:ptCount val="1"/>
                <c:pt idx="0">
                  <c:v>18.341960735669293</c:v>
                </c:pt>
              </c:numCache>
            </c:numRef>
          </c:xVal>
          <c:yVal>
            <c:numRef>
              <c:f>Summary!$C$5</c:f>
              <c:numCache>
                <c:formatCode>0.00</c:formatCode>
                <c:ptCount val="1"/>
                <c:pt idx="0">
                  <c:v>12.082776770613844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C-BABF-7F48-92D7-A2384E19AA45}"/>
            </c:ext>
          </c:extLst>
        </c:ser>
        <c:ser>
          <c:idx val="2"/>
          <c:order val="75"/>
          <c:tx>
            <c:strRef>
              <c:f>Summary!$A$6</c:f>
              <c:strCache>
                <c:ptCount val="1"/>
                <c:pt idx="0">
                  <c:v>Pengolahan Tembakau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Summary!$B$6</c:f>
              <c:numCache>
                <c:formatCode>0.00</c:formatCode>
                <c:ptCount val="1"/>
                <c:pt idx="0">
                  <c:v>5.2597780739413693</c:v>
                </c:pt>
              </c:numCache>
            </c:numRef>
          </c:xVal>
          <c:yVal>
            <c:numRef>
              <c:f>Summary!$C$6</c:f>
              <c:numCache>
                <c:formatCode>0.00</c:formatCode>
                <c:ptCount val="1"/>
                <c:pt idx="0">
                  <c:v>49.946392170674486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D-BABF-7F48-92D7-A2384E19AA45}"/>
            </c:ext>
          </c:extLst>
        </c:ser>
        <c:ser>
          <c:idx val="3"/>
          <c:order val="76"/>
          <c:tx>
            <c:strRef>
              <c:f>Summary!$A$7</c:f>
              <c:strCache>
                <c:ptCount val="1"/>
                <c:pt idx="0">
                  <c:v>Tekstil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Summary!$B$7</c:f>
              <c:numCache>
                <c:formatCode>0.00</c:formatCode>
                <c:ptCount val="1"/>
                <c:pt idx="0">
                  <c:v>26.924796416960699</c:v>
                </c:pt>
              </c:numCache>
            </c:numRef>
          </c:xVal>
          <c:yVal>
            <c:numRef>
              <c:f>Summary!$C$7</c:f>
              <c:numCache>
                <c:formatCode>0.00</c:formatCode>
                <c:ptCount val="1"/>
                <c:pt idx="0">
                  <c:v>40.829237215215286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E-BABF-7F48-92D7-A2384E19AA45}"/>
            </c:ext>
          </c:extLst>
        </c:ser>
        <c:ser>
          <c:idx val="4"/>
          <c:order val="77"/>
          <c:tx>
            <c:strRef>
              <c:f>Summary!$A$8</c:f>
              <c:strCache>
                <c:ptCount val="1"/>
                <c:pt idx="0">
                  <c:v>Pakaian Jadi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Summary!$B$8</c:f>
              <c:numCache>
                <c:formatCode>0.00</c:formatCode>
                <c:ptCount val="1"/>
                <c:pt idx="0">
                  <c:v>40.379094559229671</c:v>
                </c:pt>
              </c:numCache>
            </c:numRef>
          </c:xVal>
          <c:yVal>
            <c:numRef>
              <c:f>Summary!$C$9</c:f>
              <c:numCache>
                <c:formatCode>0.00</c:formatCode>
                <c:ptCount val="1"/>
                <c:pt idx="0">
                  <c:v>43.646983080702526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F-BABF-7F48-92D7-A2384E19AA45}"/>
            </c:ext>
          </c:extLst>
        </c:ser>
        <c:ser>
          <c:idx val="5"/>
          <c:order val="78"/>
          <c:tx>
            <c:strRef>
              <c:f>Summary!$A$10</c:f>
              <c:strCache>
                <c:ptCount val="1"/>
                <c:pt idx="0">
                  <c:v>Kayu. Barang dari Kayu dan Gabus (Tidak Termasuk Furnitur) dan Barang Anyaman dari Bambu. Rotan dan Sejenisnya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Summary!$B$10</c:f>
              <c:numCache>
                <c:formatCode>0.00</c:formatCode>
                <c:ptCount val="1"/>
                <c:pt idx="0">
                  <c:v>6.8987478009938261</c:v>
                </c:pt>
              </c:numCache>
            </c:numRef>
          </c:xVal>
          <c:yVal>
            <c:numRef>
              <c:f>Summary!$C$10</c:f>
              <c:numCache>
                <c:formatCode>0.00</c:formatCode>
                <c:ptCount val="1"/>
                <c:pt idx="0">
                  <c:v>69.815778400619052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0-BABF-7F48-92D7-A2384E19AA45}"/>
            </c:ext>
          </c:extLst>
        </c:ser>
        <c:ser>
          <c:idx val="6"/>
          <c:order val="79"/>
          <c:tx>
            <c:strRef>
              <c:f>Summary!$A$11</c:f>
              <c:strCache>
                <c:ptCount val="1"/>
                <c:pt idx="0">
                  <c:v>Kertas dan Barang dari Kertas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Summary!$B$11</c:f>
              <c:numCache>
                <c:formatCode>0.00</c:formatCode>
                <c:ptCount val="1"/>
                <c:pt idx="0">
                  <c:v>14.748203875864254</c:v>
                </c:pt>
              </c:numCache>
            </c:numRef>
          </c:xVal>
          <c:yVal>
            <c:numRef>
              <c:f>Summary!$C$11</c:f>
              <c:numCache>
                <c:formatCode>0.00</c:formatCode>
                <c:ptCount val="1"/>
                <c:pt idx="0">
                  <c:v>26.222460083614525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1-BABF-7F48-92D7-A2384E19AA45}"/>
            </c:ext>
          </c:extLst>
        </c:ser>
        <c:ser>
          <c:idx val="7"/>
          <c:order val="80"/>
          <c:tx>
            <c:strRef>
              <c:f>Summary!$A$12</c:f>
              <c:strCache>
                <c:ptCount val="1"/>
                <c:pt idx="0">
                  <c:v>Pencetakan dan Reproduksi Media Rekaman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Summary!$B$12</c:f>
              <c:numCache>
                <c:formatCode>0.00</c:formatCode>
                <c:ptCount val="1"/>
                <c:pt idx="0">
                  <c:v>8.0606693583710864</c:v>
                </c:pt>
              </c:numCache>
            </c:numRef>
          </c:xVal>
          <c:yVal>
            <c:numRef>
              <c:f>Summary!$C$12</c:f>
              <c:numCache>
                <c:formatCode>0.00</c:formatCode>
                <c:ptCount val="1"/>
                <c:pt idx="0">
                  <c:v>22.251555555555555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2-BABF-7F48-92D7-A2384E19AA45}"/>
            </c:ext>
          </c:extLst>
        </c:ser>
        <c:ser>
          <c:idx val="8"/>
          <c:order val="81"/>
          <c:tx>
            <c:strRef>
              <c:f>Summary!$A$13</c:f>
              <c:strCache>
                <c:ptCount val="1"/>
                <c:pt idx="0">
                  <c:v>Produk dari Batu Bara dan Pengilangan Minyak Bumi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Summary!$B$13</c:f>
              <c:numCache>
                <c:formatCode>0.00</c:formatCode>
                <c:ptCount val="1"/>
                <c:pt idx="0">
                  <c:v>11.986768661340957</c:v>
                </c:pt>
              </c:numCache>
            </c:numRef>
          </c:xVal>
          <c:yVal>
            <c:numRef>
              <c:f>Summary!$C$13</c:f>
              <c:numCache>
                <c:formatCode>0.00</c:formatCode>
                <c:ptCount val="1"/>
                <c:pt idx="0">
                  <c:v>38.045789473684209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3-BABF-7F48-92D7-A2384E19AA45}"/>
            </c:ext>
          </c:extLst>
        </c:ser>
        <c:ser>
          <c:idx val="9"/>
          <c:order val="82"/>
          <c:tx>
            <c:strRef>
              <c:f>Summary!$A$14</c:f>
              <c:strCache>
                <c:ptCount val="1"/>
                <c:pt idx="0">
                  <c:v>Bahan Kimia dan Barang dari Bahan Kimia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Summary!$B$14</c:f>
              <c:numCache>
                <c:formatCode>0.00</c:formatCode>
                <c:ptCount val="1"/>
                <c:pt idx="0">
                  <c:v>36.000408264268167</c:v>
                </c:pt>
              </c:numCache>
            </c:numRef>
          </c:xVal>
          <c:yVal>
            <c:numRef>
              <c:f>Summary!$C$14</c:f>
              <c:numCache>
                <c:formatCode>0.00</c:formatCode>
                <c:ptCount val="1"/>
                <c:pt idx="0">
                  <c:v>32.896714640024506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4-BABF-7F48-92D7-A2384E19AA45}"/>
            </c:ext>
          </c:extLst>
        </c:ser>
        <c:ser>
          <c:idx val="10"/>
          <c:order val="83"/>
          <c:tx>
            <c:strRef>
              <c:f>Summary!$A$15</c:f>
              <c:strCache>
                <c:ptCount val="1"/>
                <c:pt idx="0">
                  <c:v>Farmasi. Produk Obat Kimia dan Obat Tradisional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Summary!$B$15</c:f>
              <c:numCache>
                <c:formatCode>0.00</c:formatCode>
                <c:ptCount val="1"/>
                <c:pt idx="0">
                  <c:v>38.440680547909572</c:v>
                </c:pt>
              </c:numCache>
            </c:numRef>
          </c:xVal>
          <c:yVal>
            <c:numRef>
              <c:f>Summary!$C$15</c:f>
              <c:numCache>
                <c:formatCode>0.00</c:formatCode>
                <c:ptCount val="1"/>
                <c:pt idx="0">
                  <c:v>18.100142006329349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5-BABF-7F48-92D7-A2384E19AA45}"/>
            </c:ext>
          </c:extLst>
        </c:ser>
        <c:ser>
          <c:idx val="11"/>
          <c:order val="84"/>
          <c:tx>
            <c:strRef>
              <c:f>Summary!$A$16</c:f>
              <c:strCache>
                <c:ptCount val="1"/>
                <c:pt idx="0">
                  <c:v>Karet. Barang dari Karet dan Plastik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Summary!$B$16</c:f>
              <c:numCache>
                <c:formatCode>0.00</c:formatCode>
                <c:ptCount val="1"/>
                <c:pt idx="0">
                  <c:v>16.74841257128919</c:v>
                </c:pt>
              </c:numCache>
            </c:numRef>
          </c:xVal>
          <c:yVal>
            <c:numRef>
              <c:f>Summary!$C$1</c:f>
              <c:numCache>
                <c:formatCode>General</c:formatCode>
                <c:ptCount val="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6-BABF-7F48-92D7-A2384E19AA45}"/>
            </c:ext>
          </c:extLst>
        </c:ser>
        <c:ser>
          <c:idx val="12"/>
          <c:order val="85"/>
          <c:tx>
            <c:strRef>
              <c:f>Summary!$A$17</c:f>
              <c:strCache>
                <c:ptCount val="1"/>
                <c:pt idx="0">
                  <c:v>Barang Galian Bukan Logam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Summary!$B$17</c:f>
              <c:numCache>
                <c:formatCode>0.00</c:formatCode>
                <c:ptCount val="1"/>
                <c:pt idx="0">
                  <c:v>20.69620253243027</c:v>
                </c:pt>
              </c:numCache>
            </c:numRef>
          </c:xVal>
          <c:yVal>
            <c:numRef>
              <c:f>Summary!$C$17</c:f>
              <c:numCache>
                <c:formatCode>0.00</c:formatCode>
                <c:ptCount val="1"/>
                <c:pt idx="0">
                  <c:v>29.722374719770446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7-BABF-7F48-92D7-A2384E19AA45}"/>
            </c:ext>
          </c:extLst>
        </c:ser>
        <c:ser>
          <c:idx val="13"/>
          <c:order val="86"/>
          <c:tx>
            <c:strRef>
              <c:f>Summary!$A$18</c:f>
              <c:strCache>
                <c:ptCount val="1"/>
                <c:pt idx="0">
                  <c:v>Logam Dasar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Summary!$B$18</c:f>
              <c:numCache>
                <c:formatCode>0.00</c:formatCode>
                <c:ptCount val="1"/>
                <c:pt idx="0">
                  <c:v>38.924375301981293</c:v>
                </c:pt>
              </c:numCache>
            </c:numRef>
          </c:xVal>
          <c:yVal>
            <c:numRef>
              <c:f>Summary!$C$18</c:f>
              <c:numCache>
                <c:formatCode>0.00</c:formatCode>
                <c:ptCount val="1"/>
                <c:pt idx="0">
                  <c:v>47.999677447153836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8-BABF-7F48-92D7-A2384E19AA45}"/>
            </c:ext>
          </c:extLst>
        </c:ser>
        <c:ser>
          <c:idx val="14"/>
          <c:order val="87"/>
          <c:tx>
            <c:strRef>
              <c:f>Summary!$A$19</c:f>
              <c:strCache>
                <c:ptCount val="1"/>
                <c:pt idx="0">
                  <c:v>Barang Logam. Bukan Mesin dan Peralatannya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Summary!$B$19</c:f>
              <c:numCache>
                <c:formatCode>0.00</c:formatCode>
                <c:ptCount val="1"/>
                <c:pt idx="0">
                  <c:v>30.673520143676004</c:v>
                </c:pt>
              </c:numCache>
            </c:numRef>
          </c:xVal>
          <c:yVal>
            <c:numRef>
              <c:f>Summary!$C$19</c:f>
              <c:numCache>
                <c:formatCode>0.00</c:formatCode>
                <c:ptCount val="1"/>
                <c:pt idx="0">
                  <c:v>28.538670507454082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9-BABF-7F48-92D7-A2384E19AA45}"/>
            </c:ext>
          </c:extLst>
        </c:ser>
        <c:ser>
          <c:idx val="15"/>
          <c:order val="88"/>
          <c:tx>
            <c:strRef>
              <c:f>Summary!$A$20</c:f>
              <c:strCache>
                <c:ptCount val="1"/>
                <c:pt idx="0">
                  <c:v>Komputer. Barang Elektronik dan Optik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Summary!$B$20</c:f>
              <c:numCache>
                <c:formatCode>0.00</c:formatCode>
                <c:ptCount val="1"/>
                <c:pt idx="0">
                  <c:v>65.3235450935275</c:v>
                </c:pt>
              </c:numCache>
            </c:numRef>
          </c:xVal>
          <c:yVal>
            <c:numRef>
              <c:f>Summary!$C$20</c:f>
              <c:numCache>
                <c:formatCode>0.00</c:formatCode>
                <c:ptCount val="1"/>
                <c:pt idx="0">
                  <c:v>50.435337494786999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A-BABF-7F48-92D7-A2384E19AA45}"/>
            </c:ext>
          </c:extLst>
        </c:ser>
        <c:ser>
          <c:idx val="16"/>
          <c:order val="89"/>
          <c:tx>
            <c:strRef>
              <c:f>Summary!$A$21</c:f>
              <c:strCache>
                <c:ptCount val="1"/>
                <c:pt idx="0">
                  <c:v>Peralatan Listrik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Summary!$B$21</c:f>
              <c:numCache>
                <c:formatCode>0.00</c:formatCode>
                <c:ptCount val="1"/>
                <c:pt idx="0">
                  <c:v>41.873258296855504</c:v>
                </c:pt>
              </c:numCache>
            </c:numRef>
          </c:xVal>
          <c:yVal>
            <c:numRef>
              <c:f>Summary!$C$21</c:f>
              <c:numCache>
                <c:formatCode>0.00</c:formatCode>
                <c:ptCount val="1"/>
                <c:pt idx="0">
                  <c:v>29.191352937868889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B-BABF-7F48-92D7-A2384E19AA45}"/>
            </c:ext>
          </c:extLst>
        </c:ser>
        <c:ser>
          <c:idx val="17"/>
          <c:order val="90"/>
          <c:tx>
            <c:strRef>
              <c:f>Summary!$A$22</c:f>
              <c:strCache>
                <c:ptCount val="1"/>
                <c:pt idx="0">
                  <c:v>Mesin dan Perlengkapan ytdl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Summary!$B$22</c:f>
              <c:numCache>
                <c:formatCode>0.00</c:formatCode>
                <c:ptCount val="1"/>
                <c:pt idx="0">
                  <c:v>35.180478122187253</c:v>
                </c:pt>
              </c:numCache>
            </c:numRef>
          </c:xVal>
          <c:yVal>
            <c:numRef>
              <c:f>Summary!$C$22</c:f>
              <c:numCache>
                <c:formatCode>0.00</c:formatCode>
                <c:ptCount val="1"/>
                <c:pt idx="0">
                  <c:v>28.846572535723929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C-BABF-7F48-92D7-A2384E19AA45}"/>
            </c:ext>
          </c:extLst>
        </c:ser>
        <c:ser>
          <c:idx val="18"/>
          <c:order val="91"/>
          <c:tx>
            <c:strRef>
              <c:f>Summary!$A$23</c:f>
              <c:strCache>
                <c:ptCount val="1"/>
                <c:pt idx="0">
                  <c:v>Kendaraan Bermotor. Trailer dan Semi Trailer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Summary!$B$23</c:f>
              <c:numCache>
                <c:formatCode>0.00</c:formatCode>
                <c:ptCount val="1"/>
                <c:pt idx="0">
                  <c:v>33.579929275223925</c:v>
                </c:pt>
              </c:numCache>
            </c:numRef>
          </c:xVal>
          <c:yVal>
            <c:numRef>
              <c:f>Summary!$C$23</c:f>
              <c:numCache>
                <c:formatCode>0.00</c:formatCode>
                <c:ptCount val="1"/>
                <c:pt idx="0">
                  <c:v>31.3156424206319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D-BABF-7F48-92D7-A2384E19AA45}"/>
            </c:ext>
          </c:extLst>
        </c:ser>
        <c:ser>
          <c:idx val="19"/>
          <c:order val="92"/>
          <c:tx>
            <c:strRef>
              <c:f>Summary!$A$24</c:f>
              <c:strCache>
                <c:ptCount val="1"/>
                <c:pt idx="0">
                  <c:v>Alat Angkutan Lainnya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Summary!$B$24</c:f>
              <c:numCache>
                <c:formatCode>0.00</c:formatCode>
                <c:ptCount val="1"/>
                <c:pt idx="0">
                  <c:v>29.737096074804636</c:v>
                </c:pt>
              </c:numCache>
            </c:numRef>
          </c:xVal>
          <c:yVal>
            <c:numRef>
              <c:f>Summary!$C$24</c:f>
              <c:numCache>
                <c:formatCode>0.00</c:formatCode>
                <c:ptCount val="1"/>
                <c:pt idx="0">
                  <c:v>32.113344337097963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E-BABF-7F48-92D7-A2384E19AA45}"/>
            </c:ext>
          </c:extLst>
        </c:ser>
        <c:ser>
          <c:idx val="20"/>
          <c:order val="93"/>
          <c:tx>
            <c:strRef>
              <c:f>Summary!$A$25</c:f>
              <c:strCache>
                <c:ptCount val="1"/>
                <c:pt idx="0">
                  <c:v>Furnitur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Summary!$B$25</c:f>
              <c:numCache>
                <c:formatCode>0.00</c:formatCode>
                <c:ptCount val="1"/>
                <c:pt idx="0">
                  <c:v>7.3534437291700341</c:v>
                </c:pt>
              </c:numCache>
            </c:numRef>
          </c:xVal>
          <c:yVal>
            <c:numRef>
              <c:f>Summary!$C$2</c:f>
              <c:numCache>
                <c:formatCode>General</c:formatCode>
                <c:ptCount val="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F-BABF-7F48-92D7-A2384E19AA45}"/>
            </c:ext>
          </c:extLst>
        </c:ser>
        <c:ser>
          <c:idx val="21"/>
          <c:order val="94"/>
          <c:tx>
            <c:strRef>
              <c:f>Summary!$A$26</c:f>
              <c:strCache>
                <c:ptCount val="1"/>
                <c:pt idx="0">
                  <c:v>Pengolahan Lainnya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Summary!$B$26</c:f>
              <c:numCache>
                <c:formatCode>0.00</c:formatCode>
                <c:ptCount val="1"/>
                <c:pt idx="0">
                  <c:v>54.077972556204358</c:v>
                </c:pt>
              </c:numCache>
            </c:numRef>
          </c:xVal>
          <c:yVal>
            <c:numRef>
              <c:f>Summary!$C$26</c:f>
              <c:numCache>
                <c:formatCode>0.00</c:formatCode>
                <c:ptCount val="1"/>
                <c:pt idx="0">
                  <c:v>70.96773844309601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0-BABF-7F48-92D7-A2384E19AA45}"/>
            </c:ext>
          </c:extLst>
        </c:ser>
        <c:ser>
          <c:idx val="22"/>
          <c:order val="95"/>
          <c:tx>
            <c:strRef>
              <c:f>Summary!$A$27</c:f>
              <c:strCache>
                <c:ptCount val="1"/>
                <c:pt idx="0">
                  <c:v>Jasa Reparasi dan Pemasangan Mesin dan Peralatan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Summary!$B$27</c:f>
              <c:numCache>
                <c:formatCode>0.00</c:formatCode>
                <c:ptCount val="1"/>
                <c:pt idx="0">
                  <c:v>36.784252304980654</c:v>
                </c:pt>
              </c:numCache>
            </c:numRef>
          </c:xVal>
          <c:yVal>
            <c:numRef>
              <c:f>Summary!$C$27</c:f>
              <c:numCache>
                <c:formatCode>0.00</c:formatCode>
                <c:ptCount val="1"/>
                <c:pt idx="0">
                  <c:v>3.3333333333333335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1-BABF-7F48-92D7-A2384E19AA45}"/>
            </c:ext>
          </c:extLst>
        </c:ser>
        <c:ser>
          <c:idx val="23"/>
          <c:order val="96"/>
          <c:tx>
            <c:v>Impor</c:v>
          </c:tx>
          <c:spPr>
            <a:ln w="19050">
              <a:solidFill>
                <a:srgbClr val="E59A3C"/>
              </a:solidFill>
            </a:ln>
          </c:spPr>
          <c:marker>
            <c:symbol val="circle"/>
            <c:size val="7"/>
            <c:spPr>
              <a:solidFill>
                <a:srgbClr val="6B4233"/>
              </a:solidFill>
              <a:ln>
                <a:solidFill>
                  <a:srgbClr val="6B4233"/>
                </a:solidFill>
                <a:prstDash val="solid"/>
              </a:ln>
            </c:spPr>
          </c:marker>
          <c:trendline>
            <c:trendlineType val="linear"/>
            <c:dispRSqr val="0"/>
            <c:dispEq val="0"/>
          </c:trendline>
          <c:xVal>
            <c:numRef>
              <c:f>Summary!$F$19:$F$20</c:f>
              <c:numCache>
                <c:formatCode>0.00</c:formatCode>
                <c:ptCount val="2"/>
                <c:pt idx="0">
                  <c:v>28.532460322421706</c:v>
                </c:pt>
                <c:pt idx="1">
                  <c:v>28.532460322421706</c:v>
                </c:pt>
              </c:numCache>
            </c:numRef>
          </c:xVal>
          <c:yVal>
            <c:numRef>
              <c:f>Summary!$G$19:$G$20</c:f>
              <c:numCache>
                <c:formatCode>0.00</c:formatCode>
                <c:ptCount val="2"/>
                <c:pt idx="0">
                  <c:v>0</c:v>
                </c:pt>
                <c:pt idx="1">
                  <c:v>85.600600803403282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5-BABF-7F48-92D7-A2384E19AA45}"/>
            </c:ext>
          </c:extLst>
        </c:ser>
        <c:ser>
          <c:idx val="24"/>
          <c:order val="97"/>
          <c:tx>
            <c:v>Ekspor</c:v>
          </c:tx>
          <c:spPr>
            <a:ln w="19050">
              <a:solidFill>
                <a:srgbClr val="E59A3C"/>
              </a:solidFill>
            </a:ln>
          </c:spPr>
          <c:marker>
            <c:symbol val="none"/>
          </c:marker>
          <c:xVal>
            <c:numRef>
              <c:f>Summary!$F$23:$F$24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71.855899602880257</c:v>
                </c:pt>
              </c:numCache>
            </c:numRef>
          </c:xVal>
          <c:yVal>
            <c:numRef>
              <c:f>Summary!$G$23:$G$24</c:f>
              <c:numCache>
                <c:formatCode>0.00</c:formatCode>
                <c:ptCount val="2"/>
                <c:pt idx="0">
                  <c:v>35.471252056854354</c:v>
                </c:pt>
                <c:pt idx="1">
                  <c:v>35.471252056854354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6-BABF-7F48-92D7-A2384E19A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1000" b="1" i="0" u="none" strike="noStrike" kern="1200" baseline="0">
                    <a:solidFill>
                      <a:srgbClr val="000000"/>
                    </a:solidFill>
                  </a:rPr>
                  <a:t>Share Impor terhadap Total Biaya Input (%)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1000" b="1" i="0" u="none" strike="noStrike" kern="1200" baseline="0">
                    <a:solidFill>
                      <a:srgbClr val="000000"/>
                    </a:solidFill>
                  </a:rPr>
                  <a:t>Share Ekspor terhadap Total Penjualan (%)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176893</xdr:colOff>
      <xdr:row>37</xdr:row>
      <xdr:rowOff>8844</xdr:rowOff>
    </xdr:from>
    <xdr:to>
      <xdr:col>10</xdr:col>
      <xdr:colOff>720643</xdr:colOff>
      <xdr:row>68</xdr:row>
      <xdr:rowOff>142290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6260F9-48D9-4D5C-94FF-B510A2B95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11</xdr:col>
      <xdr:colOff>84136</xdr:colOff>
      <xdr:row>36</xdr:row>
      <xdr:rowOff>157883</xdr:rowOff>
    </xdr:from>
    <xdr:ext cx="8640000" cy="57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6C7636-D425-4FBF-8D72-CADD3728F6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190499</xdr:colOff>
      <xdr:row>0</xdr:row>
      <xdr:rowOff>96951</xdr:rowOff>
    </xdr:from>
    <xdr:ext cx="8640000" cy="57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6534B3-59B2-4082-8D91-740E92ABC0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11</xdr:col>
      <xdr:colOff>77804</xdr:colOff>
      <xdr:row>0</xdr:row>
      <xdr:rowOff>105454</xdr:rowOff>
    </xdr:from>
    <xdr:ext cx="8640000" cy="57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055EB9A-2254-4380-8FAB-A08A4D0938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10022</xdr:colOff>
      <xdr:row>1</xdr:row>
      <xdr:rowOff>19048</xdr:rowOff>
    </xdr:from>
    <xdr:to>
      <xdr:col>17</xdr:col>
      <xdr:colOff>161636</xdr:colOff>
      <xdr:row>28</xdr:row>
      <xdr:rowOff>11546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DAB398-72A5-F02C-3A1A-29743A7FD2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7</xdr:col>
      <xdr:colOff>774700</xdr:colOff>
      <xdr:row>31</xdr:row>
      <xdr:rowOff>67734</xdr:rowOff>
    </xdr:from>
    <xdr:ext cx="7920000" cy="56388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CC2309-03D6-2E42-B065-A75C8B75FC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809190</xdr:colOff>
      <xdr:row>66</xdr:row>
      <xdr:rowOff>-1</xdr:rowOff>
    </xdr:from>
    <xdr:ext cx="8442613" cy="477115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63EF49-C713-4A41-A193-E30C1ED5AD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809190</xdr:colOff>
      <xdr:row>94</xdr:row>
      <xdr:rowOff>-1</xdr:rowOff>
    </xdr:from>
    <xdr:ext cx="8477249" cy="505690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54F2E9-E052-C84F-B7B1-D3B0A3657E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32</xdr:col>
      <xdr:colOff>508000</xdr:colOff>
      <xdr:row>2</xdr:row>
      <xdr:rowOff>16933</xdr:rowOff>
    </xdr:from>
    <xdr:ext cx="7920000" cy="45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F75115-BFB4-6542-9CDF-BD535FE75A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19</xdr:col>
      <xdr:colOff>0</xdr:colOff>
      <xdr:row>32</xdr:row>
      <xdr:rowOff>0</xdr:rowOff>
    </xdr:from>
    <xdr:ext cx="7920000" cy="56388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8D76777-EB11-2341-84B5-4664877EBA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twoCellAnchor>
    <xdr:from>
      <xdr:col>19</xdr:col>
      <xdr:colOff>0</xdr:colOff>
      <xdr:row>2</xdr:row>
      <xdr:rowOff>0</xdr:rowOff>
    </xdr:from>
    <xdr:to>
      <xdr:col>28</xdr:col>
      <xdr:colOff>151614</xdr:colOff>
      <xdr:row>28</xdr:row>
      <xdr:rowOff>161832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6DBF414-8985-6B44-B227-020BDFDCE8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Users/raisa/Downloads/Mapping_Data_IBS_2015_2022%20(1).xlsx" TargetMode="External"/><Relationship Id="rId1" Type="http://schemas.openxmlformats.org/officeDocument/2006/relationships/externalLinkPath" Target="https://d.docs.live.net/Users/raisa/Downloads/Mapping_Data_IBS_2015_2022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Kuadran (2)"/>
      <sheetName val="Summary"/>
      <sheetName val="Summary Kuadran"/>
      <sheetName val="Comparables_Data IBS"/>
      <sheetName val="Data IBS per Tahun"/>
      <sheetName val="Heat Map"/>
      <sheetName val="Sheet1"/>
    </sheetNames>
    <sheetDataSet>
      <sheetData sheetId="0">
        <row r="4">
          <cell r="B4">
            <v>10.286594567680471</v>
          </cell>
          <cell r="C4">
            <v>57.763515033079017</v>
          </cell>
        </row>
        <row r="5">
          <cell r="B5">
            <v>18.341960735669289</v>
          </cell>
          <cell r="C5">
            <v>12.08277677061384</v>
          </cell>
        </row>
        <row r="6">
          <cell r="B6">
            <v>5.2597780739413693</v>
          </cell>
          <cell r="C6">
            <v>49.946392170674493</v>
          </cell>
        </row>
        <row r="7">
          <cell r="B7">
            <v>26.924796416960699</v>
          </cell>
          <cell r="C7">
            <v>40.829237215215286</v>
          </cell>
          <cell r="F7">
            <v>27.317000559774954</v>
          </cell>
          <cell r="G7">
            <v>0</v>
          </cell>
        </row>
        <row r="8">
          <cell r="B8">
            <v>40.379094559229671</v>
          </cell>
          <cell r="C8">
            <v>62.028479521786927</v>
          </cell>
          <cell r="F8">
            <v>27.317000559774954</v>
          </cell>
          <cell r="G8">
            <v>85.600600803403282</v>
          </cell>
        </row>
        <row r="9">
          <cell r="B9">
            <v>27.327824570038771</v>
          </cell>
          <cell r="C9">
            <v>43.646983080702533</v>
          </cell>
        </row>
        <row r="10">
          <cell r="B10">
            <v>6.8987478009938261</v>
          </cell>
          <cell r="C10">
            <v>69.815778400619052</v>
          </cell>
        </row>
        <row r="11">
          <cell r="B11">
            <v>14.748203875864251</v>
          </cell>
          <cell r="C11">
            <v>26.222460083614521</v>
          </cell>
          <cell r="F11">
            <v>0</v>
          </cell>
          <cell r="G11">
            <v>39.456601878176897</v>
          </cell>
        </row>
        <row r="12">
          <cell r="B12">
            <v>8.0606693583710864</v>
          </cell>
          <cell r="C12">
            <v>22.251555555555559</v>
          </cell>
          <cell r="F12">
            <v>71.855899602880257</v>
          </cell>
          <cell r="G12">
            <v>39.456601878176897</v>
          </cell>
        </row>
        <row r="13">
          <cell r="B13">
            <v>11.98676866134096</v>
          </cell>
          <cell r="C13">
            <v>38.045789473684209</v>
          </cell>
        </row>
        <row r="14">
          <cell r="B14">
            <v>36.000408264268167</v>
          </cell>
          <cell r="C14">
            <v>32.896714640024513</v>
          </cell>
        </row>
        <row r="15">
          <cell r="B15">
            <v>38.440680547909572</v>
          </cell>
          <cell r="C15">
            <v>18.100142006329349</v>
          </cell>
        </row>
        <row r="16">
          <cell r="B16">
            <v>16.74841257128919</v>
          </cell>
          <cell r="C16">
            <v>43.04584894433502</v>
          </cell>
        </row>
        <row r="17">
          <cell r="B17">
            <v>20.69620253243027</v>
          </cell>
          <cell r="C17">
            <v>29.72237471977045</v>
          </cell>
        </row>
        <row r="18">
          <cell r="B18">
            <v>38.924375301981293</v>
          </cell>
          <cell r="C18">
            <v>47.999677447153843</v>
          </cell>
        </row>
        <row r="19">
          <cell r="B19">
            <v>30.673520143676001</v>
          </cell>
          <cell r="C19">
            <v>28.538670507454079</v>
          </cell>
        </row>
        <row r="20">
          <cell r="B20">
            <v>65.3235450935275</v>
          </cell>
          <cell r="C20">
            <v>50.435337494786999</v>
          </cell>
        </row>
        <row r="21">
          <cell r="B21">
            <v>41.873258296855496</v>
          </cell>
          <cell r="C21">
            <v>29.191352937868889</v>
          </cell>
        </row>
        <row r="22">
          <cell r="B22">
            <v>35.180478122187253</v>
          </cell>
          <cell r="C22">
            <v>28.846572535723929</v>
          </cell>
        </row>
        <row r="23">
          <cell r="B23">
            <v>33.579929275223932</v>
          </cell>
          <cell r="C23">
            <v>31.3156424206319</v>
          </cell>
        </row>
        <row r="24">
          <cell r="B24">
            <v>29.73709607480464</v>
          </cell>
          <cell r="C24">
            <v>32.113344337097963</v>
          </cell>
        </row>
        <row r="25">
          <cell r="B25">
            <v>7.3534437291700341</v>
          </cell>
          <cell r="C25">
            <v>77.818728003093881</v>
          </cell>
        </row>
        <row r="26">
          <cell r="B26">
            <v>54.077972556204358</v>
          </cell>
          <cell r="C26">
            <v>70.96773844309601</v>
          </cell>
        </row>
        <row r="27">
          <cell r="B27">
            <v>36.784252304980647</v>
          </cell>
          <cell r="C27">
            <v>3.333333333333333</v>
          </cell>
        </row>
        <row r="72">
          <cell r="B72">
            <v>2.8762540817260742</v>
          </cell>
          <cell r="C72">
            <v>7.3043479919433594</v>
          </cell>
        </row>
        <row r="73">
          <cell r="B73">
            <v>3.099730491638184</v>
          </cell>
          <cell r="C73">
            <v>3.3692722320556641</v>
          </cell>
        </row>
        <row r="74">
          <cell r="B74">
            <v>3.4013607501983638</v>
          </cell>
          <cell r="C74">
            <v>6.6666669845581046</v>
          </cell>
        </row>
        <row r="75">
          <cell r="B75">
            <v>8.0907745361328125</v>
          </cell>
          <cell r="C75">
            <v>9.0281200408935547</v>
          </cell>
          <cell r="F75">
            <v>8.9126523633797969</v>
          </cell>
          <cell r="G75">
            <v>0</v>
          </cell>
        </row>
        <row r="76">
          <cell r="B76">
            <v>8.5138540267944336</v>
          </cell>
          <cell r="C76">
            <v>14.105793952941889</v>
          </cell>
          <cell r="F76">
            <v>8.9126523633797969</v>
          </cell>
          <cell r="G76">
            <v>39.285715484619146</v>
          </cell>
        </row>
        <row r="77">
          <cell r="B77">
            <v>11.973684310913089</v>
          </cell>
          <cell r="C77">
            <v>15.00000095367432</v>
          </cell>
        </row>
        <row r="78">
          <cell r="B78">
            <v>3.7390611171722412</v>
          </cell>
          <cell r="C78">
            <v>35.640411376953118</v>
          </cell>
        </row>
        <row r="79">
          <cell r="B79">
            <v>9.7271652221679688</v>
          </cell>
          <cell r="C79">
            <v>7.4733095169067383</v>
          </cell>
          <cell r="F79">
            <v>0</v>
          </cell>
          <cell r="G79">
            <v>11.345506921410561</v>
          </cell>
        </row>
        <row r="80">
          <cell r="B80">
            <v>2.8538811206817631</v>
          </cell>
          <cell r="C80">
            <v>1.7123287916183469</v>
          </cell>
          <cell r="F80">
            <v>19.999999809265137</v>
          </cell>
          <cell r="G80">
            <v>11.345506921410561</v>
          </cell>
        </row>
        <row r="81">
          <cell r="B81">
            <v>4.9382715225219727</v>
          </cell>
          <cell r="C81">
            <v>4.3209877014160156</v>
          </cell>
        </row>
        <row r="82">
          <cell r="B82">
            <v>10.81354236602783</v>
          </cell>
          <cell r="C82">
            <v>12.63264274597168</v>
          </cell>
        </row>
        <row r="83">
          <cell r="B83">
            <v>16.546762466430661</v>
          </cell>
          <cell r="C83">
            <v>7.1942448616027832</v>
          </cell>
        </row>
        <row r="84">
          <cell r="B84">
            <v>9.9927330017089844</v>
          </cell>
          <cell r="C84">
            <v>9.9927330017089844</v>
          </cell>
        </row>
        <row r="85">
          <cell r="B85">
            <v>4.0067720413208008</v>
          </cell>
          <cell r="C85">
            <v>4.57110595703125</v>
          </cell>
        </row>
        <row r="86">
          <cell r="B86">
            <v>14.681892395019529</v>
          </cell>
          <cell r="C86">
            <v>14.845024108886721</v>
          </cell>
        </row>
        <row r="87">
          <cell r="B87">
            <v>9.3230400085449219</v>
          </cell>
          <cell r="C87">
            <v>5.6413302421569824</v>
          </cell>
        </row>
        <row r="88">
          <cell r="B88">
            <v>18.181818008422852</v>
          </cell>
          <cell r="C88">
            <v>22.038566589355469</v>
          </cell>
        </row>
        <row r="89">
          <cell r="B89">
            <v>15.242880821228029</v>
          </cell>
          <cell r="C89">
            <v>9.7152423858642578</v>
          </cell>
        </row>
        <row r="90">
          <cell r="B90">
            <v>10.8875732421875</v>
          </cell>
          <cell r="C90">
            <v>8.1656808853149414</v>
          </cell>
        </row>
        <row r="91">
          <cell r="B91">
            <v>7.4358978271484384</v>
          </cell>
          <cell r="C91">
            <v>7.5641026496887207</v>
          </cell>
        </row>
        <row r="92">
          <cell r="B92">
            <v>10.12658214569092</v>
          </cell>
          <cell r="C92">
            <v>6.1181435585021973</v>
          </cell>
        </row>
        <row r="93">
          <cell r="B93">
            <v>5.2142858505249023</v>
          </cell>
          <cell r="C93">
            <v>35.714286804199219</v>
          </cell>
        </row>
        <row r="94">
          <cell r="B94">
            <v>17.14601898193359</v>
          </cell>
          <cell r="C94">
            <v>21.681415557861332</v>
          </cell>
        </row>
        <row r="95">
          <cell r="B95">
            <v>5.089820384979248</v>
          </cell>
          <cell r="C95">
            <v>1.796407222747803</v>
          </cell>
        </row>
        <row r="101">
          <cell r="B101">
            <v>1.149425268173218</v>
          </cell>
          <cell r="C101">
            <v>4.5977010726928711</v>
          </cell>
        </row>
        <row r="102">
          <cell r="B102">
            <v>8.7816457748413086</v>
          </cell>
          <cell r="C102">
            <v>11.708860397338871</v>
          </cell>
        </row>
        <row r="103">
          <cell r="B103">
            <v>3.0612244606018071</v>
          </cell>
          <cell r="C103">
            <v>9.1836738586425781</v>
          </cell>
        </row>
        <row r="104">
          <cell r="B104">
            <v>0.5181347131729126</v>
          </cell>
          <cell r="C104">
            <v>5.1813473701477051</v>
          </cell>
          <cell r="F104">
            <v>4.2970574778669022</v>
          </cell>
          <cell r="G104">
            <v>0</v>
          </cell>
        </row>
        <row r="105">
          <cell r="B105">
            <v>1.036269426345825</v>
          </cell>
          <cell r="C105">
            <v>10.36269474029541</v>
          </cell>
          <cell r="F105">
            <v>4.2970574778669022</v>
          </cell>
          <cell r="G105">
            <v>35.159817504882817</v>
          </cell>
        </row>
        <row r="106">
          <cell r="B106">
            <v>4.5016074180603027</v>
          </cell>
          <cell r="C106">
            <v>8.0385847091674805</v>
          </cell>
        </row>
        <row r="107">
          <cell r="B107">
            <v>0</v>
          </cell>
          <cell r="C107">
            <v>8.1081075668334961</v>
          </cell>
        </row>
        <row r="108">
          <cell r="B108">
            <v>2.403846263885498</v>
          </cell>
          <cell r="C108">
            <v>7.9326920509338379</v>
          </cell>
          <cell r="F108">
            <v>0</v>
          </cell>
          <cell r="G108">
            <v>11.943857427905588</v>
          </cell>
        </row>
        <row r="109">
          <cell r="B109">
            <v>3.6363635063171391</v>
          </cell>
          <cell r="C109">
            <v>23.6363639831543</v>
          </cell>
          <cell r="F109">
            <v>38.675798416137695</v>
          </cell>
          <cell r="G109">
            <v>11.943857427905588</v>
          </cell>
        </row>
        <row r="110">
          <cell r="B110">
            <v>35.159816741943359</v>
          </cell>
          <cell r="C110">
            <v>31.963470458984379</v>
          </cell>
        </row>
        <row r="111">
          <cell r="B111">
            <v>5.0963330268859863</v>
          </cell>
          <cell r="C111">
            <v>5.3449349403381348</v>
          </cell>
        </row>
        <row r="112">
          <cell r="B112">
            <v>7.1264634132385254</v>
          </cell>
          <cell r="C112">
            <v>8.2510900497436523</v>
          </cell>
        </row>
        <row r="113">
          <cell r="B113">
            <v>8.0108623504638672</v>
          </cell>
          <cell r="C113">
            <v>19.37089920043945</v>
          </cell>
        </row>
        <row r="114">
          <cell r="B114">
            <v>6.8222618103027344</v>
          </cell>
          <cell r="C114">
            <v>24.057451248168949</v>
          </cell>
        </row>
        <row r="115">
          <cell r="B115">
            <v>8.1613216400146484</v>
          </cell>
          <cell r="C115">
            <v>11.49571323394775</v>
          </cell>
        </row>
        <row r="116">
          <cell r="B116">
            <v>6.2205958366394043</v>
          </cell>
          <cell r="C116">
            <v>5.0967068672180176</v>
          </cell>
        </row>
        <row r="117">
          <cell r="B117">
            <v>10.82352924346924</v>
          </cell>
          <cell r="C117">
            <v>31.529411315917969</v>
          </cell>
        </row>
        <row r="118">
          <cell r="B118">
            <v>0</v>
          </cell>
          <cell r="C118">
            <v>0.94339621067047119</v>
          </cell>
        </row>
        <row r="119">
          <cell r="B119">
            <v>1.315789461135864</v>
          </cell>
          <cell r="C119">
            <v>1.315789461135864</v>
          </cell>
        </row>
        <row r="120">
          <cell r="B120">
            <v>6.0606060028076172</v>
          </cell>
          <cell r="C120">
            <v>9.0909090042114258</v>
          </cell>
        </row>
        <row r="121">
          <cell r="B121">
            <v>0</v>
          </cell>
          <cell r="C121">
            <v>6.6265063285827637</v>
          </cell>
        </row>
        <row r="122">
          <cell r="B122">
            <v>1.809954881668091</v>
          </cell>
          <cell r="C122">
            <v>12.21719455718994</v>
          </cell>
        </row>
        <row r="123">
          <cell r="B123">
            <v>1.7730497121810911</v>
          </cell>
          <cell r="C123">
            <v>3.5460994243621831</v>
          </cell>
        </row>
        <row r="124">
          <cell r="B124">
            <v>0</v>
          </cell>
          <cell r="C124">
            <v>21.052631378173832</v>
          </cell>
        </row>
        <row r="125">
          <cell r="B125">
            <v>7.407407283782959</v>
          </cell>
          <cell r="C125">
            <v>21.296297073364261</v>
          </cell>
        </row>
        <row r="126">
          <cell r="B126">
            <v>6.3829789161682129</v>
          </cell>
          <cell r="C126">
            <v>18.08510589599609</v>
          </cell>
        </row>
        <row r="127">
          <cell r="B127">
            <v>2.1459226608276372</v>
          </cell>
          <cell r="C127">
            <v>8.5836906433105469</v>
          </cell>
        </row>
        <row r="128">
          <cell r="B128">
            <v>0.746268630027771</v>
          </cell>
          <cell r="C128">
            <v>5.2238807678222656</v>
          </cell>
        </row>
        <row r="129">
          <cell r="B129">
            <v>3.4482758045196529</v>
          </cell>
          <cell r="C129">
            <v>3.4482758045196529</v>
          </cell>
        </row>
        <row r="130">
          <cell r="B130">
            <v>0</v>
          </cell>
          <cell r="C130">
            <v>11.111111640930179</v>
          </cell>
        </row>
        <row r="131">
          <cell r="B131">
            <v>0</v>
          </cell>
          <cell r="C131">
            <v>21.052631378173832</v>
          </cell>
        </row>
        <row r="132">
          <cell r="B132">
            <v>0</v>
          </cell>
          <cell r="C132">
            <v>24.137929916381839</v>
          </cell>
        </row>
        <row r="133">
          <cell r="B133">
            <v>2.5</v>
          </cell>
          <cell r="C133">
            <v>12.5</v>
          </cell>
        </row>
        <row r="134">
          <cell r="B134">
            <v>0</v>
          </cell>
          <cell r="C134">
            <v>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aisa Idris" id="{AC521AEF-299F-4299-8BAF-1C5DC587708E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2" dT="2026-07-09T09:10:13.00" personId="{AC521AEF-299F-4299-8BAF-1C5DC587708E}" id="{6686F821-649F-4D4E-8618-ECD31A0BA46D}">
    <text>Tujuan ekspor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ECC1C-BA48-4379-A22C-790030484C00}">
  <sheetPr>
    <outlinePr summaryBelow="0" summaryRight="0"/>
  </sheetPr>
  <dimension ref="B1:Y995"/>
  <sheetViews>
    <sheetView tabSelected="1" zoomScale="75" zoomScaleNormal="70" workbookViewId="0">
      <selection activeCell="S33" sqref="S33"/>
    </sheetView>
  </sheetViews>
  <sheetFormatPr defaultColWidth="12.73046875" defaultRowHeight="15.75" customHeight="1" x14ac:dyDescent="0.35"/>
  <cols>
    <col min="1" max="1" width="7.1328125" customWidth="1"/>
    <col min="2" max="2" width="10.59765625" customWidth="1"/>
    <col min="3" max="3" width="50.3984375" customWidth="1"/>
    <col min="4" max="7" width="13" hidden="1" customWidth="1"/>
    <col min="8" max="8" width="1.19921875" customWidth="1"/>
    <col min="9" max="12" width="13" customWidth="1"/>
    <col min="13" max="13" width="1.19921875" customWidth="1"/>
    <col min="14" max="14" width="14" hidden="1" customWidth="1"/>
    <col min="15" max="17" width="12.73046875" hidden="1" customWidth="1"/>
    <col min="18" max="18" width="12.73046875" customWidth="1"/>
    <col min="19" max="19" width="15" customWidth="1"/>
    <col min="20" max="20" width="1.19921875" customWidth="1"/>
    <col min="21" max="25" width="18.1328125" customWidth="1"/>
  </cols>
  <sheetData>
    <row r="1" spans="2:25" ht="15.75" customHeight="1" x14ac:dyDescent="0.4">
      <c r="B1" s="113" t="s">
        <v>0</v>
      </c>
      <c r="C1" s="118" t="s">
        <v>1</v>
      </c>
      <c r="D1" s="90">
        <f>_xlfn.PERCENTILE.INC(D$6:D$29,1/3)</f>
        <v>29.543333333333333</v>
      </c>
      <c r="E1" s="90">
        <f>_xlfn.PERCENTILE.INC(E$6:E$29,1/3)</f>
        <v>21.850774313157828</v>
      </c>
      <c r="F1" s="90">
        <f>_xlfn.PERCENTILE.INC(F$6:F$29,1/3)</f>
        <v>3.2541851675274884</v>
      </c>
      <c r="G1" s="90">
        <f>_xlfn.PERCENTILE.INC(G$6:G$29,1/3)</f>
        <v>11.459149082417749</v>
      </c>
      <c r="R1" s="90">
        <f>(3-1)/3 + 1</f>
        <v>1.6666666666666665</v>
      </c>
      <c r="S1" t="s">
        <v>2</v>
      </c>
    </row>
    <row r="2" spans="2:25" ht="15.75" customHeight="1" x14ac:dyDescent="0.35">
      <c r="C2" s="119" t="s">
        <v>3</v>
      </c>
      <c r="D2" s="90">
        <f>_xlfn.PERCENTILE.INC(D$6:D$29,2/3)</f>
        <v>45.099999999999994</v>
      </c>
      <c r="E2" s="90">
        <f>_xlfn.PERCENTILE.INC(E$6:E$29,2/3)</f>
        <v>40.101812263705703</v>
      </c>
      <c r="F2" s="90">
        <f>_xlfn.PERCENTILE.INC(F$6:F$29,2/3)</f>
        <v>5.1293747478975797</v>
      </c>
      <c r="G2" s="90">
        <f>_xlfn.PERCENTILE.INC(G$6:G$29,2/3)</f>
        <v>20.793743363283372</v>
      </c>
      <c r="R2" s="90">
        <f xml:space="preserve"> 3 -((3-1)/3)</f>
        <v>2.3333333333333335</v>
      </c>
    </row>
    <row r="3" spans="2:25" ht="15.75" customHeight="1" x14ac:dyDescent="0.35">
      <c r="C3" s="119"/>
      <c r="D3" s="90"/>
      <c r="E3" s="90"/>
      <c r="F3" s="90"/>
      <c r="G3" s="90"/>
      <c r="R3" s="90"/>
    </row>
    <row r="4" spans="2:25" ht="39.75" customHeight="1" x14ac:dyDescent="0.35">
      <c r="B4" s="155" t="s">
        <v>4</v>
      </c>
      <c r="C4" s="144" t="s">
        <v>5</v>
      </c>
      <c r="D4" s="120" t="s">
        <v>6</v>
      </c>
      <c r="E4" s="120" t="s">
        <v>7</v>
      </c>
      <c r="F4" s="120" t="s">
        <v>8</v>
      </c>
      <c r="G4" s="120" t="s">
        <v>9</v>
      </c>
      <c r="I4" s="120" t="s">
        <v>6</v>
      </c>
      <c r="J4" s="120" t="s">
        <v>7</v>
      </c>
      <c r="K4" s="120" t="s">
        <v>8</v>
      </c>
      <c r="L4" s="120" t="s">
        <v>9</v>
      </c>
      <c r="N4" s="120" t="s">
        <v>6</v>
      </c>
      <c r="O4" s="120" t="s">
        <v>7</v>
      </c>
      <c r="P4" s="120" t="s">
        <v>8</v>
      </c>
      <c r="Q4" s="120" t="s">
        <v>9</v>
      </c>
      <c r="R4" s="120" t="s">
        <v>10</v>
      </c>
      <c r="S4" s="120" t="s">
        <v>11</v>
      </c>
      <c r="U4" s="161" t="s">
        <v>12</v>
      </c>
      <c r="V4" s="161"/>
      <c r="W4" s="161"/>
      <c r="X4" s="161"/>
      <c r="Y4" s="161"/>
    </row>
    <row r="5" spans="2:25" ht="12.75" customHeight="1" x14ac:dyDescent="0.35">
      <c r="B5" s="123"/>
      <c r="C5" s="123"/>
      <c r="D5" s="123"/>
      <c r="E5" s="123"/>
      <c r="F5" s="123"/>
      <c r="G5" s="123"/>
      <c r="H5" s="48"/>
      <c r="I5" s="123"/>
      <c r="J5" s="123"/>
      <c r="K5" s="123"/>
      <c r="L5" s="123"/>
      <c r="M5" s="48"/>
      <c r="N5" s="48"/>
      <c r="O5" s="48"/>
      <c r="P5" s="48"/>
      <c r="Q5" s="48"/>
      <c r="R5" s="123"/>
      <c r="S5" s="123"/>
      <c r="T5" s="48"/>
      <c r="U5" s="123">
        <v>1</v>
      </c>
      <c r="V5" s="123">
        <v>2</v>
      </c>
      <c r="W5" s="123">
        <v>3</v>
      </c>
      <c r="X5" s="123">
        <v>4</v>
      </c>
      <c r="Y5" s="123">
        <v>5</v>
      </c>
    </row>
    <row r="6" spans="2:25" ht="15.75" customHeight="1" x14ac:dyDescent="0.35">
      <c r="B6" s="145">
        <v>10</v>
      </c>
      <c r="C6" s="146" t="s">
        <v>13</v>
      </c>
      <c r="D6" s="147">
        <v>57.76</v>
      </c>
      <c r="E6" s="147">
        <v>8.0222860296647056</v>
      </c>
      <c r="F6" s="147">
        <v>1.7244096658243349</v>
      </c>
      <c r="G6" s="147">
        <v>3.7494465575515048</v>
      </c>
      <c r="H6" s="148"/>
      <c r="I6" s="122" t="str">
        <f t="shared" ref="I6:I29" si="0">IF(D6&lt;=$D$1,"Rendah",IF(D6&lt;=$D$2,"Sedang","Tinggi"))</f>
        <v>Tinggi</v>
      </c>
      <c r="J6" s="122" t="str">
        <f t="shared" ref="J6:J29" si="1">IF(E6&lt;=$E$1,"Rendah",IF(E6&lt;=$E$2,"Sedang","Tinggi"))</f>
        <v>Rendah</v>
      </c>
      <c r="K6" s="122" t="str">
        <f t="shared" ref="K6:K29" si="2">IF(F6&lt;=$F$1,"Rendah",IF(F6&lt;=$F$2,"Sedang","Tinggi"))</f>
        <v>Rendah</v>
      </c>
      <c r="L6" s="122" t="str">
        <f t="shared" ref="L6:L29" si="3">IF(G6&lt;=$G$1,"Rendah",IF(G6&lt;=$G$2,"Sedang","Tinggi"))</f>
        <v>Rendah</v>
      </c>
      <c r="M6" s="148"/>
      <c r="N6" s="149">
        <f t="shared" ref="N6:N29" si="4">IF(I6="Tinggi",3,IF(I6="Sedang",2,IF(I6="Rendah",1,"")))</f>
        <v>3</v>
      </c>
      <c r="O6" s="149">
        <f t="shared" ref="O6:O29" si="5">IF(J6="Tinggi",3,IF(J6="Sedang",2,IF(J6="Rendah",1,"")))</f>
        <v>1</v>
      </c>
      <c r="P6" s="149">
        <f t="shared" ref="P6:P29" si="6">IF(K6="Tinggi",3,IF(K6="Sedang",2,IF(K6="Rendah",1,"")))</f>
        <v>1</v>
      </c>
      <c r="Q6" s="149">
        <f t="shared" ref="Q6:Q29" si="7">IF(L6="Tinggi",3,IF(L6="Sedang",2,IF(L6="Rendah",1,"")))</f>
        <v>1</v>
      </c>
      <c r="R6" s="124">
        <f t="shared" ref="R6:R29" si="8">AVERAGE(N6:Q6)</f>
        <v>1.5</v>
      </c>
      <c r="S6" s="122" t="str">
        <f t="shared" ref="S6:S29" si="9">IF(R6&lt;$R$1,"Rendah",IF(R6&lt;$R$2,"Sedang","Tinggi"))</f>
        <v>Rendah</v>
      </c>
      <c r="T6" s="148"/>
      <c r="U6" s="150" t="s">
        <v>14</v>
      </c>
      <c r="V6" s="150" t="s">
        <v>15</v>
      </c>
      <c r="W6" s="150" t="s">
        <v>16</v>
      </c>
      <c r="X6" s="150" t="s">
        <v>17</v>
      </c>
      <c r="Y6" s="150" t="s">
        <v>18</v>
      </c>
    </row>
    <row r="7" spans="2:25" ht="15.75" customHeight="1" x14ac:dyDescent="0.35">
      <c r="B7" s="38">
        <v>11</v>
      </c>
      <c r="C7" s="74" t="s">
        <v>19</v>
      </c>
      <c r="D7" s="121">
        <v>12.08</v>
      </c>
      <c r="E7" s="121">
        <v>14.65939244374902</v>
      </c>
      <c r="F7" s="121">
        <v>9.6004283776463204</v>
      </c>
      <c r="G7" s="121">
        <v>23.955095609502887</v>
      </c>
      <c r="H7" s="148"/>
      <c r="I7" s="122" t="str">
        <f t="shared" si="0"/>
        <v>Rendah</v>
      </c>
      <c r="J7" s="122" t="str">
        <f t="shared" si="1"/>
        <v>Rendah</v>
      </c>
      <c r="K7" s="122" t="str">
        <f t="shared" si="2"/>
        <v>Tinggi</v>
      </c>
      <c r="L7" s="122" t="str">
        <f t="shared" si="3"/>
        <v>Tinggi</v>
      </c>
      <c r="M7" s="148"/>
      <c r="N7" s="149">
        <f t="shared" si="4"/>
        <v>1</v>
      </c>
      <c r="O7" s="149">
        <f t="shared" si="5"/>
        <v>1</v>
      </c>
      <c r="P7" s="149">
        <f t="shared" si="6"/>
        <v>3</v>
      </c>
      <c r="Q7" s="149">
        <f t="shared" si="7"/>
        <v>3</v>
      </c>
      <c r="R7" s="124">
        <f t="shared" si="8"/>
        <v>2</v>
      </c>
      <c r="S7" s="122" t="str">
        <f t="shared" si="9"/>
        <v>Sedang</v>
      </c>
      <c r="T7" s="148"/>
      <c r="U7" s="150" t="s">
        <v>15</v>
      </c>
      <c r="V7" s="150" t="s">
        <v>14</v>
      </c>
      <c r="W7" s="150" t="s">
        <v>16</v>
      </c>
      <c r="X7" s="150" t="s">
        <v>20</v>
      </c>
      <c r="Y7" s="150" t="s">
        <v>18</v>
      </c>
    </row>
    <row r="8" spans="2:25" ht="12.75" x14ac:dyDescent="0.35">
      <c r="B8" s="38">
        <v>12</v>
      </c>
      <c r="C8" s="74" t="s">
        <v>21</v>
      </c>
      <c r="D8" s="121">
        <v>49.95</v>
      </c>
      <c r="E8" s="121">
        <v>6.8926004130794931</v>
      </c>
      <c r="F8" s="121">
        <v>0.83883462045356172</v>
      </c>
      <c r="G8" s="121">
        <v>11.533096842104383</v>
      </c>
      <c r="H8" s="148"/>
      <c r="I8" s="122" t="str">
        <f t="shared" si="0"/>
        <v>Tinggi</v>
      </c>
      <c r="J8" s="122" t="str">
        <f t="shared" si="1"/>
        <v>Rendah</v>
      </c>
      <c r="K8" s="122" t="str">
        <f t="shared" si="2"/>
        <v>Rendah</v>
      </c>
      <c r="L8" s="122" t="str">
        <f t="shared" si="3"/>
        <v>Sedang</v>
      </c>
      <c r="M8" s="148"/>
      <c r="N8" s="149">
        <f t="shared" si="4"/>
        <v>3</v>
      </c>
      <c r="O8" s="149">
        <f t="shared" si="5"/>
        <v>1</v>
      </c>
      <c r="P8" s="149">
        <f t="shared" si="6"/>
        <v>1</v>
      </c>
      <c r="Q8" s="149">
        <f t="shared" si="7"/>
        <v>2</v>
      </c>
      <c r="R8" s="124">
        <f t="shared" si="8"/>
        <v>1.75</v>
      </c>
      <c r="S8" s="122" t="str">
        <f t="shared" si="9"/>
        <v>Sedang</v>
      </c>
      <c r="T8" s="148"/>
      <c r="U8" s="150" t="s">
        <v>14</v>
      </c>
      <c r="V8" s="150" t="s">
        <v>16</v>
      </c>
      <c r="W8" s="150" t="s">
        <v>22</v>
      </c>
      <c r="X8" s="150" t="s">
        <v>15</v>
      </c>
      <c r="Y8" s="150" t="s">
        <v>23</v>
      </c>
    </row>
    <row r="9" spans="2:25" ht="15.75" customHeight="1" x14ac:dyDescent="0.35">
      <c r="B9" s="38">
        <v>13</v>
      </c>
      <c r="C9" s="74" t="s">
        <v>24</v>
      </c>
      <c r="D9" s="121">
        <v>40.83</v>
      </c>
      <c r="E9" s="121">
        <v>34.801635455651137</v>
      </c>
      <c r="F9" s="121">
        <v>8.3422447550376084</v>
      </c>
      <c r="G9" s="121">
        <v>13.701183256522301</v>
      </c>
      <c r="H9" s="148"/>
      <c r="I9" s="122" t="str">
        <f t="shared" si="0"/>
        <v>Sedang</v>
      </c>
      <c r="J9" s="122" t="str">
        <f t="shared" si="1"/>
        <v>Sedang</v>
      </c>
      <c r="K9" s="122" t="str">
        <f t="shared" si="2"/>
        <v>Tinggi</v>
      </c>
      <c r="L9" s="122" t="str">
        <f t="shared" si="3"/>
        <v>Sedang</v>
      </c>
      <c r="M9" s="148"/>
      <c r="N9" s="149">
        <f t="shared" si="4"/>
        <v>2</v>
      </c>
      <c r="O9" s="149">
        <f t="shared" si="5"/>
        <v>2</v>
      </c>
      <c r="P9" s="149">
        <f t="shared" si="6"/>
        <v>3</v>
      </c>
      <c r="Q9" s="149">
        <f t="shared" si="7"/>
        <v>2</v>
      </c>
      <c r="R9" s="124">
        <f t="shared" si="8"/>
        <v>2.25</v>
      </c>
      <c r="S9" s="122" t="str">
        <f t="shared" si="9"/>
        <v>Sedang</v>
      </c>
      <c r="T9" s="148"/>
      <c r="U9" s="150" t="s">
        <v>15</v>
      </c>
      <c r="V9" s="150" t="s">
        <v>16</v>
      </c>
      <c r="W9" s="150" t="s">
        <v>14</v>
      </c>
      <c r="X9" s="150" t="s">
        <v>18</v>
      </c>
      <c r="Y9" s="150" t="s">
        <v>25</v>
      </c>
    </row>
    <row r="10" spans="2:25" ht="15.75" customHeight="1" x14ac:dyDescent="0.35">
      <c r="B10" s="38">
        <v>14</v>
      </c>
      <c r="C10" s="74" t="s">
        <v>26</v>
      </c>
      <c r="D10" s="121">
        <v>62.03</v>
      </c>
      <c r="E10" s="121">
        <v>70.847882084912214</v>
      </c>
      <c r="F10" s="121">
        <v>4.0545559693658921</v>
      </c>
      <c r="G10" s="121">
        <v>30.579504128984496</v>
      </c>
      <c r="H10" s="148"/>
      <c r="I10" s="122" t="str">
        <f t="shared" si="0"/>
        <v>Tinggi</v>
      </c>
      <c r="J10" s="122" t="str">
        <f t="shared" si="1"/>
        <v>Tinggi</v>
      </c>
      <c r="K10" s="122" t="str">
        <f t="shared" si="2"/>
        <v>Sedang</v>
      </c>
      <c r="L10" s="122" t="str">
        <f t="shared" si="3"/>
        <v>Tinggi</v>
      </c>
      <c r="M10" s="148"/>
      <c r="N10" s="149">
        <f t="shared" si="4"/>
        <v>3</v>
      </c>
      <c r="O10" s="149">
        <f t="shared" si="5"/>
        <v>3</v>
      </c>
      <c r="P10" s="149">
        <f t="shared" si="6"/>
        <v>2</v>
      </c>
      <c r="Q10" s="149">
        <f t="shared" si="7"/>
        <v>3</v>
      </c>
      <c r="R10" s="124">
        <f t="shared" si="8"/>
        <v>2.75</v>
      </c>
      <c r="S10" s="122" t="str">
        <f t="shared" si="9"/>
        <v>Tinggi</v>
      </c>
      <c r="T10" s="148"/>
      <c r="U10" s="151" t="s">
        <v>15</v>
      </c>
      <c r="V10" s="151" t="s">
        <v>16</v>
      </c>
      <c r="W10" s="151" t="s">
        <v>14</v>
      </c>
      <c r="X10" s="151" t="s">
        <v>25</v>
      </c>
      <c r="Y10" s="151" t="s">
        <v>18</v>
      </c>
    </row>
    <row r="11" spans="2:25" ht="15.75" customHeight="1" x14ac:dyDescent="0.35">
      <c r="B11" s="142">
        <v>15</v>
      </c>
      <c r="C11" s="74" t="s">
        <v>27</v>
      </c>
      <c r="D11" s="121">
        <v>43.65</v>
      </c>
      <c r="E11" s="121">
        <v>34.884553812448239</v>
      </c>
      <c r="F11" s="121">
        <v>2.2432006357541274</v>
      </c>
      <c r="G11" s="121">
        <v>34.188984924723087</v>
      </c>
      <c r="H11" s="148"/>
      <c r="I11" s="122" t="str">
        <f t="shared" si="0"/>
        <v>Sedang</v>
      </c>
      <c r="J11" s="122" t="str">
        <f t="shared" si="1"/>
        <v>Sedang</v>
      </c>
      <c r="K11" s="122" t="str">
        <f t="shared" si="2"/>
        <v>Rendah</v>
      </c>
      <c r="L11" s="122" t="str">
        <f t="shared" si="3"/>
        <v>Tinggi</v>
      </c>
      <c r="M11" s="148"/>
      <c r="N11" s="149">
        <f t="shared" si="4"/>
        <v>2</v>
      </c>
      <c r="O11" s="149">
        <f t="shared" si="5"/>
        <v>2</v>
      </c>
      <c r="P11" s="149">
        <f t="shared" si="6"/>
        <v>1</v>
      </c>
      <c r="Q11" s="149">
        <f t="shared" si="7"/>
        <v>3</v>
      </c>
      <c r="R11" s="124">
        <f t="shared" si="8"/>
        <v>2</v>
      </c>
      <c r="S11" s="122" t="str">
        <f t="shared" si="9"/>
        <v>Sedang</v>
      </c>
      <c r="T11" s="148"/>
      <c r="U11" s="150" t="s">
        <v>14</v>
      </c>
      <c r="V11" s="150" t="s">
        <v>15</v>
      </c>
      <c r="W11" s="150" t="s">
        <v>18</v>
      </c>
      <c r="X11" s="150" t="s">
        <v>16</v>
      </c>
      <c r="Y11" s="150" t="s">
        <v>28</v>
      </c>
    </row>
    <row r="12" spans="2:25" ht="38.25" x14ac:dyDescent="0.35">
      <c r="B12" s="38">
        <v>16</v>
      </c>
      <c r="C12" s="74" t="s">
        <v>29</v>
      </c>
      <c r="D12" s="121">
        <v>69.819999999999993</v>
      </c>
      <c r="E12" s="121">
        <v>6.4480895367788404</v>
      </c>
      <c r="F12" s="121">
        <v>7.1492164137215388</v>
      </c>
      <c r="G12" s="121">
        <v>26.010910517401708</v>
      </c>
      <c r="H12" s="148"/>
      <c r="I12" s="122" t="str">
        <f t="shared" si="0"/>
        <v>Tinggi</v>
      </c>
      <c r="J12" s="122" t="str">
        <f t="shared" si="1"/>
        <v>Rendah</v>
      </c>
      <c r="K12" s="122" t="str">
        <f t="shared" si="2"/>
        <v>Tinggi</v>
      </c>
      <c r="L12" s="122" t="str">
        <f t="shared" si="3"/>
        <v>Tinggi</v>
      </c>
      <c r="M12" s="148"/>
      <c r="N12" s="149">
        <f t="shared" si="4"/>
        <v>3</v>
      </c>
      <c r="O12" s="149">
        <f t="shared" si="5"/>
        <v>1</v>
      </c>
      <c r="P12" s="149">
        <f t="shared" si="6"/>
        <v>3</v>
      </c>
      <c r="Q12" s="149">
        <f t="shared" si="7"/>
        <v>3</v>
      </c>
      <c r="R12" s="124">
        <f t="shared" si="8"/>
        <v>2.5</v>
      </c>
      <c r="S12" s="122" t="str">
        <f t="shared" si="9"/>
        <v>Tinggi</v>
      </c>
      <c r="T12" s="148"/>
      <c r="U12" s="150" t="s">
        <v>14</v>
      </c>
      <c r="V12" s="150" t="s">
        <v>16</v>
      </c>
      <c r="W12" s="150" t="s">
        <v>15</v>
      </c>
      <c r="X12" s="150" t="s">
        <v>18</v>
      </c>
      <c r="Y12" s="150" t="s">
        <v>17</v>
      </c>
    </row>
    <row r="13" spans="2:25" ht="15.75" customHeight="1" x14ac:dyDescent="0.35">
      <c r="B13" s="38">
        <v>17</v>
      </c>
      <c r="C13" s="74" t="s">
        <v>30</v>
      </c>
      <c r="D13" s="121">
        <v>26.22</v>
      </c>
      <c r="E13" s="121">
        <v>11.213930216819932</v>
      </c>
      <c r="F13" s="121">
        <v>6.9845548905424906</v>
      </c>
      <c r="G13" s="121">
        <v>9.476391514269169</v>
      </c>
      <c r="H13" s="148"/>
      <c r="I13" s="122" t="str">
        <f t="shared" si="0"/>
        <v>Rendah</v>
      </c>
      <c r="J13" s="122" t="str">
        <f t="shared" si="1"/>
        <v>Rendah</v>
      </c>
      <c r="K13" s="122" t="str">
        <f t="shared" si="2"/>
        <v>Tinggi</v>
      </c>
      <c r="L13" s="122" t="str">
        <f t="shared" si="3"/>
        <v>Rendah</v>
      </c>
      <c r="M13" s="148"/>
      <c r="N13" s="149">
        <f t="shared" si="4"/>
        <v>1</v>
      </c>
      <c r="O13" s="149">
        <f t="shared" si="5"/>
        <v>1</v>
      </c>
      <c r="P13" s="149">
        <f t="shared" si="6"/>
        <v>3</v>
      </c>
      <c r="Q13" s="149">
        <f t="shared" si="7"/>
        <v>1</v>
      </c>
      <c r="R13" s="124">
        <f t="shared" si="8"/>
        <v>1.5</v>
      </c>
      <c r="S13" s="122" t="str">
        <f t="shared" si="9"/>
        <v>Rendah</v>
      </c>
      <c r="T13" s="148"/>
      <c r="U13" s="150" t="s">
        <v>15</v>
      </c>
      <c r="V13" s="150" t="s">
        <v>14</v>
      </c>
      <c r="W13" s="150" t="s">
        <v>18</v>
      </c>
      <c r="X13" s="150" t="s">
        <v>16</v>
      </c>
      <c r="Y13" s="150" t="s">
        <v>25</v>
      </c>
    </row>
    <row r="14" spans="2:25" ht="15.75" customHeight="1" x14ac:dyDescent="0.35">
      <c r="B14" s="38">
        <v>18</v>
      </c>
      <c r="C14" s="74" t="s">
        <v>31</v>
      </c>
      <c r="D14" s="121">
        <v>22.25</v>
      </c>
      <c r="E14" s="121">
        <v>10.305336469348269</v>
      </c>
      <c r="F14" s="121">
        <v>3.0821702711612988</v>
      </c>
      <c r="G14" s="121">
        <v>27.359872812387366</v>
      </c>
      <c r="H14" s="148"/>
      <c r="I14" s="122" t="str">
        <f t="shared" si="0"/>
        <v>Rendah</v>
      </c>
      <c r="J14" s="122" t="str">
        <f t="shared" si="1"/>
        <v>Rendah</v>
      </c>
      <c r="K14" s="122" t="str">
        <f t="shared" si="2"/>
        <v>Rendah</v>
      </c>
      <c r="L14" s="122" t="str">
        <f t="shared" si="3"/>
        <v>Tinggi</v>
      </c>
      <c r="M14" s="148"/>
      <c r="N14" s="149">
        <f t="shared" si="4"/>
        <v>1</v>
      </c>
      <c r="O14" s="149">
        <f t="shared" si="5"/>
        <v>1</v>
      </c>
      <c r="P14" s="149">
        <f t="shared" si="6"/>
        <v>1</v>
      </c>
      <c r="Q14" s="149">
        <f t="shared" si="7"/>
        <v>3</v>
      </c>
      <c r="R14" s="124">
        <f t="shared" si="8"/>
        <v>1.5</v>
      </c>
      <c r="S14" s="122" t="str">
        <f t="shared" si="9"/>
        <v>Rendah</v>
      </c>
      <c r="T14" s="148"/>
      <c r="U14" s="150" t="s">
        <v>25</v>
      </c>
      <c r="V14" s="150" t="s">
        <v>15</v>
      </c>
      <c r="W14" s="150" t="s">
        <v>14</v>
      </c>
      <c r="X14" s="150" t="s">
        <v>16</v>
      </c>
      <c r="Y14" s="150" t="s">
        <v>18</v>
      </c>
    </row>
    <row r="15" spans="2:25" ht="15.75" customHeight="1" x14ac:dyDescent="0.35">
      <c r="B15" s="38">
        <v>19</v>
      </c>
      <c r="C15" s="74" t="s">
        <v>32</v>
      </c>
      <c r="D15" s="121">
        <v>38.049999999999997</v>
      </c>
      <c r="E15" s="121">
        <v>39.809315193074397</v>
      </c>
      <c r="F15" s="121">
        <v>1.4287098356092256</v>
      </c>
      <c r="G15" s="121">
        <v>1.7170783351755579</v>
      </c>
      <c r="H15" s="148"/>
      <c r="I15" s="122" t="str">
        <f t="shared" si="0"/>
        <v>Sedang</v>
      </c>
      <c r="J15" s="122" t="str">
        <f t="shared" si="1"/>
        <v>Sedang</v>
      </c>
      <c r="K15" s="122" t="str">
        <f t="shared" si="2"/>
        <v>Rendah</v>
      </c>
      <c r="L15" s="122" t="str">
        <f t="shared" si="3"/>
        <v>Rendah</v>
      </c>
      <c r="M15" s="148"/>
      <c r="N15" s="149">
        <f t="shared" si="4"/>
        <v>2</v>
      </c>
      <c r="O15" s="149">
        <f t="shared" si="5"/>
        <v>2</v>
      </c>
      <c r="P15" s="149">
        <f t="shared" si="6"/>
        <v>1</v>
      </c>
      <c r="Q15" s="149">
        <f t="shared" si="7"/>
        <v>1</v>
      </c>
      <c r="R15" s="124">
        <f t="shared" si="8"/>
        <v>1.5</v>
      </c>
      <c r="S15" s="122" t="str">
        <f t="shared" si="9"/>
        <v>Rendah</v>
      </c>
      <c r="T15" s="148"/>
      <c r="U15" s="150" t="s">
        <v>15</v>
      </c>
      <c r="V15" s="150" t="s">
        <v>14</v>
      </c>
      <c r="W15" s="150" t="s">
        <v>18</v>
      </c>
      <c r="X15" s="150" t="s">
        <v>16</v>
      </c>
      <c r="Y15" s="150" t="s">
        <v>25</v>
      </c>
    </row>
    <row r="16" spans="2:25" ht="15.75" customHeight="1" x14ac:dyDescent="0.35">
      <c r="B16" s="38">
        <v>20</v>
      </c>
      <c r="C16" s="74" t="s">
        <v>33</v>
      </c>
      <c r="D16" s="121">
        <v>32.9</v>
      </c>
      <c r="E16" s="121">
        <v>28.45013341213609</v>
      </c>
      <c r="F16" s="121">
        <v>3.9040525471724519</v>
      </c>
      <c r="G16" s="121">
        <v>5.1624860102120529</v>
      </c>
      <c r="H16" s="148"/>
      <c r="I16" s="122" t="str">
        <f t="shared" si="0"/>
        <v>Sedang</v>
      </c>
      <c r="J16" s="122" t="str">
        <f t="shared" si="1"/>
        <v>Sedang</v>
      </c>
      <c r="K16" s="122" t="str">
        <f t="shared" si="2"/>
        <v>Sedang</v>
      </c>
      <c r="L16" s="122" t="str">
        <f t="shared" si="3"/>
        <v>Rendah</v>
      </c>
      <c r="M16" s="148"/>
      <c r="N16" s="149">
        <f t="shared" si="4"/>
        <v>2</v>
      </c>
      <c r="O16" s="149">
        <f t="shared" si="5"/>
        <v>2</v>
      </c>
      <c r="P16" s="149">
        <f t="shared" si="6"/>
        <v>2</v>
      </c>
      <c r="Q16" s="149">
        <f t="shared" si="7"/>
        <v>1</v>
      </c>
      <c r="R16" s="124">
        <f t="shared" si="8"/>
        <v>1.75</v>
      </c>
      <c r="S16" s="122" t="str">
        <f t="shared" si="9"/>
        <v>Sedang</v>
      </c>
      <c r="T16" s="148"/>
      <c r="U16" s="150" t="s">
        <v>15</v>
      </c>
      <c r="V16" s="150" t="s">
        <v>18</v>
      </c>
      <c r="W16" s="150" t="s">
        <v>14</v>
      </c>
      <c r="X16" s="150" t="s">
        <v>16</v>
      </c>
      <c r="Y16" s="150" t="s">
        <v>25</v>
      </c>
    </row>
    <row r="17" spans="2:25" ht="15.75" customHeight="1" x14ac:dyDescent="0.35">
      <c r="B17" s="38">
        <v>21</v>
      </c>
      <c r="C17" s="74" t="s">
        <v>34</v>
      </c>
      <c r="D17" s="121">
        <v>18.100000000000001</v>
      </c>
      <c r="E17" s="121">
        <v>51.704020251303781</v>
      </c>
      <c r="F17" s="121">
        <v>2.5846722485577502</v>
      </c>
      <c r="G17" s="121">
        <v>14.629665383513817</v>
      </c>
      <c r="H17" s="148"/>
      <c r="I17" s="122" t="str">
        <f t="shared" si="0"/>
        <v>Rendah</v>
      </c>
      <c r="J17" s="122" t="str">
        <f t="shared" si="1"/>
        <v>Tinggi</v>
      </c>
      <c r="K17" s="122" t="str">
        <f t="shared" si="2"/>
        <v>Rendah</v>
      </c>
      <c r="L17" s="122" t="str">
        <f t="shared" si="3"/>
        <v>Sedang</v>
      </c>
      <c r="M17" s="148"/>
      <c r="N17" s="149">
        <f t="shared" si="4"/>
        <v>1</v>
      </c>
      <c r="O17" s="149">
        <f t="shared" si="5"/>
        <v>3</v>
      </c>
      <c r="P17" s="149">
        <f t="shared" si="6"/>
        <v>1</v>
      </c>
      <c r="Q17" s="149">
        <f t="shared" si="7"/>
        <v>2</v>
      </c>
      <c r="R17" s="124">
        <f t="shared" si="8"/>
        <v>1.75</v>
      </c>
      <c r="S17" s="122" t="str">
        <f t="shared" si="9"/>
        <v>Sedang</v>
      </c>
      <c r="T17" s="148"/>
      <c r="U17" s="150" t="s">
        <v>15</v>
      </c>
      <c r="V17" s="150" t="s">
        <v>14</v>
      </c>
      <c r="W17" s="150" t="s">
        <v>16</v>
      </c>
      <c r="X17" s="150" t="s">
        <v>18</v>
      </c>
      <c r="Y17" s="150" t="s">
        <v>25</v>
      </c>
    </row>
    <row r="18" spans="2:25" ht="15.75" customHeight="1" x14ac:dyDescent="0.35">
      <c r="B18" s="38">
        <v>22</v>
      </c>
      <c r="C18" s="74" t="s">
        <v>35</v>
      </c>
      <c r="D18" s="121">
        <v>43.05</v>
      </c>
      <c r="E18" s="121">
        <v>25.446465247862239</v>
      </c>
      <c r="F18" s="121">
        <v>4.9859622414506708</v>
      </c>
      <c r="G18" s="121">
        <v>13.165879360691893</v>
      </c>
      <c r="H18" s="148"/>
      <c r="I18" s="122" t="str">
        <f t="shared" si="0"/>
        <v>Sedang</v>
      </c>
      <c r="J18" s="122" t="str">
        <f t="shared" si="1"/>
        <v>Sedang</v>
      </c>
      <c r="K18" s="122" t="str">
        <f t="shared" si="2"/>
        <v>Sedang</v>
      </c>
      <c r="L18" s="122" t="str">
        <f t="shared" si="3"/>
        <v>Sedang</v>
      </c>
      <c r="M18" s="148"/>
      <c r="N18" s="149">
        <f t="shared" si="4"/>
        <v>2</v>
      </c>
      <c r="O18" s="149">
        <f t="shared" si="5"/>
        <v>2</v>
      </c>
      <c r="P18" s="149">
        <f t="shared" si="6"/>
        <v>2</v>
      </c>
      <c r="Q18" s="149">
        <f t="shared" si="7"/>
        <v>2</v>
      </c>
      <c r="R18" s="124">
        <f t="shared" si="8"/>
        <v>2</v>
      </c>
      <c r="S18" s="122" t="str">
        <f t="shared" si="9"/>
        <v>Sedang</v>
      </c>
      <c r="T18" s="148"/>
      <c r="U18" s="150" t="s">
        <v>15</v>
      </c>
      <c r="V18" s="150" t="s">
        <v>18</v>
      </c>
      <c r="W18" s="150" t="s">
        <v>14</v>
      </c>
      <c r="X18" s="150" t="s">
        <v>16</v>
      </c>
      <c r="Y18" s="150" t="s">
        <v>25</v>
      </c>
    </row>
    <row r="19" spans="2:25" ht="15.75" customHeight="1" x14ac:dyDescent="0.35">
      <c r="B19" s="38">
        <v>23</v>
      </c>
      <c r="C19" s="74" t="s">
        <v>36</v>
      </c>
      <c r="D19" s="121">
        <v>29.72</v>
      </c>
      <c r="E19" s="121">
        <v>7.9478256020301341</v>
      </c>
      <c r="F19" s="121">
        <v>36.391147652539047</v>
      </c>
      <c r="G19" s="121">
        <v>18.469589851276972</v>
      </c>
      <c r="H19" s="148"/>
      <c r="I19" s="122" t="str">
        <f t="shared" si="0"/>
        <v>Sedang</v>
      </c>
      <c r="J19" s="122" t="str">
        <f t="shared" si="1"/>
        <v>Rendah</v>
      </c>
      <c r="K19" s="122" t="str">
        <f t="shared" si="2"/>
        <v>Tinggi</v>
      </c>
      <c r="L19" s="122" t="str">
        <f t="shared" si="3"/>
        <v>Sedang</v>
      </c>
      <c r="M19" s="148"/>
      <c r="N19" s="149">
        <f t="shared" si="4"/>
        <v>2</v>
      </c>
      <c r="O19" s="149">
        <f t="shared" si="5"/>
        <v>1</v>
      </c>
      <c r="P19" s="149">
        <f t="shared" si="6"/>
        <v>3</v>
      </c>
      <c r="Q19" s="149">
        <f t="shared" si="7"/>
        <v>2</v>
      </c>
      <c r="R19" s="124">
        <f t="shared" si="8"/>
        <v>2</v>
      </c>
      <c r="S19" s="122" t="str">
        <f t="shared" si="9"/>
        <v>Sedang</v>
      </c>
      <c r="T19" s="148"/>
      <c r="U19" s="150" t="s">
        <v>15</v>
      </c>
      <c r="V19" s="150" t="s">
        <v>14</v>
      </c>
      <c r="W19" s="150" t="s">
        <v>16</v>
      </c>
      <c r="X19" s="150" t="s">
        <v>18</v>
      </c>
      <c r="Y19" s="150" t="s">
        <v>17</v>
      </c>
    </row>
    <row r="20" spans="2:25" ht="15.75" customHeight="1" x14ac:dyDescent="0.35">
      <c r="B20" s="38">
        <v>24</v>
      </c>
      <c r="C20" s="74" t="s">
        <v>37</v>
      </c>
      <c r="D20" s="121">
        <v>48</v>
      </c>
      <c r="E20" s="121">
        <v>25.446474779216189</v>
      </c>
      <c r="F20" s="121">
        <v>7.0415082391869523</v>
      </c>
      <c r="G20" s="121">
        <v>5.1899692727556266</v>
      </c>
      <c r="H20" s="148"/>
      <c r="I20" s="122" t="str">
        <f t="shared" si="0"/>
        <v>Tinggi</v>
      </c>
      <c r="J20" s="122" t="str">
        <f t="shared" si="1"/>
        <v>Sedang</v>
      </c>
      <c r="K20" s="122" t="str">
        <f t="shared" si="2"/>
        <v>Tinggi</v>
      </c>
      <c r="L20" s="122" t="str">
        <f t="shared" si="3"/>
        <v>Rendah</v>
      </c>
      <c r="M20" s="148"/>
      <c r="N20" s="149">
        <f t="shared" si="4"/>
        <v>3</v>
      </c>
      <c r="O20" s="149">
        <f t="shared" si="5"/>
        <v>2</v>
      </c>
      <c r="P20" s="149">
        <f t="shared" si="6"/>
        <v>3</v>
      </c>
      <c r="Q20" s="149">
        <f t="shared" si="7"/>
        <v>1</v>
      </c>
      <c r="R20" s="124">
        <f t="shared" si="8"/>
        <v>2.25</v>
      </c>
      <c r="S20" s="122" t="str">
        <f t="shared" si="9"/>
        <v>Sedang</v>
      </c>
      <c r="T20" s="148"/>
      <c r="U20" s="150" t="s">
        <v>15</v>
      </c>
      <c r="V20" s="150" t="s">
        <v>18</v>
      </c>
      <c r="W20" s="150" t="s">
        <v>14</v>
      </c>
      <c r="X20" s="150" t="s">
        <v>23</v>
      </c>
      <c r="Y20" s="150" t="s">
        <v>16</v>
      </c>
    </row>
    <row r="21" spans="2:25" ht="15.75" customHeight="1" x14ac:dyDescent="0.35">
      <c r="B21" s="38">
        <v>25</v>
      </c>
      <c r="C21" s="74" t="s">
        <v>38</v>
      </c>
      <c r="D21" s="121">
        <v>28.54</v>
      </c>
      <c r="E21" s="121">
        <v>29.244729286181592</v>
      </c>
      <c r="F21" s="121">
        <v>4.8886228914771257</v>
      </c>
      <c r="G21" s="121">
        <v>11.311253563044483</v>
      </c>
      <c r="H21" s="148"/>
      <c r="I21" s="122" t="str">
        <f t="shared" si="0"/>
        <v>Rendah</v>
      </c>
      <c r="J21" s="122" t="str">
        <f t="shared" si="1"/>
        <v>Sedang</v>
      </c>
      <c r="K21" s="122" t="str">
        <f t="shared" si="2"/>
        <v>Sedang</v>
      </c>
      <c r="L21" s="122" t="str">
        <f t="shared" si="3"/>
        <v>Rendah</v>
      </c>
      <c r="M21" s="148"/>
      <c r="N21" s="149">
        <f t="shared" si="4"/>
        <v>1</v>
      </c>
      <c r="O21" s="149">
        <f t="shared" si="5"/>
        <v>2</v>
      </c>
      <c r="P21" s="149">
        <f t="shared" si="6"/>
        <v>2</v>
      </c>
      <c r="Q21" s="149">
        <f t="shared" si="7"/>
        <v>1</v>
      </c>
      <c r="R21" s="124">
        <f t="shared" si="8"/>
        <v>1.5</v>
      </c>
      <c r="S21" s="122" t="str">
        <f t="shared" si="9"/>
        <v>Rendah</v>
      </c>
      <c r="T21" s="148"/>
      <c r="U21" s="150" t="s">
        <v>15</v>
      </c>
      <c r="V21" s="150" t="s">
        <v>14</v>
      </c>
      <c r="W21" s="150" t="s">
        <v>18</v>
      </c>
      <c r="X21" s="150" t="s">
        <v>25</v>
      </c>
      <c r="Y21" s="150" t="s">
        <v>16</v>
      </c>
    </row>
    <row r="22" spans="2:25" ht="15.75" customHeight="1" x14ac:dyDescent="0.35">
      <c r="B22" s="38">
        <v>26</v>
      </c>
      <c r="C22" s="74" t="s">
        <v>39</v>
      </c>
      <c r="D22" s="121">
        <v>50.44</v>
      </c>
      <c r="E22" s="121">
        <v>56.033271108082275</v>
      </c>
      <c r="F22" s="121">
        <v>3.3401926157105835</v>
      </c>
      <c r="G22" s="121">
        <v>16.204329958443072</v>
      </c>
      <c r="H22" s="148"/>
      <c r="I22" s="122" t="str">
        <f t="shared" si="0"/>
        <v>Tinggi</v>
      </c>
      <c r="J22" s="122" t="str">
        <f t="shared" si="1"/>
        <v>Tinggi</v>
      </c>
      <c r="K22" s="122" t="str">
        <f t="shared" si="2"/>
        <v>Sedang</v>
      </c>
      <c r="L22" s="122" t="str">
        <f t="shared" si="3"/>
        <v>Sedang</v>
      </c>
      <c r="M22" s="148"/>
      <c r="N22" s="149">
        <f t="shared" si="4"/>
        <v>3</v>
      </c>
      <c r="O22" s="149">
        <f t="shared" si="5"/>
        <v>3</v>
      </c>
      <c r="P22" s="149">
        <f t="shared" si="6"/>
        <v>2</v>
      </c>
      <c r="Q22" s="149">
        <f t="shared" si="7"/>
        <v>2</v>
      </c>
      <c r="R22" s="124">
        <f t="shared" si="8"/>
        <v>2.5</v>
      </c>
      <c r="S22" s="122" t="str">
        <f t="shared" si="9"/>
        <v>Tinggi</v>
      </c>
      <c r="T22" s="148"/>
      <c r="U22" s="150" t="s">
        <v>15</v>
      </c>
      <c r="V22" s="150" t="s">
        <v>18</v>
      </c>
      <c r="W22" s="150" t="s">
        <v>23</v>
      </c>
      <c r="X22" s="150" t="s">
        <v>25</v>
      </c>
      <c r="Y22" s="150" t="s">
        <v>14</v>
      </c>
    </row>
    <row r="23" spans="2:25" ht="15.75" customHeight="1" x14ac:dyDescent="0.35">
      <c r="B23" s="38">
        <v>27</v>
      </c>
      <c r="C23" s="74" t="s">
        <v>40</v>
      </c>
      <c r="D23" s="121">
        <v>29.19</v>
      </c>
      <c r="E23" s="121">
        <v>57.059221317489907</v>
      </c>
      <c r="F23" s="121">
        <v>1.8712066928479765</v>
      </c>
      <c r="G23" s="121">
        <v>7.3920406672185051</v>
      </c>
      <c r="H23" s="148"/>
      <c r="I23" s="122" t="str">
        <f t="shared" si="0"/>
        <v>Rendah</v>
      </c>
      <c r="J23" s="122" t="str">
        <f t="shared" si="1"/>
        <v>Tinggi</v>
      </c>
      <c r="K23" s="122" t="str">
        <f t="shared" si="2"/>
        <v>Rendah</v>
      </c>
      <c r="L23" s="122" t="str">
        <f t="shared" si="3"/>
        <v>Rendah</v>
      </c>
      <c r="M23" s="148"/>
      <c r="N23" s="149">
        <f t="shared" si="4"/>
        <v>1</v>
      </c>
      <c r="O23" s="149">
        <f t="shared" si="5"/>
        <v>3</v>
      </c>
      <c r="P23" s="149">
        <f t="shared" si="6"/>
        <v>1</v>
      </c>
      <c r="Q23" s="149">
        <f t="shared" si="7"/>
        <v>1</v>
      </c>
      <c r="R23" s="124">
        <f t="shared" si="8"/>
        <v>1.5</v>
      </c>
      <c r="S23" s="122" t="str">
        <f t="shared" si="9"/>
        <v>Rendah</v>
      </c>
      <c r="T23" s="148"/>
      <c r="U23" s="151" t="s">
        <v>15</v>
      </c>
      <c r="V23" s="151" t="s">
        <v>18</v>
      </c>
      <c r="W23" s="151" t="s">
        <v>14</v>
      </c>
      <c r="X23" s="151" t="s">
        <v>25</v>
      </c>
      <c r="Y23" s="151" t="s">
        <v>23</v>
      </c>
    </row>
    <row r="24" spans="2:25" ht="15.75" customHeight="1" x14ac:dyDescent="0.35">
      <c r="B24" s="38">
        <v>28</v>
      </c>
      <c r="C24" s="74" t="s">
        <v>41</v>
      </c>
      <c r="D24" s="121">
        <v>28.85</v>
      </c>
      <c r="E24" s="121">
        <v>47.509980400108432</v>
      </c>
      <c r="F24" s="121">
        <v>4.6469726169456118</v>
      </c>
      <c r="G24" s="121">
        <v>19.213067240173622</v>
      </c>
      <c r="H24" s="148"/>
      <c r="I24" s="122" t="str">
        <f t="shared" si="0"/>
        <v>Rendah</v>
      </c>
      <c r="J24" s="122" t="str">
        <f t="shared" si="1"/>
        <v>Tinggi</v>
      </c>
      <c r="K24" s="122" t="str">
        <f t="shared" si="2"/>
        <v>Sedang</v>
      </c>
      <c r="L24" s="122" t="str">
        <f t="shared" si="3"/>
        <v>Sedang</v>
      </c>
      <c r="M24" s="148"/>
      <c r="N24" s="149">
        <f t="shared" si="4"/>
        <v>1</v>
      </c>
      <c r="O24" s="149">
        <f t="shared" si="5"/>
        <v>3</v>
      </c>
      <c r="P24" s="149">
        <f t="shared" si="6"/>
        <v>2</v>
      </c>
      <c r="Q24" s="149">
        <f t="shared" si="7"/>
        <v>2</v>
      </c>
      <c r="R24" s="124">
        <f t="shared" si="8"/>
        <v>2</v>
      </c>
      <c r="S24" s="122" t="str">
        <f t="shared" si="9"/>
        <v>Sedang</v>
      </c>
      <c r="T24" s="148"/>
      <c r="U24" s="151" t="s">
        <v>15</v>
      </c>
      <c r="V24" s="151" t="s">
        <v>18</v>
      </c>
      <c r="W24" s="151" t="s">
        <v>14</v>
      </c>
      <c r="X24" s="151" t="s">
        <v>25</v>
      </c>
      <c r="Y24" s="151" t="s">
        <v>23</v>
      </c>
    </row>
    <row r="25" spans="2:25" ht="15.75" customHeight="1" x14ac:dyDescent="0.35">
      <c r="B25" s="38">
        <v>29</v>
      </c>
      <c r="C25" s="74" t="s">
        <v>42</v>
      </c>
      <c r="D25" s="121">
        <v>31.32</v>
      </c>
      <c r="E25" s="121">
        <v>51.697585925609303</v>
      </c>
      <c r="F25" s="121">
        <v>1.7961682216604202</v>
      </c>
      <c r="G25" s="121">
        <v>12.182878141175134</v>
      </c>
      <c r="H25" s="148"/>
      <c r="I25" s="122" t="str">
        <f t="shared" si="0"/>
        <v>Sedang</v>
      </c>
      <c r="J25" s="122" t="str">
        <f t="shared" si="1"/>
        <v>Tinggi</v>
      </c>
      <c r="K25" s="122" t="str">
        <f t="shared" si="2"/>
        <v>Rendah</v>
      </c>
      <c r="L25" s="122" t="str">
        <f t="shared" si="3"/>
        <v>Sedang</v>
      </c>
      <c r="M25" s="148"/>
      <c r="N25" s="149">
        <f t="shared" si="4"/>
        <v>2</v>
      </c>
      <c r="O25" s="149">
        <f t="shared" si="5"/>
        <v>3</v>
      </c>
      <c r="P25" s="149">
        <f t="shared" si="6"/>
        <v>1</v>
      </c>
      <c r="Q25" s="149">
        <f t="shared" si="7"/>
        <v>2</v>
      </c>
      <c r="R25" s="124">
        <f t="shared" si="8"/>
        <v>2</v>
      </c>
      <c r="S25" s="122" t="str">
        <f t="shared" si="9"/>
        <v>Sedang</v>
      </c>
      <c r="T25" s="148"/>
      <c r="U25" s="151" t="s">
        <v>15</v>
      </c>
      <c r="V25" s="151" t="s">
        <v>14</v>
      </c>
      <c r="W25" s="151" t="s">
        <v>18</v>
      </c>
      <c r="X25" s="151" t="s">
        <v>25</v>
      </c>
      <c r="Y25" s="151" t="s">
        <v>16</v>
      </c>
    </row>
    <row r="26" spans="2:25" ht="15.75" customHeight="1" x14ac:dyDescent="0.35">
      <c r="B26" s="38">
        <v>30</v>
      </c>
      <c r="C26" s="74" t="s">
        <v>43</v>
      </c>
      <c r="D26" s="121">
        <v>32.11</v>
      </c>
      <c r="E26" s="121">
        <v>58.326926163124085</v>
      </c>
      <c r="F26" s="121">
        <v>5.4161997607913994</v>
      </c>
      <c r="G26" s="121">
        <v>8.3386837508585394</v>
      </c>
      <c r="H26" s="148"/>
      <c r="I26" s="122" t="str">
        <f t="shared" si="0"/>
        <v>Sedang</v>
      </c>
      <c r="J26" s="122" t="str">
        <f t="shared" si="1"/>
        <v>Tinggi</v>
      </c>
      <c r="K26" s="122" t="str">
        <f t="shared" si="2"/>
        <v>Tinggi</v>
      </c>
      <c r="L26" s="122" t="str">
        <f t="shared" si="3"/>
        <v>Rendah</v>
      </c>
      <c r="M26" s="148"/>
      <c r="N26" s="149">
        <f t="shared" si="4"/>
        <v>2</v>
      </c>
      <c r="O26" s="149">
        <f t="shared" si="5"/>
        <v>3</v>
      </c>
      <c r="P26" s="149">
        <f t="shared" si="6"/>
        <v>3</v>
      </c>
      <c r="Q26" s="149">
        <f t="shared" si="7"/>
        <v>1</v>
      </c>
      <c r="R26" s="124">
        <f t="shared" si="8"/>
        <v>2.25</v>
      </c>
      <c r="S26" s="122" t="str">
        <f t="shared" si="9"/>
        <v>Sedang</v>
      </c>
      <c r="T26" s="148"/>
      <c r="U26" s="151" t="s">
        <v>15</v>
      </c>
      <c r="V26" s="151" t="s">
        <v>23</v>
      </c>
      <c r="W26" s="151" t="s">
        <v>18</v>
      </c>
      <c r="X26" s="151" t="s">
        <v>14</v>
      </c>
      <c r="Y26" s="151" t="s">
        <v>16</v>
      </c>
    </row>
    <row r="27" spans="2:25" ht="15.75" customHeight="1" x14ac:dyDescent="0.35">
      <c r="B27" s="38">
        <v>31</v>
      </c>
      <c r="C27" s="74" t="s">
        <v>44</v>
      </c>
      <c r="D27" s="121">
        <v>77.819999999999993</v>
      </c>
      <c r="E27" s="121">
        <v>9.376786425884962</v>
      </c>
      <c r="F27" s="121">
        <v>4.7556531988697808</v>
      </c>
      <c r="G27" s="121">
        <v>29.597403000447343</v>
      </c>
      <c r="H27" s="148"/>
      <c r="I27" s="122" t="str">
        <f t="shared" si="0"/>
        <v>Tinggi</v>
      </c>
      <c r="J27" s="122" t="str">
        <f t="shared" si="1"/>
        <v>Rendah</v>
      </c>
      <c r="K27" s="122" t="str">
        <f t="shared" si="2"/>
        <v>Sedang</v>
      </c>
      <c r="L27" s="122" t="str">
        <f t="shared" si="3"/>
        <v>Tinggi</v>
      </c>
      <c r="M27" s="148"/>
      <c r="N27" s="149">
        <f t="shared" si="4"/>
        <v>3</v>
      </c>
      <c r="O27" s="149">
        <f t="shared" si="5"/>
        <v>1</v>
      </c>
      <c r="P27" s="149">
        <f t="shared" si="6"/>
        <v>2</v>
      </c>
      <c r="Q27" s="149">
        <f t="shared" si="7"/>
        <v>3</v>
      </c>
      <c r="R27" s="124">
        <f t="shared" si="8"/>
        <v>2.25</v>
      </c>
      <c r="S27" s="122" t="str">
        <f t="shared" si="9"/>
        <v>Sedang</v>
      </c>
      <c r="T27" s="148"/>
      <c r="U27" s="151" t="s">
        <v>16</v>
      </c>
      <c r="V27" s="151" t="s">
        <v>14</v>
      </c>
      <c r="W27" s="151" t="s">
        <v>15</v>
      </c>
      <c r="X27" s="151" t="s">
        <v>18</v>
      </c>
      <c r="Y27" s="151" t="s">
        <v>28</v>
      </c>
    </row>
    <row r="28" spans="2:25" ht="15.75" customHeight="1" x14ac:dyDescent="0.35">
      <c r="B28" s="38">
        <v>32</v>
      </c>
      <c r="C28" s="74" t="s">
        <v>45</v>
      </c>
      <c r="D28" s="121">
        <v>70.97</v>
      </c>
      <c r="E28" s="121">
        <v>40.686806404968316</v>
      </c>
      <c r="F28" s="121">
        <v>3.5282066517000006</v>
      </c>
      <c r="G28" s="121">
        <v>42.052699629142708</v>
      </c>
      <c r="H28" s="148"/>
      <c r="I28" s="122" t="str">
        <f t="shared" si="0"/>
        <v>Tinggi</v>
      </c>
      <c r="J28" s="122" t="str">
        <f t="shared" si="1"/>
        <v>Tinggi</v>
      </c>
      <c r="K28" s="122" t="str">
        <f t="shared" si="2"/>
        <v>Sedang</v>
      </c>
      <c r="L28" s="122" t="str">
        <f t="shared" si="3"/>
        <v>Tinggi</v>
      </c>
      <c r="M28" s="148"/>
      <c r="N28" s="149">
        <f t="shared" si="4"/>
        <v>3</v>
      </c>
      <c r="O28" s="149">
        <f t="shared" si="5"/>
        <v>3</v>
      </c>
      <c r="P28" s="149">
        <f t="shared" si="6"/>
        <v>2</v>
      </c>
      <c r="Q28" s="149">
        <f t="shared" si="7"/>
        <v>3</v>
      </c>
      <c r="R28" s="124">
        <f t="shared" si="8"/>
        <v>2.75</v>
      </c>
      <c r="S28" s="122" t="str">
        <f t="shared" si="9"/>
        <v>Tinggi</v>
      </c>
      <c r="T28" s="148"/>
      <c r="U28" s="151" t="s">
        <v>15</v>
      </c>
      <c r="V28" s="151" t="s">
        <v>16</v>
      </c>
      <c r="W28" s="151" t="s">
        <v>14</v>
      </c>
      <c r="X28" s="151" t="s">
        <v>18</v>
      </c>
      <c r="Y28" s="151" t="s">
        <v>25</v>
      </c>
    </row>
    <row r="29" spans="2:25" ht="15.75" customHeight="1" x14ac:dyDescent="0.35">
      <c r="B29" s="38">
        <v>33</v>
      </c>
      <c r="C29" s="74" t="s">
        <v>46</v>
      </c>
      <c r="D29" s="121">
        <v>3.33</v>
      </c>
      <c r="E29" s="121">
        <v>36.60696740630199</v>
      </c>
      <c r="F29" s="121">
        <v>18.278672532937851</v>
      </c>
      <c r="G29" s="121">
        <v>47.627115166185455</v>
      </c>
      <c r="H29" s="148"/>
      <c r="I29" s="122" t="str">
        <f t="shared" si="0"/>
        <v>Rendah</v>
      </c>
      <c r="J29" s="122" t="str">
        <f t="shared" si="1"/>
        <v>Sedang</v>
      </c>
      <c r="K29" s="122" t="str">
        <f t="shared" si="2"/>
        <v>Tinggi</v>
      </c>
      <c r="L29" s="122" t="str">
        <f t="shared" si="3"/>
        <v>Tinggi</v>
      </c>
      <c r="M29" s="148"/>
      <c r="N29" s="149">
        <f t="shared" si="4"/>
        <v>1</v>
      </c>
      <c r="O29" s="149">
        <f t="shared" si="5"/>
        <v>2</v>
      </c>
      <c r="P29" s="149">
        <f t="shared" si="6"/>
        <v>3</v>
      </c>
      <c r="Q29" s="149">
        <f t="shared" si="7"/>
        <v>3</v>
      </c>
      <c r="R29" s="124">
        <f t="shared" si="8"/>
        <v>2.25</v>
      </c>
      <c r="S29" s="122" t="str">
        <f t="shared" si="9"/>
        <v>Sedang</v>
      </c>
      <c r="T29" s="148"/>
      <c r="U29" s="151" t="s">
        <v>15</v>
      </c>
      <c r="V29" s="151" t="s">
        <v>23</v>
      </c>
      <c r="W29" s="151" t="s">
        <v>14</v>
      </c>
      <c r="X29" s="151" t="s">
        <v>18</v>
      </c>
      <c r="Y29" s="151" t="s">
        <v>47</v>
      </c>
    </row>
    <row r="30" spans="2:25" ht="15.75" customHeight="1" x14ac:dyDescent="0.35">
      <c r="S30" s="125"/>
    </row>
    <row r="31" spans="2:25" ht="15.75" customHeight="1" x14ac:dyDescent="0.35">
      <c r="S31" s="125"/>
    </row>
    <row r="32" spans="2:25" ht="18.75" customHeight="1" x14ac:dyDescent="0.35">
      <c r="D32" s="2"/>
      <c r="E32" s="2"/>
      <c r="F32" s="2"/>
      <c r="G32" s="2"/>
      <c r="J32" s="2"/>
      <c r="L32" s="1"/>
      <c r="M32" s="47"/>
      <c r="N32" s="47"/>
      <c r="O32" s="12"/>
      <c r="P32" s="12"/>
      <c r="Q32" s="46"/>
      <c r="R32" s="12"/>
      <c r="S32" s="46"/>
    </row>
    <row r="33" spans="4:14" ht="12.75" x14ac:dyDescent="0.35">
      <c r="D33" s="2"/>
      <c r="E33" s="2"/>
      <c r="F33" s="2"/>
      <c r="G33" s="2"/>
      <c r="J33" s="2"/>
      <c r="L33" s="2"/>
      <c r="M33" s="2"/>
      <c r="N33" s="2"/>
    </row>
    <row r="34" spans="4:14" ht="12.75" x14ac:dyDescent="0.35">
      <c r="D34" s="2"/>
      <c r="E34" s="2"/>
      <c r="F34" s="2"/>
      <c r="G34" s="2"/>
      <c r="J34" s="2"/>
      <c r="L34" s="2"/>
      <c r="M34" s="2"/>
      <c r="N34" s="2"/>
    </row>
    <row r="35" spans="4:14" ht="12.75" x14ac:dyDescent="0.35">
      <c r="D35" s="2"/>
      <c r="E35" s="2"/>
      <c r="F35" s="2"/>
      <c r="G35" s="2"/>
      <c r="I35" s="2"/>
      <c r="K35" s="2"/>
      <c r="L35" s="2"/>
      <c r="M35" s="2"/>
      <c r="N35" s="2"/>
    </row>
    <row r="36" spans="4:14" ht="26.25" customHeight="1" x14ac:dyDescent="0.35">
      <c r="D36" s="2"/>
      <c r="E36" s="2"/>
      <c r="F36" s="2"/>
      <c r="G36" s="2"/>
      <c r="I36" s="2"/>
      <c r="J36" s="2"/>
      <c r="L36" s="2"/>
      <c r="M36" s="2"/>
      <c r="N36" s="2"/>
    </row>
    <row r="37" spans="4:14" ht="18.75" customHeight="1" x14ac:dyDescent="0.35">
      <c r="D37" s="2"/>
      <c r="E37" s="2"/>
      <c r="F37" s="2"/>
      <c r="G37" s="2"/>
      <c r="I37" s="2"/>
      <c r="J37" s="2"/>
      <c r="L37" s="2"/>
      <c r="M37" s="2"/>
      <c r="N37" s="2"/>
    </row>
    <row r="38" spans="4:14" ht="18.75" customHeight="1" x14ac:dyDescent="0.35">
      <c r="D38" s="2"/>
      <c r="E38" s="2"/>
      <c r="F38" s="2"/>
      <c r="G38" s="2"/>
      <c r="I38" s="2"/>
      <c r="J38" s="2"/>
      <c r="L38" s="2"/>
      <c r="M38" s="2"/>
      <c r="N38" s="2"/>
    </row>
    <row r="39" spans="4:14" ht="18.75" customHeight="1" x14ac:dyDescent="0.35">
      <c r="D39" s="2"/>
      <c r="E39" s="2"/>
      <c r="F39" s="2"/>
      <c r="G39" s="2"/>
      <c r="I39" s="2"/>
      <c r="J39" s="2"/>
      <c r="L39" s="2"/>
      <c r="M39" s="2"/>
      <c r="N39" s="2"/>
    </row>
    <row r="40" spans="4:14" ht="18.75" customHeight="1" x14ac:dyDescent="0.35">
      <c r="D40" s="2"/>
      <c r="E40" s="2"/>
      <c r="F40" s="2"/>
      <c r="G40" s="2"/>
      <c r="I40" s="2"/>
      <c r="J40" s="2"/>
      <c r="L40" s="2"/>
      <c r="M40" s="2"/>
      <c r="N40" s="2"/>
    </row>
    <row r="41" spans="4:14" ht="18.75" customHeight="1" x14ac:dyDescent="0.35">
      <c r="D41" s="2"/>
      <c r="E41" s="2"/>
      <c r="F41" s="2"/>
      <c r="G41" s="2"/>
      <c r="I41" s="2"/>
      <c r="J41" s="2"/>
      <c r="L41" s="2"/>
      <c r="M41" s="2"/>
      <c r="N41" s="2"/>
    </row>
    <row r="42" spans="4:14" ht="18.75" customHeight="1" x14ac:dyDescent="0.35">
      <c r="D42" s="2"/>
      <c r="E42" s="2"/>
      <c r="F42" s="2"/>
      <c r="G42" s="2"/>
      <c r="I42" s="2"/>
      <c r="J42" s="2"/>
      <c r="L42" s="2"/>
      <c r="M42" s="2"/>
      <c r="N42" s="2"/>
    </row>
    <row r="43" spans="4:14" ht="18.75" customHeight="1" x14ac:dyDescent="0.35">
      <c r="D43" s="2"/>
      <c r="E43" s="2"/>
      <c r="F43" s="2"/>
      <c r="G43" s="2"/>
      <c r="I43" s="2"/>
      <c r="J43" s="2"/>
      <c r="L43" s="2"/>
      <c r="M43" s="2"/>
      <c r="N43" s="2"/>
    </row>
    <row r="44" spans="4:14" ht="18.75" customHeight="1" x14ac:dyDescent="0.35">
      <c r="D44" s="2"/>
      <c r="E44" s="2"/>
      <c r="F44" s="2"/>
      <c r="G44" s="2"/>
      <c r="I44" s="2"/>
      <c r="J44" s="2"/>
      <c r="L44" s="2"/>
      <c r="M44" s="2"/>
      <c r="N44" s="2"/>
    </row>
    <row r="45" spans="4:14" ht="18.75" customHeight="1" x14ac:dyDescent="0.35">
      <c r="D45" s="2"/>
      <c r="E45" s="2"/>
      <c r="F45" s="2"/>
      <c r="G45" s="2"/>
      <c r="I45" s="2"/>
      <c r="J45" s="2"/>
      <c r="L45" s="2"/>
      <c r="M45" s="2"/>
      <c r="N45" s="2"/>
    </row>
    <row r="46" spans="4:14" ht="18.75" customHeight="1" x14ac:dyDescent="0.35">
      <c r="D46" s="2"/>
      <c r="E46" s="2"/>
      <c r="F46" s="2"/>
      <c r="G46" s="2"/>
      <c r="I46" s="2"/>
      <c r="J46" s="2"/>
      <c r="L46" s="2"/>
      <c r="M46" s="2"/>
      <c r="N46" s="2"/>
    </row>
    <row r="47" spans="4:14" ht="18.75" customHeight="1" x14ac:dyDescent="0.35">
      <c r="D47" s="2"/>
      <c r="E47" s="2"/>
      <c r="F47" s="2"/>
      <c r="G47" s="2"/>
      <c r="I47" s="2"/>
      <c r="J47" s="2"/>
      <c r="L47" s="2"/>
      <c r="M47" s="2"/>
      <c r="N47" s="2"/>
    </row>
    <row r="48" spans="4:14" ht="18.75" customHeight="1" x14ac:dyDescent="0.35">
      <c r="D48" s="2"/>
      <c r="E48" s="2"/>
      <c r="F48" s="2"/>
      <c r="G48" s="2"/>
      <c r="I48" s="2"/>
      <c r="J48" s="2"/>
      <c r="L48" s="2"/>
      <c r="M48" s="2"/>
      <c r="N48" s="2"/>
    </row>
    <row r="49" spans="4:14" ht="18.75" customHeight="1" x14ac:dyDescent="0.35">
      <c r="D49" s="2"/>
      <c r="E49" s="2"/>
      <c r="F49" s="2"/>
      <c r="G49" s="2"/>
      <c r="J49" s="2"/>
      <c r="L49" s="2"/>
      <c r="M49" s="2"/>
      <c r="N49" s="2"/>
    </row>
    <row r="50" spans="4:14" ht="18.75" customHeight="1" x14ac:dyDescent="0.35">
      <c r="D50" s="2"/>
      <c r="E50" s="2"/>
      <c r="F50" s="2"/>
      <c r="G50" s="2"/>
      <c r="J50" s="2"/>
      <c r="L50" s="2"/>
      <c r="M50" s="2"/>
      <c r="N50" s="2"/>
    </row>
    <row r="51" spans="4:14" ht="18.75" customHeight="1" x14ac:dyDescent="0.35">
      <c r="D51" s="2"/>
      <c r="E51" s="2"/>
      <c r="F51" s="2"/>
      <c r="G51" s="2"/>
      <c r="J51" s="2"/>
      <c r="L51" s="2"/>
      <c r="M51" s="2"/>
      <c r="N51" s="2"/>
    </row>
    <row r="52" spans="4:14" ht="18.75" customHeight="1" x14ac:dyDescent="0.35">
      <c r="D52" s="2"/>
      <c r="E52" s="2"/>
      <c r="F52" s="2"/>
      <c r="G52" s="2"/>
      <c r="J52" s="2"/>
      <c r="L52" s="2"/>
      <c r="M52" s="2"/>
      <c r="N52" s="2"/>
    </row>
    <row r="53" spans="4:14" ht="18.75" customHeight="1" x14ac:dyDescent="0.35">
      <c r="D53" s="2"/>
      <c r="E53" s="2"/>
      <c r="F53" s="2"/>
      <c r="G53" s="2"/>
      <c r="J53" s="2"/>
      <c r="L53" s="2"/>
      <c r="M53" s="2"/>
      <c r="N53" s="2"/>
    </row>
    <row r="54" spans="4:14" ht="12.75" x14ac:dyDescent="0.35">
      <c r="D54" s="2"/>
      <c r="E54" s="2"/>
      <c r="F54" s="2"/>
      <c r="G54" s="2"/>
      <c r="J54" s="2"/>
      <c r="L54" s="2"/>
      <c r="M54" s="2"/>
      <c r="N54" s="2"/>
    </row>
    <row r="55" spans="4:14" ht="12.75" x14ac:dyDescent="0.35">
      <c r="D55" s="2"/>
      <c r="E55" s="2"/>
      <c r="F55" s="2"/>
      <c r="G55" s="2"/>
      <c r="J55" s="2"/>
      <c r="L55" s="2"/>
      <c r="M55" s="2"/>
      <c r="N55" s="2"/>
    </row>
    <row r="56" spans="4:14" ht="12.75" x14ac:dyDescent="0.35">
      <c r="D56" s="2"/>
      <c r="E56" s="2"/>
      <c r="F56" s="2"/>
      <c r="G56" s="2"/>
      <c r="J56" s="2"/>
      <c r="L56" s="2"/>
      <c r="M56" s="2"/>
      <c r="N56" s="2"/>
    </row>
    <row r="57" spans="4:14" ht="12.75" x14ac:dyDescent="0.35">
      <c r="D57" s="2"/>
      <c r="E57" s="2"/>
      <c r="F57" s="2"/>
      <c r="G57" s="2"/>
      <c r="J57" s="2"/>
      <c r="L57" s="2"/>
      <c r="M57" s="2"/>
      <c r="N57" s="2"/>
    </row>
    <row r="58" spans="4:14" ht="12.75" x14ac:dyDescent="0.35">
      <c r="D58" s="2"/>
      <c r="E58" s="2"/>
      <c r="F58" s="2"/>
      <c r="G58" s="2"/>
      <c r="J58" s="2"/>
      <c r="L58" s="2"/>
      <c r="M58" s="2"/>
      <c r="N58" s="2"/>
    </row>
    <row r="59" spans="4:14" ht="12.75" x14ac:dyDescent="0.35">
      <c r="D59" s="2"/>
      <c r="E59" s="2"/>
      <c r="F59" s="2"/>
      <c r="G59" s="2"/>
      <c r="J59" s="2"/>
      <c r="L59" s="2"/>
      <c r="M59" s="2"/>
      <c r="N59" s="2"/>
    </row>
    <row r="60" spans="4:14" ht="12.75" x14ac:dyDescent="0.35">
      <c r="D60" s="2"/>
      <c r="E60" s="2"/>
      <c r="F60" s="2"/>
      <c r="G60" s="2"/>
      <c r="J60" s="2"/>
      <c r="L60" s="2"/>
      <c r="M60" s="2"/>
      <c r="N60" s="2"/>
    </row>
    <row r="61" spans="4:14" ht="12.75" x14ac:dyDescent="0.35">
      <c r="D61" s="2"/>
      <c r="E61" s="2"/>
      <c r="F61" s="2"/>
      <c r="G61" s="2"/>
      <c r="J61" s="2"/>
      <c r="L61" s="2"/>
      <c r="M61" s="2"/>
      <c r="N61" s="2"/>
    </row>
    <row r="62" spans="4:14" ht="12.75" x14ac:dyDescent="0.35">
      <c r="D62" s="2"/>
      <c r="E62" s="2"/>
      <c r="F62" s="2"/>
      <c r="G62" s="2"/>
      <c r="J62" s="2"/>
      <c r="L62" s="2"/>
      <c r="M62" s="2"/>
      <c r="N62" s="2"/>
    </row>
    <row r="63" spans="4:14" ht="12.75" x14ac:dyDescent="0.35">
      <c r="D63" s="2"/>
      <c r="E63" s="2"/>
      <c r="F63" s="2"/>
      <c r="G63" s="2"/>
      <c r="J63" s="2"/>
      <c r="L63" s="2"/>
      <c r="M63" s="2"/>
      <c r="N63" s="2"/>
    </row>
    <row r="64" spans="4:14" ht="12.75" x14ac:dyDescent="0.35">
      <c r="D64" s="2"/>
      <c r="E64" s="2"/>
      <c r="F64" s="2"/>
      <c r="G64" s="2"/>
      <c r="J64" s="2"/>
      <c r="L64" s="2"/>
      <c r="M64" s="2"/>
      <c r="N64" s="2"/>
    </row>
    <row r="65" spans="4:14" ht="12.75" x14ac:dyDescent="0.35">
      <c r="D65" s="2"/>
      <c r="E65" s="2"/>
      <c r="F65" s="2"/>
      <c r="G65" s="2"/>
      <c r="J65" s="2"/>
      <c r="L65" s="2"/>
      <c r="M65" s="2"/>
      <c r="N65" s="2"/>
    </row>
    <row r="66" spans="4:14" ht="12.75" x14ac:dyDescent="0.35">
      <c r="D66" s="2"/>
      <c r="E66" s="2"/>
      <c r="F66" s="2"/>
      <c r="G66" s="2"/>
      <c r="J66" s="2"/>
      <c r="L66" s="2"/>
      <c r="M66" s="2"/>
      <c r="N66" s="2"/>
    </row>
    <row r="67" spans="4:14" ht="12.75" x14ac:dyDescent="0.35">
      <c r="D67" s="2"/>
      <c r="E67" s="2"/>
      <c r="F67" s="2"/>
      <c r="G67" s="2"/>
      <c r="J67" s="2"/>
      <c r="L67" s="2"/>
      <c r="M67" s="2"/>
      <c r="N67" s="2"/>
    </row>
    <row r="68" spans="4:14" ht="12.75" x14ac:dyDescent="0.35">
      <c r="D68" s="2"/>
      <c r="E68" s="2"/>
      <c r="F68" s="2"/>
      <c r="G68" s="2"/>
      <c r="J68" s="2"/>
      <c r="L68" s="2"/>
      <c r="M68" s="2"/>
      <c r="N68" s="2"/>
    </row>
    <row r="69" spans="4:14" ht="12.75" x14ac:dyDescent="0.35">
      <c r="D69" s="2"/>
      <c r="E69" s="2"/>
      <c r="F69" s="2"/>
      <c r="G69" s="2"/>
      <c r="J69" s="2"/>
      <c r="L69" s="2"/>
      <c r="M69" s="2"/>
      <c r="N69" s="2"/>
    </row>
    <row r="70" spans="4:14" ht="12.75" x14ac:dyDescent="0.35">
      <c r="D70" s="2"/>
      <c r="E70" s="2"/>
      <c r="F70" s="2"/>
      <c r="G70" s="2"/>
      <c r="J70" s="2"/>
      <c r="L70" s="2"/>
      <c r="M70" s="2"/>
      <c r="N70" s="2"/>
    </row>
    <row r="71" spans="4:14" ht="12.75" x14ac:dyDescent="0.35">
      <c r="D71" s="2"/>
      <c r="E71" s="2"/>
      <c r="F71" s="2"/>
      <c r="G71" s="2"/>
      <c r="J71" s="2"/>
      <c r="L71" s="2"/>
      <c r="M71" s="2"/>
      <c r="N71" s="2"/>
    </row>
    <row r="72" spans="4:14" ht="12.75" x14ac:dyDescent="0.35">
      <c r="D72" s="2"/>
      <c r="E72" s="2"/>
      <c r="F72" s="2"/>
      <c r="G72" s="2"/>
      <c r="J72" s="2"/>
      <c r="L72" s="2"/>
      <c r="M72" s="2"/>
      <c r="N72" s="2"/>
    </row>
    <row r="73" spans="4:14" ht="12.75" x14ac:dyDescent="0.35">
      <c r="D73" s="2"/>
      <c r="E73" s="2"/>
      <c r="F73" s="2"/>
      <c r="G73" s="2"/>
      <c r="J73" s="2"/>
      <c r="L73" s="2"/>
      <c r="M73" s="2"/>
      <c r="N73" s="2"/>
    </row>
    <row r="74" spans="4:14" ht="12.75" x14ac:dyDescent="0.35">
      <c r="D74" s="2"/>
      <c r="E74" s="2"/>
      <c r="F74" s="2"/>
      <c r="G74" s="2"/>
      <c r="J74" s="2"/>
      <c r="L74" s="2"/>
      <c r="M74" s="2"/>
      <c r="N74" s="2"/>
    </row>
    <row r="75" spans="4:14" ht="12.75" x14ac:dyDescent="0.35">
      <c r="D75" s="2"/>
      <c r="E75" s="2"/>
      <c r="F75" s="2"/>
      <c r="G75" s="2"/>
      <c r="J75" s="2"/>
      <c r="L75" s="2"/>
      <c r="M75" s="2"/>
      <c r="N75" s="2"/>
    </row>
    <row r="76" spans="4:14" ht="12.75" x14ac:dyDescent="0.35">
      <c r="D76" s="2"/>
      <c r="E76" s="2"/>
      <c r="F76" s="2"/>
      <c r="G76" s="2"/>
      <c r="J76" s="2"/>
      <c r="L76" s="2"/>
      <c r="M76" s="2"/>
      <c r="N76" s="2"/>
    </row>
    <row r="77" spans="4:14" ht="12.75" x14ac:dyDescent="0.35">
      <c r="D77" s="2"/>
      <c r="E77" s="2"/>
      <c r="F77" s="2"/>
      <c r="G77" s="2"/>
      <c r="J77" s="2"/>
      <c r="L77" s="2"/>
      <c r="M77" s="2"/>
      <c r="N77" s="2"/>
    </row>
    <row r="78" spans="4:14" ht="12.75" x14ac:dyDescent="0.35">
      <c r="D78" s="2"/>
      <c r="E78" s="2"/>
      <c r="F78" s="2"/>
      <c r="G78" s="2"/>
      <c r="J78" s="2"/>
      <c r="L78" s="2"/>
      <c r="M78" s="2"/>
      <c r="N78" s="2"/>
    </row>
    <row r="79" spans="4:14" ht="12.75" x14ac:dyDescent="0.35">
      <c r="D79" s="2"/>
      <c r="E79" s="2"/>
      <c r="F79" s="2"/>
      <c r="G79" s="2"/>
      <c r="J79" s="2"/>
      <c r="L79" s="2"/>
      <c r="M79" s="2"/>
      <c r="N79" s="2"/>
    </row>
    <row r="80" spans="4:14" ht="12.75" x14ac:dyDescent="0.35">
      <c r="D80" s="2"/>
      <c r="E80" s="2"/>
      <c r="F80" s="2"/>
      <c r="G80" s="2"/>
      <c r="J80" s="2"/>
      <c r="L80" s="2"/>
      <c r="M80" s="2"/>
      <c r="N80" s="2"/>
    </row>
    <row r="81" spans="4:14" ht="12.75" x14ac:dyDescent="0.35">
      <c r="D81" s="2"/>
      <c r="E81" s="2"/>
      <c r="F81" s="2"/>
      <c r="G81" s="2"/>
      <c r="J81" s="2"/>
      <c r="L81" s="2"/>
      <c r="M81" s="2"/>
      <c r="N81" s="2"/>
    </row>
    <row r="82" spans="4:14" ht="12.75" x14ac:dyDescent="0.35">
      <c r="D82" s="2"/>
      <c r="E82" s="2"/>
      <c r="F82" s="2"/>
      <c r="G82" s="2"/>
      <c r="J82" s="2"/>
      <c r="L82" s="2"/>
      <c r="M82" s="2"/>
      <c r="N82" s="2"/>
    </row>
    <row r="83" spans="4:14" ht="12.75" x14ac:dyDescent="0.35">
      <c r="D83" s="2"/>
      <c r="E83" s="2"/>
      <c r="F83" s="2"/>
      <c r="G83" s="2"/>
      <c r="J83" s="2"/>
      <c r="L83" s="2"/>
      <c r="M83" s="2"/>
      <c r="N83" s="2"/>
    </row>
    <row r="84" spans="4:14" ht="12.75" x14ac:dyDescent="0.35">
      <c r="D84" s="2"/>
      <c r="E84" s="2"/>
      <c r="F84" s="2"/>
      <c r="G84" s="2"/>
      <c r="J84" s="2"/>
      <c r="L84" s="2"/>
      <c r="M84" s="2"/>
      <c r="N84" s="2"/>
    </row>
    <row r="85" spans="4:14" ht="12.75" x14ac:dyDescent="0.35">
      <c r="D85" s="2"/>
      <c r="E85" s="2"/>
      <c r="F85" s="2"/>
      <c r="G85" s="2"/>
      <c r="J85" s="2"/>
      <c r="L85" s="2"/>
      <c r="M85" s="2"/>
      <c r="N85" s="2"/>
    </row>
    <row r="86" spans="4:14" ht="12.75" x14ac:dyDescent="0.35">
      <c r="D86" s="2"/>
      <c r="E86" s="2"/>
      <c r="F86" s="2"/>
      <c r="G86" s="2"/>
      <c r="J86" s="2"/>
      <c r="L86" s="2"/>
      <c r="M86" s="2"/>
      <c r="N86" s="2"/>
    </row>
    <row r="87" spans="4:14" ht="12.75" x14ac:dyDescent="0.35">
      <c r="D87" s="2"/>
      <c r="E87" s="2"/>
      <c r="F87" s="2"/>
      <c r="G87" s="2"/>
      <c r="J87" s="2"/>
      <c r="L87" s="2"/>
      <c r="M87" s="2"/>
      <c r="N87" s="2"/>
    </row>
    <row r="88" spans="4:14" ht="12.75" x14ac:dyDescent="0.35">
      <c r="D88" s="2"/>
      <c r="E88" s="2"/>
      <c r="F88" s="2"/>
      <c r="G88" s="2"/>
      <c r="J88" s="2"/>
      <c r="L88" s="2"/>
      <c r="M88" s="2"/>
      <c r="N88" s="2"/>
    </row>
    <row r="89" spans="4:14" ht="12.75" x14ac:dyDescent="0.35">
      <c r="D89" s="2"/>
      <c r="E89" s="2"/>
      <c r="F89" s="2"/>
      <c r="G89" s="2"/>
      <c r="J89" s="2"/>
      <c r="L89" s="2"/>
      <c r="M89" s="2"/>
      <c r="N89" s="2"/>
    </row>
    <row r="90" spans="4:14" ht="12.75" x14ac:dyDescent="0.35">
      <c r="D90" s="2"/>
      <c r="E90" s="2"/>
      <c r="F90" s="2"/>
      <c r="G90" s="2"/>
      <c r="J90" s="2"/>
      <c r="L90" s="2"/>
      <c r="M90" s="2"/>
      <c r="N90" s="2"/>
    </row>
    <row r="91" spans="4:14" ht="12.75" x14ac:dyDescent="0.35">
      <c r="D91" s="2"/>
      <c r="E91" s="2"/>
      <c r="F91" s="2"/>
      <c r="G91" s="2"/>
      <c r="J91" s="2"/>
      <c r="L91" s="2"/>
      <c r="M91" s="2"/>
      <c r="N91" s="2"/>
    </row>
    <row r="92" spans="4:14" ht="12.75" x14ac:dyDescent="0.35">
      <c r="D92" s="2"/>
      <c r="E92" s="2"/>
      <c r="F92" s="2"/>
      <c r="G92" s="2"/>
      <c r="J92" s="2"/>
      <c r="L92" s="2"/>
      <c r="M92" s="2"/>
      <c r="N92" s="2"/>
    </row>
    <row r="93" spans="4:14" ht="12.75" x14ac:dyDescent="0.35">
      <c r="D93" s="2"/>
      <c r="E93" s="2"/>
      <c r="F93" s="2"/>
      <c r="G93" s="2"/>
      <c r="J93" s="2"/>
      <c r="L93" s="2"/>
      <c r="M93" s="2"/>
      <c r="N93" s="2"/>
    </row>
    <row r="94" spans="4:14" ht="12.75" x14ac:dyDescent="0.35">
      <c r="D94" s="2"/>
      <c r="E94" s="2"/>
      <c r="F94" s="2"/>
      <c r="G94" s="2"/>
      <c r="J94" s="2"/>
      <c r="L94" s="2"/>
      <c r="M94" s="2"/>
      <c r="N94" s="2"/>
    </row>
    <row r="95" spans="4:14" ht="12.75" x14ac:dyDescent="0.35">
      <c r="D95" s="2"/>
      <c r="E95" s="2"/>
      <c r="F95" s="2"/>
      <c r="G95" s="2"/>
      <c r="J95" s="2"/>
      <c r="L95" s="2"/>
      <c r="M95" s="2"/>
      <c r="N95" s="2"/>
    </row>
    <row r="96" spans="4:14" ht="12.75" x14ac:dyDescent="0.35">
      <c r="D96" s="2"/>
      <c r="E96" s="2"/>
      <c r="F96" s="2"/>
      <c r="G96" s="2"/>
      <c r="J96" s="2"/>
      <c r="L96" s="2"/>
      <c r="M96" s="2"/>
      <c r="N96" s="2"/>
    </row>
    <row r="97" spans="4:14" ht="12.75" x14ac:dyDescent="0.35">
      <c r="D97" s="2"/>
      <c r="E97" s="2"/>
      <c r="F97" s="2"/>
      <c r="G97" s="2"/>
      <c r="J97" s="2"/>
      <c r="L97" s="2"/>
      <c r="M97" s="2"/>
      <c r="N97" s="2"/>
    </row>
    <row r="98" spans="4:14" ht="12.75" x14ac:dyDescent="0.35">
      <c r="D98" s="2"/>
      <c r="E98" s="2"/>
      <c r="F98" s="2"/>
      <c r="G98" s="2"/>
      <c r="J98" s="2"/>
      <c r="L98" s="2"/>
      <c r="M98" s="2"/>
      <c r="N98" s="2"/>
    </row>
    <row r="99" spans="4:14" ht="12.75" x14ac:dyDescent="0.35">
      <c r="D99" s="2"/>
      <c r="E99" s="2"/>
      <c r="F99" s="2"/>
      <c r="G99" s="2"/>
      <c r="J99" s="2"/>
      <c r="L99" s="2"/>
      <c r="M99" s="2"/>
      <c r="N99" s="2"/>
    </row>
    <row r="100" spans="4:14" ht="12.75" x14ac:dyDescent="0.35">
      <c r="D100" s="2"/>
      <c r="E100" s="2"/>
      <c r="F100" s="2"/>
      <c r="G100" s="2"/>
      <c r="J100" s="2"/>
      <c r="L100" s="2"/>
      <c r="M100" s="2"/>
      <c r="N100" s="2"/>
    </row>
    <row r="101" spans="4:14" ht="12.75" x14ac:dyDescent="0.35">
      <c r="D101" s="2"/>
      <c r="E101" s="2"/>
      <c r="F101" s="2"/>
      <c r="G101" s="2"/>
      <c r="J101" s="2"/>
      <c r="L101" s="2"/>
      <c r="M101" s="2"/>
      <c r="N101" s="2"/>
    </row>
    <row r="102" spans="4:14" ht="12.75" x14ac:dyDescent="0.35">
      <c r="D102" s="2"/>
      <c r="E102" s="2"/>
      <c r="F102" s="2"/>
      <c r="G102" s="2"/>
      <c r="J102" s="2"/>
      <c r="L102" s="2"/>
      <c r="M102" s="2"/>
      <c r="N102" s="2"/>
    </row>
    <row r="103" spans="4:14" ht="12.75" x14ac:dyDescent="0.35">
      <c r="D103" s="2"/>
      <c r="E103" s="2"/>
      <c r="F103" s="2"/>
      <c r="G103" s="2"/>
      <c r="J103" s="2"/>
      <c r="L103" s="2"/>
      <c r="M103" s="2"/>
      <c r="N103" s="2"/>
    </row>
    <row r="104" spans="4:14" ht="12.75" x14ac:dyDescent="0.35">
      <c r="D104" s="2"/>
      <c r="E104" s="2"/>
      <c r="F104" s="2"/>
      <c r="G104" s="2"/>
      <c r="J104" s="2"/>
      <c r="L104" s="2"/>
      <c r="M104" s="2"/>
      <c r="N104" s="2"/>
    </row>
    <row r="105" spans="4:14" ht="12.75" x14ac:dyDescent="0.35">
      <c r="D105" s="2"/>
      <c r="E105" s="2"/>
      <c r="F105" s="2"/>
      <c r="G105" s="2"/>
      <c r="J105" s="2"/>
      <c r="L105" s="2"/>
      <c r="M105" s="2"/>
      <c r="N105" s="2"/>
    </row>
    <row r="106" spans="4:14" ht="12.75" x14ac:dyDescent="0.35">
      <c r="D106" s="2"/>
      <c r="E106" s="2"/>
      <c r="F106" s="2"/>
      <c r="G106" s="2"/>
      <c r="J106" s="2"/>
      <c r="L106" s="2"/>
      <c r="M106" s="2"/>
      <c r="N106" s="2"/>
    </row>
    <row r="107" spans="4:14" ht="12.75" x14ac:dyDescent="0.35">
      <c r="D107" s="2"/>
      <c r="E107" s="2"/>
      <c r="F107" s="2"/>
      <c r="G107" s="2"/>
      <c r="J107" s="2"/>
      <c r="L107" s="2"/>
      <c r="M107" s="2"/>
      <c r="N107" s="2"/>
    </row>
    <row r="108" spans="4:14" ht="12.75" x14ac:dyDescent="0.35">
      <c r="D108" s="2"/>
      <c r="E108" s="2"/>
      <c r="F108" s="2"/>
      <c r="G108" s="2"/>
      <c r="J108" s="2"/>
      <c r="L108" s="2"/>
      <c r="M108" s="2"/>
      <c r="N108" s="2"/>
    </row>
    <row r="109" spans="4:14" ht="12.75" x14ac:dyDescent="0.35">
      <c r="D109" s="2"/>
      <c r="E109" s="2"/>
      <c r="F109" s="2"/>
      <c r="G109" s="2"/>
      <c r="J109" s="2"/>
      <c r="L109" s="2"/>
      <c r="M109" s="2"/>
      <c r="N109" s="2"/>
    </row>
    <row r="110" spans="4:14" ht="12.75" x14ac:dyDescent="0.35">
      <c r="D110" s="2"/>
      <c r="E110" s="2"/>
      <c r="F110" s="2"/>
      <c r="G110" s="2"/>
      <c r="J110" s="2"/>
      <c r="L110" s="2"/>
      <c r="M110" s="2"/>
      <c r="N110" s="2"/>
    </row>
    <row r="111" spans="4:14" ht="12.75" x14ac:dyDescent="0.35">
      <c r="D111" s="2"/>
      <c r="E111" s="2"/>
      <c r="F111" s="2"/>
      <c r="G111" s="2"/>
      <c r="J111" s="2"/>
      <c r="L111" s="2"/>
      <c r="M111" s="2"/>
      <c r="N111" s="2"/>
    </row>
    <row r="112" spans="4:14" ht="12.75" x14ac:dyDescent="0.35">
      <c r="D112" s="2"/>
      <c r="E112" s="2"/>
      <c r="F112" s="2"/>
      <c r="G112" s="2"/>
      <c r="J112" s="2"/>
      <c r="L112" s="2"/>
      <c r="M112" s="2"/>
      <c r="N112" s="2"/>
    </row>
    <row r="113" spans="4:14" ht="12.75" x14ac:dyDescent="0.35">
      <c r="D113" s="2"/>
      <c r="E113" s="2"/>
      <c r="F113" s="2"/>
      <c r="G113" s="2"/>
      <c r="J113" s="2"/>
      <c r="L113" s="2"/>
      <c r="M113" s="2"/>
      <c r="N113" s="2"/>
    </row>
    <row r="114" spans="4:14" ht="12.75" x14ac:dyDescent="0.35">
      <c r="D114" s="2"/>
      <c r="E114" s="2"/>
      <c r="F114" s="2"/>
      <c r="G114" s="2"/>
      <c r="J114" s="2"/>
      <c r="L114" s="2"/>
      <c r="M114" s="2"/>
      <c r="N114" s="2"/>
    </row>
    <row r="115" spans="4:14" ht="12.75" x14ac:dyDescent="0.35">
      <c r="D115" s="2"/>
      <c r="E115" s="2"/>
      <c r="F115" s="2"/>
      <c r="G115" s="2"/>
      <c r="J115" s="2"/>
      <c r="L115" s="2"/>
      <c r="M115" s="2"/>
      <c r="N115" s="2"/>
    </row>
    <row r="116" spans="4:14" ht="12.75" x14ac:dyDescent="0.35">
      <c r="D116" s="2"/>
      <c r="E116" s="2"/>
      <c r="F116" s="2"/>
      <c r="G116" s="2"/>
      <c r="J116" s="2"/>
      <c r="L116" s="2"/>
      <c r="M116" s="2"/>
      <c r="N116" s="2"/>
    </row>
    <row r="117" spans="4:14" ht="12.75" x14ac:dyDescent="0.35">
      <c r="D117" s="2"/>
      <c r="E117" s="2"/>
      <c r="F117" s="2"/>
      <c r="G117" s="2"/>
      <c r="J117" s="2"/>
      <c r="L117" s="2"/>
      <c r="M117" s="2"/>
      <c r="N117" s="2"/>
    </row>
    <row r="118" spans="4:14" ht="12.75" x14ac:dyDescent="0.35">
      <c r="D118" s="2"/>
      <c r="E118" s="2"/>
      <c r="F118" s="2"/>
      <c r="G118" s="2"/>
      <c r="J118" s="2"/>
      <c r="L118" s="2"/>
      <c r="M118" s="2"/>
      <c r="N118" s="2"/>
    </row>
    <row r="119" spans="4:14" ht="12.75" x14ac:dyDescent="0.35">
      <c r="D119" s="2"/>
      <c r="E119" s="2"/>
      <c r="F119" s="2"/>
      <c r="G119" s="2"/>
      <c r="J119" s="2"/>
      <c r="L119" s="2"/>
      <c r="M119" s="2"/>
      <c r="N119" s="2"/>
    </row>
    <row r="120" spans="4:14" ht="12.75" x14ac:dyDescent="0.35">
      <c r="D120" s="2"/>
      <c r="E120" s="2"/>
      <c r="F120" s="2"/>
      <c r="G120" s="2"/>
      <c r="J120" s="2"/>
      <c r="L120" s="2"/>
      <c r="M120" s="2"/>
      <c r="N120" s="2"/>
    </row>
    <row r="121" spans="4:14" ht="12.75" x14ac:dyDescent="0.35">
      <c r="D121" s="2"/>
      <c r="E121" s="2"/>
      <c r="F121" s="2"/>
      <c r="G121" s="2"/>
      <c r="J121" s="2"/>
      <c r="L121" s="2"/>
      <c r="M121" s="2"/>
      <c r="N121" s="2"/>
    </row>
    <row r="122" spans="4:14" ht="12.75" x14ac:dyDescent="0.35">
      <c r="D122" s="2"/>
      <c r="E122" s="2"/>
      <c r="F122" s="2"/>
      <c r="G122" s="2"/>
      <c r="J122" s="2"/>
      <c r="L122" s="2"/>
      <c r="M122" s="2"/>
      <c r="N122" s="2"/>
    </row>
    <row r="123" spans="4:14" ht="12.75" x14ac:dyDescent="0.35">
      <c r="D123" s="2"/>
      <c r="E123" s="2"/>
      <c r="F123" s="2"/>
      <c r="G123" s="2"/>
      <c r="J123" s="2"/>
      <c r="L123" s="2"/>
      <c r="M123" s="2"/>
      <c r="N123" s="2"/>
    </row>
    <row r="124" spans="4:14" ht="12.75" x14ac:dyDescent="0.35">
      <c r="D124" s="2"/>
      <c r="E124" s="2"/>
      <c r="F124" s="2"/>
      <c r="G124" s="2"/>
      <c r="J124" s="2"/>
      <c r="L124" s="2"/>
      <c r="M124" s="2"/>
      <c r="N124" s="2"/>
    </row>
    <row r="125" spans="4:14" ht="12.75" x14ac:dyDescent="0.35">
      <c r="D125" s="2"/>
      <c r="E125" s="2"/>
      <c r="F125" s="2"/>
      <c r="G125" s="2"/>
      <c r="J125" s="2"/>
      <c r="L125" s="2"/>
      <c r="M125" s="2"/>
      <c r="N125" s="2"/>
    </row>
    <row r="126" spans="4:14" ht="12.75" x14ac:dyDescent="0.35">
      <c r="D126" s="2"/>
      <c r="E126" s="2"/>
      <c r="F126" s="2"/>
      <c r="G126" s="2"/>
      <c r="J126" s="2"/>
      <c r="L126" s="2"/>
      <c r="M126" s="2"/>
      <c r="N126" s="2"/>
    </row>
    <row r="127" spans="4:14" ht="12.75" x14ac:dyDescent="0.35">
      <c r="D127" s="2"/>
      <c r="E127" s="2"/>
      <c r="F127" s="2"/>
      <c r="G127" s="2"/>
      <c r="J127" s="2"/>
      <c r="L127" s="2"/>
      <c r="M127" s="2"/>
      <c r="N127" s="2"/>
    </row>
    <row r="128" spans="4:14" ht="12.75" x14ac:dyDescent="0.35">
      <c r="D128" s="2"/>
      <c r="E128" s="2"/>
      <c r="F128" s="2"/>
      <c r="G128" s="2"/>
      <c r="J128" s="2"/>
      <c r="L128" s="2"/>
      <c r="M128" s="2"/>
      <c r="N128" s="2"/>
    </row>
    <row r="129" spans="4:14" ht="12.75" x14ac:dyDescent="0.35">
      <c r="D129" s="2"/>
      <c r="E129" s="2"/>
      <c r="F129" s="2"/>
      <c r="G129" s="2"/>
      <c r="J129" s="2"/>
      <c r="L129" s="2"/>
      <c r="M129" s="2"/>
      <c r="N129" s="2"/>
    </row>
    <row r="130" spans="4:14" ht="12.75" x14ac:dyDescent="0.35">
      <c r="D130" s="2"/>
      <c r="E130" s="2"/>
      <c r="F130" s="2"/>
      <c r="G130" s="2"/>
      <c r="J130" s="2"/>
      <c r="L130" s="2"/>
      <c r="M130" s="2"/>
      <c r="N130" s="2"/>
    </row>
    <row r="131" spans="4:14" ht="12.75" x14ac:dyDescent="0.35">
      <c r="D131" s="2"/>
      <c r="E131" s="2"/>
      <c r="F131" s="2"/>
      <c r="G131" s="2"/>
      <c r="J131" s="2"/>
      <c r="L131" s="2"/>
      <c r="M131" s="2"/>
      <c r="N131" s="2"/>
    </row>
    <row r="132" spans="4:14" ht="12.75" x14ac:dyDescent="0.35">
      <c r="D132" s="2"/>
      <c r="E132" s="2"/>
      <c r="F132" s="2"/>
      <c r="G132" s="2"/>
      <c r="J132" s="2"/>
      <c r="L132" s="2"/>
      <c r="M132" s="2"/>
      <c r="N132" s="2"/>
    </row>
    <row r="133" spans="4:14" ht="12.75" x14ac:dyDescent="0.35">
      <c r="D133" s="2"/>
      <c r="E133" s="2"/>
      <c r="F133" s="2"/>
      <c r="G133" s="2"/>
      <c r="J133" s="2"/>
      <c r="L133" s="2"/>
      <c r="M133" s="2"/>
      <c r="N133" s="2"/>
    </row>
    <row r="134" spans="4:14" ht="12.75" x14ac:dyDescent="0.35">
      <c r="D134" s="2"/>
      <c r="E134" s="2"/>
      <c r="F134" s="2"/>
      <c r="G134" s="2"/>
      <c r="J134" s="2"/>
      <c r="L134" s="2"/>
      <c r="M134" s="2"/>
      <c r="N134" s="2"/>
    </row>
    <row r="135" spans="4:14" ht="12.75" x14ac:dyDescent="0.35">
      <c r="D135" s="2"/>
      <c r="E135" s="2"/>
      <c r="F135" s="2"/>
      <c r="G135" s="2"/>
      <c r="J135" s="2"/>
      <c r="L135" s="2"/>
      <c r="M135" s="2"/>
      <c r="N135" s="2"/>
    </row>
    <row r="136" spans="4:14" ht="12.75" x14ac:dyDescent="0.35">
      <c r="D136" s="2"/>
      <c r="E136" s="2"/>
      <c r="F136" s="2"/>
      <c r="G136" s="2"/>
      <c r="J136" s="2"/>
      <c r="L136" s="2"/>
      <c r="M136" s="2"/>
      <c r="N136" s="2"/>
    </row>
    <row r="137" spans="4:14" ht="12.75" x14ac:dyDescent="0.35">
      <c r="D137" s="2"/>
      <c r="E137" s="2"/>
      <c r="F137" s="2"/>
      <c r="G137" s="2"/>
      <c r="J137" s="2"/>
      <c r="L137" s="2"/>
      <c r="M137" s="2"/>
      <c r="N137" s="2"/>
    </row>
    <row r="138" spans="4:14" ht="12.75" x14ac:dyDescent="0.35">
      <c r="D138" s="2"/>
      <c r="E138" s="2"/>
      <c r="F138" s="2"/>
      <c r="G138" s="2"/>
      <c r="J138" s="2"/>
      <c r="L138" s="2"/>
      <c r="M138" s="2"/>
      <c r="N138" s="2"/>
    </row>
    <row r="139" spans="4:14" ht="12.75" x14ac:dyDescent="0.35">
      <c r="D139" s="2"/>
      <c r="E139" s="2"/>
      <c r="F139" s="2"/>
      <c r="G139" s="2"/>
      <c r="J139" s="2"/>
      <c r="L139" s="2"/>
      <c r="M139" s="2"/>
      <c r="N139" s="2"/>
    </row>
    <row r="140" spans="4:14" ht="12.75" x14ac:dyDescent="0.35">
      <c r="D140" s="2"/>
      <c r="E140" s="2"/>
      <c r="F140" s="2"/>
      <c r="G140" s="2"/>
      <c r="J140" s="2"/>
      <c r="L140" s="2"/>
      <c r="M140" s="2"/>
      <c r="N140" s="2"/>
    </row>
    <row r="141" spans="4:14" ht="12.75" x14ac:dyDescent="0.35">
      <c r="D141" s="2"/>
      <c r="E141" s="2"/>
      <c r="F141" s="2"/>
      <c r="G141" s="2"/>
      <c r="J141" s="2"/>
      <c r="L141" s="2"/>
      <c r="M141" s="2"/>
      <c r="N141" s="2"/>
    </row>
    <row r="142" spans="4:14" ht="12.75" x14ac:dyDescent="0.35">
      <c r="D142" s="2"/>
      <c r="E142" s="2"/>
      <c r="F142" s="2"/>
      <c r="G142" s="2"/>
      <c r="J142" s="2"/>
      <c r="L142" s="2"/>
      <c r="M142" s="2"/>
      <c r="N142" s="2"/>
    </row>
    <row r="143" spans="4:14" ht="12.75" x14ac:dyDescent="0.35">
      <c r="D143" s="2"/>
      <c r="E143" s="2"/>
      <c r="F143" s="2"/>
      <c r="G143" s="2"/>
      <c r="J143" s="2"/>
      <c r="L143" s="2"/>
      <c r="M143" s="2"/>
      <c r="N143" s="2"/>
    </row>
    <row r="144" spans="4:14" ht="12.75" x14ac:dyDescent="0.35">
      <c r="D144" s="2"/>
      <c r="E144" s="2"/>
      <c r="F144" s="2"/>
      <c r="G144" s="2"/>
      <c r="J144" s="2"/>
      <c r="L144" s="2"/>
      <c r="M144" s="2"/>
      <c r="N144" s="2"/>
    </row>
    <row r="145" spans="4:14" ht="12.75" x14ac:dyDescent="0.35">
      <c r="D145" s="2"/>
      <c r="E145" s="2"/>
      <c r="F145" s="2"/>
      <c r="G145" s="2"/>
      <c r="J145" s="2"/>
      <c r="L145" s="2"/>
      <c r="M145" s="2"/>
      <c r="N145" s="2"/>
    </row>
    <row r="146" spans="4:14" ht="12.75" x14ac:dyDescent="0.35">
      <c r="D146" s="2"/>
      <c r="E146" s="2"/>
      <c r="F146" s="2"/>
      <c r="G146" s="2"/>
      <c r="J146" s="2"/>
      <c r="L146" s="2"/>
      <c r="M146" s="2"/>
      <c r="N146" s="2"/>
    </row>
    <row r="147" spans="4:14" ht="12.75" x14ac:dyDescent="0.35">
      <c r="D147" s="2"/>
      <c r="E147" s="2"/>
      <c r="F147" s="2"/>
      <c r="G147" s="2"/>
      <c r="J147" s="2"/>
      <c r="L147" s="2"/>
      <c r="M147" s="2"/>
      <c r="N147" s="2"/>
    </row>
    <row r="148" spans="4:14" ht="12.75" x14ac:dyDescent="0.35">
      <c r="D148" s="2"/>
      <c r="E148" s="2"/>
      <c r="F148" s="2"/>
      <c r="G148" s="2"/>
      <c r="J148" s="2"/>
      <c r="L148" s="2"/>
      <c r="M148" s="2"/>
      <c r="N148" s="2"/>
    </row>
    <row r="149" spans="4:14" ht="12.75" x14ac:dyDescent="0.35">
      <c r="D149" s="2"/>
      <c r="E149" s="2"/>
      <c r="F149" s="2"/>
      <c r="G149" s="2"/>
      <c r="J149" s="2"/>
      <c r="L149" s="2"/>
      <c r="M149" s="2"/>
      <c r="N149" s="2"/>
    </row>
    <row r="150" spans="4:14" ht="12.75" x14ac:dyDescent="0.35">
      <c r="D150" s="2"/>
      <c r="E150" s="2"/>
      <c r="F150" s="2"/>
      <c r="G150" s="2"/>
      <c r="J150" s="2"/>
      <c r="L150" s="2"/>
      <c r="M150" s="2"/>
      <c r="N150" s="2"/>
    </row>
    <row r="151" spans="4:14" ht="12.75" x14ac:dyDescent="0.35">
      <c r="D151" s="2"/>
      <c r="E151" s="2"/>
      <c r="F151" s="2"/>
      <c r="G151" s="2"/>
      <c r="J151" s="2"/>
      <c r="L151" s="2"/>
      <c r="M151" s="2"/>
      <c r="N151" s="2"/>
    </row>
    <row r="152" spans="4:14" ht="12.75" x14ac:dyDescent="0.35">
      <c r="D152" s="2"/>
      <c r="E152" s="2"/>
      <c r="F152" s="2"/>
      <c r="G152" s="2"/>
      <c r="J152" s="2"/>
      <c r="L152" s="2"/>
      <c r="M152" s="2"/>
      <c r="N152" s="2"/>
    </row>
    <row r="153" spans="4:14" ht="12.75" x14ac:dyDescent="0.35">
      <c r="D153" s="2"/>
      <c r="E153" s="2"/>
      <c r="F153" s="2"/>
      <c r="G153" s="2"/>
      <c r="J153" s="2"/>
      <c r="L153" s="2"/>
      <c r="M153" s="2"/>
      <c r="N153" s="2"/>
    </row>
    <row r="154" spans="4:14" ht="12.75" x14ac:dyDescent="0.35">
      <c r="D154" s="2"/>
      <c r="E154" s="2"/>
      <c r="F154" s="2"/>
      <c r="G154" s="2"/>
      <c r="J154" s="2"/>
      <c r="L154" s="2"/>
      <c r="M154" s="2"/>
      <c r="N154" s="2"/>
    </row>
    <row r="155" spans="4:14" ht="12.75" x14ac:dyDescent="0.35">
      <c r="D155" s="2"/>
      <c r="E155" s="2"/>
      <c r="F155" s="2"/>
      <c r="G155" s="2"/>
      <c r="J155" s="2"/>
      <c r="L155" s="2"/>
      <c r="M155" s="2"/>
      <c r="N155" s="2"/>
    </row>
    <row r="156" spans="4:14" ht="12.75" x14ac:dyDescent="0.35">
      <c r="D156" s="2"/>
      <c r="E156" s="2"/>
      <c r="F156" s="2"/>
      <c r="G156" s="2"/>
      <c r="J156" s="2"/>
      <c r="L156" s="2"/>
      <c r="M156" s="2"/>
      <c r="N156" s="2"/>
    </row>
    <row r="157" spans="4:14" ht="12.75" x14ac:dyDescent="0.35">
      <c r="D157" s="2"/>
      <c r="E157" s="2"/>
      <c r="F157" s="2"/>
      <c r="G157" s="2"/>
      <c r="J157" s="2"/>
      <c r="L157" s="2"/>
      <c r="M157" s="2"/>
      <c r="N157" s="2"/>
    </row>
    <row r="158" spans="4:14" ht="12.75" x14ac:dyDescent="0.35">
      <c r="D158" s="2"/>
      <c r="E158" s="2"/>
      <c r="F158" s="2"/>
      <c r="G158" s="2"/>
      <c r="J158" s="2"/>
      <c r="L158" s="2"/>
      <c r="M158" s="2"/>
      <c r="N158" s="2"/>
    </row>
    <row r="159" spans="4:14" ht="12.75" x14ac:dyDescent="0.35">
      <c r="D159" s="2"/>
      <c r="E159" s="2"/>
      <c r="F159" s="2"/>
      <c r="G159" s="2"/>
      <c r="J159" s="2"/>
      <c r="L159" s="2"/>
      <c r="M159" s="2"/>
      <c r="N159" s="2"/>
    </row>
    <row r="160" spans="4:14" ht="12.75" x14ac:dyDescent="0.35">
      <c r="D160" s="2"/>
      <c r="E160" s="2"/>
      <c r="F160" s="2"/>
      <c r="G160" s="2"/>
      <c r="J160" s="2"/>
      <c r="L160" s="2"/>
      <c r="M160" s="2"/>
      <c r="N160" s="2"/>
    </row>
    <row r="161" spans="4:14" ht="12.75" x14ac:dyDescent="0.35">
      <c r="D161" s="2"/>
      <c r="E161" s="2"/>
      <c r="F161" s="2"/>
      <c r="G161" s="2"/>
      <c r="J161" s="2"/>
      <c r="L161" s="2"/>
      <c r="M161" s="2"/>
      <c r="N161" s="2"/>
    </row>
    <row r="162" spans="4:14" ht="12.75" x14ac:dyDescent="0.35">
      <c r="D162" s="2"/>
      <c r="E162" s="2"/>
      <c r="F162" s="2"/>
      <c r="G162" s="2"/>
      <c r="J162" s="2"/>
      <c r="L162" s="2"/>
      <c r="M162" s="2"/>
      <c r="N162" s="2"/>
    </row>
    <row r="163" spans="4:14" ht="12.75" x14ac:dyDescent="0.35">
      <c r="D163" s="2"/>
      <c r="E163" s="2"/>
      <c r="F163" s="2"/>
      <c r="G163" s="2"/>
      <c r="J163" s="2"/>
      <c r="L163" s="2"/>
      <c r="M163" s="2"/>
      <c r="N163" s="2"/>
    </row>
    <row r="164" spans="4:14" ht="12.75" x14ac:dyDescent="0.35">
      <c r="D164" s="2"/>
      <c r="E164" s="2"/>
      <c r="F164" s="2"/>
      <c r="G164" s="2"/>
      <c r="J164" s="2"/>
      <c r="L164" s="2"/>
      <c r="M164" s="2"/>
      <c r="N164" s="2"/>
    </row>
    <row r="165" spans="4:14" ht="12.75" x14ac:dyDescent="0.35">
      <c r="D165" s="2"/>
      <c r="E165" s="2"/>
      <c r="F165" s="2"/>
      <c r="G165" s="2"/>
      <c r="J165" s="2"/>
      <c r="L165" s="2"/>
      <c r="M165" s="2"/>
      <c r="N165" s="2"/>
    </row>
    <row r="166" spans="4:14" ht="12.75" x14ac:dyDescent="0.35">
      <c r="D166" s="2"/>
      <c r="E166" s="2"/>
      <c r="F166" s="2"/>
      <c r="G166" s="2"/>
      <c r="J166" s="2"/>
      <c r="L166" s="2"/>
      <c r="M166" s="2"/>
      <c r="N166" s="2"/>
    </row>
    <row r="167" spans="4:14" ht="12.75" x14ac:dyDescent="0.35">
      <c r="D167" s="2"/>
      <c r="E167" s="2"/>
      <c r="F167" s="2"/>
      <c r="G167" s="2"/>
      <c r="J167" s="2"/>
      <c r="L167" s="2"/>
      <c r="M167" s="2"/>
      <c r="N167" s="2"/>
    </row>
    <row r="168" spans="4:14" ht="12.75" x14ac:dyDescent="0.35">
      <c r="D168" s="2"/>
      <c r="E168" s="2"/>
      <c r="F168" s="2"/>
      <c r="G168" s="2"/>
      <c r="J168" s="2"/>
      <c r="L168" s="2"/>
      <c r="M168" s="2"/>
      <c r="N168" s="2"/>
    </row>
    <row r="169" spans="4:14" ht="12.75" x14ac:dyDescent="0.35">
      <c r="D169" s="2"/>
      <c r="E169" s="2"/>
      <c r="F169" s="2"/>
      <c r="G169" s="2"/>
      <c r="J169" s="2"/>
      <c r="L169" s="2"/>
      <c r="M169" s="2"/>
      <c r="N169" s="2"/>
    </row>
    <row r="170" spans="4:14" ht="12.75" x14ac:dyDescent="0.35">
      <c r="D170" s="2"/>
      <c r="E170" s="2"/>
      <c r="F170" s="2"/>
      <c r="G170" s="2"/>
      <c r="J170" s="2"/>
      <c r="L170" s="2"/>
      <c r="M170" s="2"/>
      <c r="N170" s="2"/>
    </row>
    <row r="171" spans="4:14" ht="12.75" x14ac:dyDescent="0.35">
      <c r="D171" s="2"/>
      <c r="E171" s="2"/>
      <c r="F171" s="2"/>
      <c r="G171" s="2"/>
      <c r="J171" s="2"/>
      <c r="L171" s="2"/>
      <c r="M171" s="2"/>
      <c r="N171" s="2"/>
    </row>
    <row r="172" spans="4:14" ht="12.75" x14ac:dyDescent="0.35">
      <c r="D172" s="2"/>
      <c r="E172" s="2"/>
      <c r="F172" s="2"/>
      <c r="G172" s="2"/>
      <c r="J172" s="2"/>
      <c r="L172" s="2"/>
      <c r="M172" s="2"/>
      <c r="N172" s="2"/>
    </row>
    <row r="173" spans="4:14" ht="12.75" x14ac:dyDescent="0.35">
      <c r="D173" s="2"/>
      <c r="E173" s="2"/>
      <c r="F173" s="2"/>
      <c r="G173" s="2"/>
      <c r="J173" s="2"/>
      <c r="L173" s="2"/>
      <c r="M173" s="2"/>
      <c r="N173" s="2"/>
    </row>
    <row r="174" spans="4:14" ht="12.75" x14ac:dyDescent="0.35">
      <c r="D174" s="2"/>
      <c r="E174" s="2"/>
      <c r="F174" s="2"/>
      <c r="G174" s="2"/>
      <c r="J174" s="2"/>
      <c r="L174" s="2"/>
      <c r="M174" s="2"/>
      <c r="N174" s="2"/>
    </row>
    <row r="175" spans="4:14" ht="12.75" x14ac:dyDescent="0.35">
      <c r="D175" s="2"/>
      <c r="E175" s="2"/>
      <c r="F175" s="2"/>
      <c r="G175" s="2"/>
      <c r="J175" s="2"/>
      <c r="L175" s="2"/>
      <c r="M175" s="2"/>
      <c r="N175" s="2"/>
    </row>
    <row r="176" spans="4:14" ht="12.75" x14ac:dyDescent="0.35">
      <c r="D176" s="2"/>
      <c r="E176" s="2"/>
      <c r="F176" s="2"/>
      <c r="G176" s="2"/>
      <c r="J176" s="2"/>
      <c r="L176" s="2"/>
      <c r="M176" s="2"/>
      <c r="N176" s="2"/>
    </row>
    <row r="177" spans="4:14" ht="12.75" x14ac:dyDescent="0.35">
      <c r="D177" s="2"/>
      <c r="E177" s="2"/>
      <c r="F177" s="2"/>
      <c r="G177" s="2"/>
      <c r="J177" s="2"/>
      <c r="L177" s="2"/>
      <c r="M177" s="2"/>
      <c r="N177" s="2"/>
    </row>
    <row r="178" spans="4:14" ht="12.75" x14ac:dyDescent="0.35">
      <c r="D178" s="2"/>
      <c r="E178" s="2"/>
      <c r="F178" s="2"/>
      <c r="G178" s="2"/>
      <c r="J178" s="2"/>
      <c r="L178" s="2"/>
      <c r="M178" s="2"/>
      <c r="N178" s="2"/>
    </row>
    <row r="179" spans="4:14" ht="12.75" x14ac:dyDescent="0.35">
      <c r="D179" s="2"/>
      <c r="E179" s="2"/>
      <c r="F179" s="2"/>
      <c r="G179" s="2"/>
      <c r="J179" s="2"/>
      <c r="L179" s="2"/>
      <c r="M179" s="2"/>
      <c r="N179" s="2"/>
    </row>
    <row r="180" spans="4:14" ht="12.75" x14ac:dyDescent="0.35">
      <c r="D180" s="2"/>
      <c r="E180" s="2"/>
      <c r="F180" s="2"/>
      <c r="G180" s="2"/>
      <c r="J180" s="2"/>
      <c r="L180" s="2"/>
      <c r="M180" s="2"/>
      <c r="N180" s="2"/>
    </row>
    <row r="181" spans="4:14" ht="12.75" x14ac:dyDescent="0.35">
      <c r="D181" s="2"/>
      <c r="E181" s="2"/>
      <c r="F181" s="2"/>
      <c r="G181" s="2"/>
      <c r="J181" s="2"/>
      <c r="L181" s="2"/>
      <c r="M181" s="2"/>
      <c r="N181" s="2"/>
    </row>
    <row r="182" spans="4:14" ht="12.75" x14ac:dyDescent="0.35">
      <c r="D182" s="2"/>
      <c r="E182" s="2"/>
      <c r="F182" s="2"/>
      <c r="G182" s="2"/>
      <c r="J182" s="2"/>
      <c r="L182" s="2"/>
      <c r="M182" s="2"/>
      <c r="N182" s="2"/>
    </row>
    <row r="183" spans="4:14" ht="12.75" x14ac:dyDescent="0.35">
      <c r="D183" s="2"/>
      <c r="E183" s="2"/>
      <c r="F183" s="2"/>
      <c r="G183" s="2"/>
      <c r="J183" s="2"/>
      <c r="L183" s="2"/>
      <c r="M183" s="2"/>
      <c r="N183" s="2"/>
    </row>
    <row r="184" spans="4:14" ht="12.75" x14ac:dyDescent="0.35">
      <c r="D184" s="2"/>
      <c r="E184" s="2"/>
      <c r="F184" s="2"/>
      <c r="G184" s="2"/>
      <c r="J184" s="2"/>
      <c r="L184" s="2"/>
      <c r="M184" s="2"/>
      <c r="N184" s="2"/>
    </row>
    <row r="185" spans="4:14" ht="12.75" x14ac:dyDescent="0.35">
      <c r="D185" s="2"/>
      <c r="E185" s="2"/>
      <c r="F185" s="2"/>
      <c r="G185" s="2"/>
      <c r="J185" s="2"/>
      <c r="L185" s="2"/>
      <c r="M185" s="2"/>
      <c r="N185" s="2"/>
    </row>
    <row r="186" spans="4:14" ht="12.75" x14ac:dyDescent="0.35">
      <c r="D186" s="2"/>
      <c r="E186" s="2"/>
      <c r="F186" s="2"/>
      <c r="G186" s="2"/>
      <c r="J186" s="2"/>
      <c r="L186" s="2"/>
      <c r="M186" s="2"/>
      <c r="N186" s="2"/>
    </row>
    <row r="187" spans="4:14" ht="12.75" x14ac:dyDescent="0.35">
      <c r="D187" s="2"/>
      <c r="E187" s="2"/>
      <c r="F187" s="2"/>
      <c r="G187" s="2"/>
      <c r="J187" s="2"/>
      <c r="L187" s="2"/>
      <c r="M187" s="2"/>
      <c r="N187" s="2"/>
    </row>
    <row r="188" spans="4:14" ht="12.75" x14ac:dyDescent="0.35">
      <c r="D188" s="2"/>
      <c r="E188" s="2"/>
      <c r="F188" s="2"/>
      <c r="G188" s="2"/>
      <c r="J188" s="2"/>
      <c r="L188" s="2"/>
      <c r="M188" s="2"/>
      <c r="N188" s="2"/>
    </row>
    <row r="189" spans="4:14" ht="12.75" x14ac:dyDescent="0.35">
      <c r="D189" s="2"/>
      <c r="E189" s="2"/>
      <c r="F189" s="2"/>
      <c r="G189" s="2"/>
      <c r="J189" s="2"/>
      <c r="L189" s="2"/>
      <c r="M189" s="2"/>
      <c r="N189" s="2"/>
    </row>
    <row r="190" spans="4:14" ht="12.75" x14ac:dyDescent="0.35">
      <c r="D190" s="2"/>
      <c r="E190" s="2"/>
      <c r="F190" s="2"/>
      <c r="G190" s="2"/>
      <c r="J190" s="2"/>
      <c r="L190" s="2"/>
      <c r="M190" s="2"/>
      <c r="N190" s="2"/>
    </row>
    <row r="191" spans="4:14" ht="12.75" x14ac:dyDescent="0.35">
      <c r="D191" s="2"/>
      <c r="E191" s="2"/>
      <c r="F191" s="2"/>
      <c r="G191" s="2"/>
      <c r="J191" s="2"/>
      <c r="L191" s="2"/>
      <c r="M191" s="2"/>
      <c r="N191" s="2"/>
    </row>
    <row r="192" spans="4:14" ht="12.75" x14ac:dyDescent="0.35">
      <c r="D192" s="2"/>
      <c r="E192" s="2"/>
      <c r="F192" s="2"/>
      <c r="G192" s="2"/>
      <c r="J192" s="2"/>
      <c r="L192" s="2"/>
      <c r="M192" s="2"/>
      <c r="N192" s="2"/>
    </row>
    <row r="193" spans="4:14" ht="12.75" x14ac:dyDescent="0.35">
      <c r="D193" s="2"/>
      <c r="E193" s="2"/>
      <c r="F193" s="2"/>
      <c r="G193" s="2"/>
      <c r="J193" s="2"/>
      <c r="L193" s="2"/>
      <c r="M193" s="2"/>
      <c r="N193" s="2"/>
    </row>
    <row r="194" spans="4:14" ht="12.75" x14ac:dyDescent="0.35">
      <c r="D194" s="2"/>
      <c r="E194" s="2"/>
      <c r="F194" s="2"/>
      <c r="G194" s="2"/>
      <c r="J194" s="2"/>
      <c r="L194" s="2"/>
      <c r="M194" s="2"/>
      <c r="N194" s="2"/>
    </row>
    <row r="195" spans="4:14" ht="12.75" x14ac:dyDescent="0.35">
      <c r="D195" s="2"/>
      <c r="E195" s="2"/>
      <c r="F195" s="2"/>
      <c r="G195" s="2"/>
      <c r="J195" s="2"/>
      <c r="L195" s="2"/>
      <c r="M195" s="2"/>
      <c r="N195" s="2"/>
    </row>
    <row r="196" spans="4:14" ht="12.75" x14ac:dyDescent="0.35">
      <c r="D196" s="2"/>
      <c r="E196" s="2"/>
      <c r="F196" s="2"/>
      <c r="G196" s="2"/>
      <c r="J196" s="2"/>
      <c r="L196" s="2"/>
      <c r="M196" s="2"/>
      <c r="N196" s="2"/>
    </row>
    <row r="197" spans="4:14" ht="12.75" x14ac:dyDescent="0.35">
      <c r="D197" s="2"/>
      <c r="E197" s="2"/>
      <c r="F197" s="2"/>
      <c r="G197" s="2"/>
      <c r="J197" s="2"/>
      <c r="L197" s="2"/>
      <c r="M197" s="2"/>
      <c r="N197" s="2"/>
    </row>
    <row r="198" spans="4:14" ht="12.75" x14ac:dyDescent="0.35">
      <c r="D198" s="2"/>
      <c r="E198" s="2"/>
      <c r="F198" s="2"/>
      <c r="G198" s="2"/>
      <c r="J198" s="2"/>
      <c r="L198" s="2"/>
      <c r="M198" s="2"/>
      <c r="N198" s="2"/>
    </row>
    <row r="199" spans="4:14" ht="12.75" x14ac:dyDescent="0.35">
      <c r="D199" s="2"/>
      <c r="E199" s="2"/>
      <c r="F199" s="2"/>
      <c r="G199" s="2"/>
      <c r="J199" s="2"/>
      <c r="L199" s="2"/>
      <c r="M199" s="2"/>
      <c r="N199" s="2"/>
    </row>
    <row r="200" spans="4:14" ht="12.75" x14ac:dyDescent="0.35">
      <c r="D200" s="2"/>
      <c r="E200" s="2"/>
      <c r="F200" s="2"/>
      <c r="G200" s="2"/>
      <c r="J200" s="2"/>
      <c r="L200" s="2"/>
      <c r="M200" s="2"/>
      <c r="N200" s="2"/>
    </row>
    <row r="201" spans="4:14" ht="12.75" x14ac:dyDescent="0.35">
      <c r="D201" s="2"/>
      <c r="E201" s="2"/>
      <c r="F201" s="2"/>
      <c r="G201" s="2"/>
      <c r="J201" s="2"/>
      <c r="L201" s="2"/>
      <c r="M201" s="2"/>
      <c r="N201" s="2"/>
    </row>
    <row r="202" spans="4:14" ht="12.75" x14ac:dyDescent="0.35">
      <c r="D202" s="2"/>
      <c r="E202" s="2"/>
      <c r="F202" s="2"/>
      <c r="G202" s="2"/>
      <c r="J202" s="2"/>
      <c r="L202" s="2"/>
      <c r="M202" s="2"/>
      <c r="N202" s="2"/>
    </row>
    <row r="203" spans="4:14" ht="12.75" x14ac:dyDescent="0.35">
      <c r="D203" s="2"/>
      <c r="E203" s="2"/>
      <c r="F203" s="2"/>
      <c r="G203" s="2"/>
      <c r="J203" s="2"/>
      <c r="L203" s="2"/>
      <c r="M203" s="2"/>
      <c r="N203" s="2"/>
    </row>
    <row r="204" spans="4:14" ht="12.75" x14ac:dyDescent="0.35">
      <c r="D204" s="2"/>
      <c r="E204" s="2"/>
      <c r="F204" s="2"/>
      <c r="G204" s="2"/>
      <c r="J204" s="2"/>
      <c r="L204" s="2"/>
      <c r="M204" s="2"/>
      <c r="N204" s="2"/>
    </row>
    <row r="205" spans="4:14" ht="12.75" x14ac:dyDescent="0.35">
      <c r="D205" s="2"/>
      <c r="E205" s="2"/>
      <c r="F205" s="2"/>
      <c r="G205" s="2"/>
      <c r="J205" s="2"/>
      <c r="L205" s="2"/>
      <c r="M205" s="2"/>
      <c r="N205" s="2"/>
    </row>
    <row r="206" spans="4:14" ht="12.75" x14ac:dyDescent="0.35">
      <c r="D206" s="2"/>
      <c r="E206" s="2"/>
      <c r="F206" s="2"/>
      <c r="G206" s="2"/>
      <c r="J206" s="2"/>
      <c r="L206" s="2"/>
      <c r="M206" s="2"/>
      <c r="N206" s="2"/>
    </row>
    <row r="207" spans="4:14" ht="12.75" x14ac:dyDescent="0.35">
      <c r="D207" s="2"/>
      <c r="E207" s="2"/>
      <c r="F207" s="2"/>
      <c r="G207" s="2"/>
      <c r="J207" s="2"/>
      <c r="L207" s="2"/>
      <c r="M207" s="2"/>
      <c r="N207" s="2"/>
    </row>
    <row r="208" spans="4:14" ht="12.75" x14ac:dyDescent="0.35">
      <c r="D208" s="2"/>
      <c r="E208" s="2"/>
      <c r="F208" s="2"/>
      <c r="G208" s="2"/>
      <c r="J208" s="2"/>
      <c r="L208" s="2"/>
      <c r="M208" s="2"/>
      <c r="N208" s="2"/>
    </row>
    <row r="209" spans="4:14" ht="12.75" x14ac:dyDescent="0.35">
      <c r="D209" s="2"/>
      <c r="E209" s="2"/>
      <c r="F209" s="2"/>
      <c r="G209" s="2"/>
      <c r="J209" s="2"/>
      <c r="L209" s="2"/>
      <c r="M209" s="2"/>
      <c r="N209" s="2"/>
    </row>
    <row r="210" spans="4:14" ht="12.75" x14ac:dyDescent="0.35">
      <c r="D210" s="2"/>
      <c r="E210" s="2"/>
      <c r="F210" s="2"/>
      <c r="G210" s="2"/>
      <c r="J210" s="2"/>
      <c r="L210" s="2"/>
      <c r="M210" s="2"/>
      <c r="N210" s="2"/>
    </row>
    <row r="211" spans="4:14" ht="12.75" x14ac:dyDescent="0.35">
      <c r="D211" s="2"/>
      <c r="E211" s="2"/>
      <c r="F211" s="2"/>
      <c r="G211" s="2"/>
      <c r="J211" s="2"/>
      <c r="L211" s="2"/>
      <c r="M211" s="2"/>
      <c r="N211" s="2"/>
    </row>
    <row r="212" spans="4:14" ht="12.75" x14ac:dyDescent="0.35">
      <c r="D212" s="2"/>
      <c r="E212" s="2"/>
      <c r="F212" s="2"/>
      <c r="G212" s="2"/>
      <c r="J212" s="2"/>
      <c r="L212" s="2"/>
      <c r="M212" s="2"/>
      <c r="N212" s="2"/>
    </row>
    <row r="213" spans="4:14" ht="12.75" x14ac:dyDescent="0.35">
      <c r="D213" s="2"/>
      <c r="E213" s="2"/>
      <c r="F213" s="2"/>
      <c r="G213" s="2"/>
      <c r="J213" s="2"/>
      <c r="L213" s="2"/>
      <c r="M213" s="2"/>
      <c r="N213" s="2"/>
    </row>
    <row r="214" spans="4:14" ht="12.75" x14ac:dyDescent="0.35">
      <c r="D214" s="2"/>
      <c r="E214" s="2"/>
      <c r="F214" s="2"/>
      <c r="G214" s="2"/>
      <c r="J214" s="2"/>
      <c r="L214" s="2"/>
      <c r="M214" s="2"/>
      <c r="N214" s="2"/>
    </row>
    <row r="215" spans="4:14" ht="12.75" x14ac:dyDescent="0.35">
      <c r="D215" s="2"/>
      <c r="E215" s="2"/>
      <c r="F215" s="2"/>
      <c r="G215" s="2"/>
      <c r="J215" s="2"/>
      <c r="L215" s="2"/>
      <c r="M215" s="2"/>
      <c r="N215" s="2"/>
    </row>
    <row r="216" spans="4:14" ht="12.75" x14ac:dyDescent="0.35">
      <c r="D216" s="2"/>
      <c r="E216" s="2"/>
      <c r="F216" s="2"/>
      <c r="G216" s="2"/>
      <c r="J216" s="2"/>
      <c r="L216" s="2"/>
      <c r="M216" s="2"/>
      <c r="N216" s="2"/>
    </row>
    <row r="217" spans="4:14" ht="12.75" x14ac:dyDescent="0.35">
      <c r="D217" s="2"/>
      <c r="E217" s="2"/>
      <c r="F217" s="2"/>
      <c r="G217" s="2"/>
      <c r="J217" s="2"/>
      <c r="L217" s="2"/>
      <c r="M217" s="2"/>
      <c r="N217" s="2"/>
    </row>
    <row r="218" spans="4:14" ht="12.75" x14ac:dyDescent="0.35">
      <c r="D218" s="2"/>
      <c r="E218" s="2"/>
      <c r="F218" s="2"/>
      <c r="G218" s="2"/>
      <c r="J218" s="2"/>
      <c r="L218" s="2"/>
      <c r="M218" s="2"/>
      <c r="N218" s="2"/>
    </row>
    <row r="219" spans="4:14" ht="12.75" x14ac:dyDescent="0.35">
      <c r="D219" s="2"/>
      <c r="E219" s="2"/>
      <c r="F219" s="2"/>
      <c r="G219" s="2"/>
      <c r="J219" s="2"/>
      <c r="L219" s="2"/>
      <c r="M219" s="2"/>
      <c r="N219" s="2"/>
    </row>
    <row r="220" spans="4:14" ht="12.75" x14ac:dyDescent="0.35">
      <c r="D220" s="2"/>
      <c r="E220" s="2"/>
      <c r="F220" s="2"/>
      <c r="G220" s="2"/>
      <c r="J220" s="2"/>
      <c r="L220" s="2"/>
      <c r="M220" s="2"/>
      <c r="N220" s="2"/>
    </row>
    <row r="221" spans="4:14" ht="12.75" x14ac:dyDescent="0.35">
      <c r="D221" s="2"/>
      <c r="E221" s="2"/>
      <c r="F221" s="2"/>
      <c r="G221" s="2"/>
      <c r="J221" s="2"/>
      <c r="L221" s="2"/>
      <c r="M221" s="2"/>
      <c r="N221" s="2"/>
    </row>
    <row r="222" spans="4:14" ht="12.75" x14ac:dyDescent="0.35">
      <c r="D222" s="2"/>
      <c r="E222" s="2"/>
      <c r="F222" s="2"/>
      <c r="G222" s="2"/>
      <c r="J222" s="2"/>
      <c r="L222" s="2"/>
      <c r="M222" s="2"/>
      <c r="N222" s="2"/>
    </row>
    <row r="223" spans="4:14" ht="12.75" x14ac:dyDescent="0.35">
      <c r="D223" s="2"/>
      <c r="E223" s="2"/>
      <c r="F223" s="2"/>
      <c r="G223" s="2"/>
      <c r="J223" s="2"/>
      <c r="L223" s="2"/>
      <c r="M223" s="2"/>
      <c r="N223" s="2"/>
    </row>
    <row r="224" spans="4:14" ht="12.75" x14ac:dyDescent="0.35">
      <c r="D224" s="2"/>
      <c r="E224" s="2"/>
      <c r="F224" s="2"/>
      <c r="G224" s="2"/>
      <c r="J224" s="2"/>
      <c r="L224" s="2"/>
      <c r="M224" s="2"/>
      <c r="N224" s="2"/>
    </row>
    <row r="225" spans="4:14" ht="12.75" x14ac:dyDescent="0.35">
      <c r="D225" s="2"/>
      <c r="E225" s="2"/>
      <c r="F225" s="2"/>
      <c r="G225" s="2"/>
      <c r="J225" s="2"/>
      <c r="L225" s="2"/>
      <c r="M225" s="2"/>
      <c r="N225" s="2"/>
    </row>
    <row r="226" spans="4:14" ht="12.75" x14ac:dyDescent="0.35">
      <c r="D226" s="2"/>
      <c r="E226" s="2"/>
      <c r="F226" s="2"/>
      <c r="G226" s="2"/>
      <c r="J226" s="2"/>
      <c r="L226" s="2"/>
      <c r="M226" s="2"/>
      <c r="N226" s="2"/>
    </row>
    <row r="227" spans="4:14" ht="12.75" x14ac:dyDescent="0.35">
      <c r="D227" s="2"/>
      <c r="E227" s="2"/>
      <c r="F227" s="2"/>
      <c r="G227" s="2"/>
      <c r="J227" s="2"/>
      <c r="L227" s="2"/>
      <c r="M227" s="2"/>
      <c r="N227" s="2"/>
    </row>
    <row r="228" spans="4:14" ht="12.75" x14ac:dyDescent="0.35">
      <c r="D228" s="2"/>
      <c r="E228" s="2"/>
      <c r="F228" s="2"/>
      <c r="G228" s="2"/>
      <c r="J228" s="2"/>
      <c r="L228" s="2"/>
      <c r="M228" s="2"/>
      <c r="N228" s="2"/>
    </row>
    <row r="229" spans="4:14" ht="12.75" x14ac:dyDescent="0.35">
      <c r="D229" s="2"/>
      <c r="E229" s="2"/>
      <c r="F229" s="2"/>
      <c r="G229" s="2"/>
      <c r="J229" s="2"/>
      <c r="L229" s="2"/>
      <c r="M229" s="2"/>
      <c r="N229" s="2"/>
    </row>
    <row r="230" spans="4:14" ht="12.75" x14ac:dyDescent="0.35">
      <c r="D230" s="2"/>
      <c r="E230" s="2"/>
      <c r="F230" s="2"/>
      <c r="G230" s="2"/>
      <c r="J230" s="2"/>
      <c r="L230" s="2"/>
      <c r="M230" s="2"/>
      <c r="N230" s="2"/>
    </row>
    <row r="231" spans="4:14" ht="12.75" x14ac:dyDescent="0.35">
      <c r="D231" s="2"/>
      <c r="E231" s="2"/>
      <c r="F231" s="2"/>
      <c r="G231" s="2"/>
      <c r="J231" s="2"/>
      <c r="L231" s="2"/>
      <c r="M231" s="2"/>
      <c r="N231" s="2"/>
    </row>
    <row r="232" spans="4:14" ht="12.75" x14ac:dyDescent="0.35">
      <c r="D232" s="2"/>
      <c r="E232" s="2"/>
      <c r="F232" s="2"/>
      <c r="G232" s="2"/>
      <c r="J232" s="2"/>
      <c r="L232" s="2"/>
      <c r="M232" s="2"/>
      <c r="N232" s="2"/>
    </row>
    <row r="233" spans="4:14" ht="12.75" x14ac:dyDescent="0.35">
      <c r="D233" s="2"/>
      <c r="E233" s="2"/>
      <c r="F233" s="2"/>
      <c r="G233" s="2"/>
      <c r="J233" s="2"/>
      <c r="L233" s="2"/>
      <c r="M233" s="2"/>
      <c r="N233" s="2"/>
    </row>
    <row r="234" spans="4:14" ht="12.75" x14ac:dyDescent="0.35">
      <c r="D234" s="2"/>
      <c r="E234" s="2"/>
      <c r="F234" s="2"/>
      <c r="G234" s="2"/>
      <c r="J234" s="2"/>
      <c r="L234" s="2"/>
      <c r="M234" s="2"/>
      <c r="N234" s="2"/>
    </row>
    <row r="235" spans="4:14" ht="12.75" x14ac:dyDescent="0.35">
      <c r="D235" s="2"/>
      <c r="E235" s="2"/>
      <c r="F235" s="2"/>
      <c r="G235" s="2"/>
      <c r="J235" s="2"/>
      <c r="L235" s="2"/>
      <c r="M235" s="2"/>
      <c r="N235" s="2"/>
    </row>
    <row r="236" spans="4:14" ht="12.75" x14ac:dyDescent="0.35">
      <c r="D236" s="2"/>
      <c r="E236" s="2"/>
      <c r="F236" s="2"/>
      <c r="G236" s="2"/>
      <c r="J236" s="2"/>
      <c r="L236" s="2"/>
      <c r="M236" s="2"/>
      <c r="N236" s="2"/>
    </row>
    <row r="237" spans="4:14" ht="12.75" x14ac:dyDescent="0.35">
      <c r="D237" s="2"/>
      <c r="E237" s="2"/>
      <c r="F237" s="2"/>
      <c r="G237" s="2"/>
      <c r="J237" s="2"/>
      <c r="L237" s="2"/>
      <c r="M237" s="2"/>
      <c r="N237" s="2"/>
    </row>
    <row r="238" spans="4:14" ht="12.75" x14ac:dyDescent="0.35">
      <c r="D238" s="2"/>
      <c r="E238" s="2"/>
      <c r="F238" s="2"/>
      <c r="G238" s="2"/>
      <c r="J238" s="2"/>
      <c r="L238" s="2"/>
      <c r="M238" s="2"/>
      <c r="N238" s="2"/>
    </row>
    <row r="239" spans="4:14" ht="12.75" x14ac:dyDescent="0.35">
      <c r="D239" s="2"/>
      <c r="E239" s="2"/>
      <c r="F239" s="2"/>
      <c r="G239" s="2"/>
      <c r="J239" s="2"/>
      <c r="L239" s="2"/>
      <c r="M239" s="2"/>
      <c r="N239" s="2"/>
    </row>
    <row r="240" spans="4:14" ht="12.75" x14ac:dyDescent="0.35">
      <c r="D240" s="2"/>
      <c r="E240" s="2"/>
      <c r="F240" s="2"/>
      <c r="G240" s="2"/>
      <c r="J240" s="2"/>
      <c r="L240" s="2"/>
      <c r="M240" s="2"/>
      <c r="N240" s="2"/>
    </row>
    <row r="241" spans="4:14" ht="12.75" x14ac:dyDescent="0.35">
      <c r="D241" s="2"/>
      <c r="E241" s="2"/>
      <c r="F241" s="2"/>
      <c r="G241" s="2"/>
      <c r="J241" s="2"/>
      <c r="L241" s="2"/>
      <c r="M241" s="2"/>
      <c r="N241" s="2"/>
    </row>
    <row r="242" spans="4:14" ht="12.75" x14ac:dyDescent="0.35">
      <c r="D242" s="2"/>
      <c r="E242" s="2"/>
      <c r="F242" s="2"/>
      <c r="G242" s="2"/>
      <c r="J242" s="2"/>
      <c r="L242" s="2"/>
      <c r="M242" s="2"/>
      <c r="N242" s="2"/>
    </row>
    <row r="243" spans="4:14" ht="12.75" x14ac:dyDescent="0.35">
      <c r="D243" s="2"/>
      <c r="E243" s="2"/>
      <c r="F243" s="2"/>
      <c r="G243" s="2"/>
      <c r="J243" s="2"/>
      <c r="L243" s="2"/>
      <c r="M243" s="2"/>
      <c r="N243" s="2"/>
    </row>
    <row r="244" spans="4:14" ht="12.75" x14ac:dyDescent="0.35">
      <c r="D244" s="2"/>
      <c r="E244" s="2"/>
      <c r="F244" s="2"/>
      <c r="G244" s="2"/>
      <c r="J244" s="2"/>
      <c r="L244" s="2"/>
      <c r="M244" s="2"/>
      <c r="N244" s="2"/>
    </row>
    <row r="245" spans="4:14" ht="12.75" x14ac:dyDescent="0.35">
      <c r="D245" s="2"/>
      <c r="E245" s="2"/>
      <c r="F245" s="2"/>
      <c r="G245" s="2"/>
      <c r="J245" s="2"/>
      <c r="L245" s="2"/>
      <c r="M245" s="2"/>
      <c r="N245" s="2"/>
    </row>
    <row r="246" spans="4:14" ht="12.75" x14ac:dyDescent="0.35">
      <c r="D246" s="2"/>
      <c r="E246" s="2"/>
      <c r="F246" s="2"/>
      <c r="G246" s="2"/>
      <c r="J246" s="2"/>
      <c r="L246" s="2"/>
      <c r="M246" s="2"/>
      <c r="N246" s="2"/>
    </row>
    <row r="247" spans="4:14" ht="12.75" x14ac:dyDescent="0.35">
      <c r="D247" s="2"/>
      <c r="E247" s="2"/>
      <c r="F247" s="2"/>
      <c r="G247" s="2"/>
      <c r="J247" s="2"/>
      <c r="L247" s="2"/>
      <c r="M247" s="2"/>
      <c r="N247" s="2"/>
    </row>
    <row r="248" spans="4:14" ht="12.75" x14ac:dyDescent="0.35">
      <c r="D248" s="2"/>
      <c r="E248" s="2"/>
      <c r="F248" s="2"/>
      <c r="G248" s="2"/>
      <c r="J248" s="2"/>
      <c r="L248" s="2"/>
      <c r="M248" s="2"/>
      <c r="N248" s="2"/>
    </row>
    <row r="249" spans="4:14" ht="12.75" x14ac:dyDescent="0.35">
      <c r="D249" s="2"/>
      <c r="E249" s="2"/>
      <c r="F249" s="2"/>
      <c r="G249" s="2"/>
      <c r="J249" s="2"/>
      <c r="L249" s="2"/>
      <c r="M249" s="2"/>
      <c r="N249" s="2"/>
    </row>
    <row r="250" spans="4:14" ht="12.75" x14ac:dyDescent="0.35">
      <c r="D250" s="2"/>
      <c r="E250" s="2"/>
      <c r="F250" s="2"/>
      <c r="G250" s="2"/>
      <c r="J250" s="2"/>
      <c r="L250" s="2"/>
      <c r="M250" s="2"/>
      <c r="N250" s="2"/>
    </row>
    <row r="251" spans="4:14" ht="12.75" x14ac:dyDescent="0.35">
      <c r="D251" s="2"/>
      <c r="E251" s="2"/>
      <c r="F251" s="2"/>
      <c r="G251" s="2"/>
      <c r="J251" s="2"/>
      <c r="L251" s="2"/>
      <c r="M251" s="2"/>
      <c r="N251" s="2"/>
    </row>
    <row r="252" spans="4:14" ht="12.75" x14ac:dyDescent="0.35">
      <c r="D252" s="2"/>
      <c r="E252" s="2"/>
      <c r="F252" s="2"/>
      <c r="G252" s="2"/>
      <c r="J252" s="2"/>
      <c r="L252" s="2"/>
      <c r="M252" s="2"/>
      <c r="N252" s="2"/>
    </row>
    <row r="253" spans="4:14" ht="12.75" x14ac:dyDescent="0.35">
      <c r="D253" s="2"/>
      <c r="E253" s="2"/>
      <c r="F253" s="2"/>
      <c r="G253" s="2"/>
      <c r="J253" s="2"/>
      <c r="L253" s="2"/>
      <c r="M253" s="2"/>
      <c r="N253" s="2"/>
    </row>
    <row r="254" spans="4:14" ht="12.75" x14ac:dyDescent="0.35">
      <c r="D254" s="2"/>
      <c r="E254" s="2"/>
      <c r="F254" s="2"/>
      <c r="G254" s="2"/>
      <c r="J254" s="2"/>
      <c r="L254" s="2"/>
      <c r="M254" s="2"/>
      <c r="N254" s="2"/>
    </row>
    <row r="255" spans="4:14" ht="12.75" x14ac:dyDescent="0.35">
      <c r="D255" s="2"/>
      <c r="E255" s="2"/>
      <c r="F255" s="2"/>
      <c r="G255" s="2"/>
      <c r="J255" s="2"/>
      <c r="L255" s="2"/>
      <c r="M255" s="2"/>
      <c r="N255" s="2"/>
    </row>
    <row r="256" spans="4:14" ht="12.75" x14ac:dyDescent="0.35">
      <c r="D256" s="2"/>
      <c r="E256" s="2"/>
      <c r="F256" s="2"/>
      <c r="G256" s="2"/>
      <c r="J256" s="2"/>
      <c r="L256" s="2"/>
      <c r="M256" s="2"/>
      <c r="N256" s="2"/>
    </row>
    <row r="257" spans="4:14" ht="12.75" x14ac:dyDescent="0.35">
      <c r="D257" s="2"/>
      <c r="E257" s="2"/>
      <c r="F257" s="2"/>
      <c r="G257" s="2"/>
      <c r="J257" s="2"/>
      <c r="L257" s="2"/>
      <c r="M257" s="2"/>
      <c r="N257" s="2"/>
    </row>
    <row r="258" spans="4:14" ht="12.75" x14ac:dyDescent="0.35">
      <c r="D258" s="2"/>
      <c r="E258" s="2"/>
      <c r="F258" s="2"/>
      <c r="G258" s="2"/>
      <c r="J258" s="2"/>
      <c r="L258" s="2"/>
      <c r="M258" s="2"/>
      <c r="N258" s="2"/>
    </row>
    <row r="259" spans="4:14" ht="12.75" x14ac:dyDescent="0.35">
      <c r="D259" s="2"/>
      <c r="E259" s="2"/>
      <c r="F259" s="2"/>
      <c r="G259" s="2"/>
      <c r="J259" s="2"/>
      <c r="L259" s="2"/>
      <c r="M259" s="2"/>
      <c r="N259" s="2"/>
    </row>
    <row r="260" spans="4:14" ht="12.75" x14ac:dyDescent="0.35">
      <c r="D260" s="2"/>
      <c r="E260" s="2"/>
      <c r="F260" s="2"/>
      <c r="G260" s="2"/>
      <c r="J260" s="2"/>
      <c r="L260" s="2"/>
      <c r="M260" s="2"/>
      <c r="N260" s="2"/>
    </row>
    <row r="261" spans="4:14" ht="12.75" x14ac:dyDescent="0.35">
      <c r="D261" s="2"/>
      <c r="E261" s="2"/>
      <c r="F261" s="2"/>
      <c r="G261" s="2"/>
      <c r="J261" s="2"/>
      <c r="L261" s="2"/>
      <c r="M261" s="2"/>
      <c r="N261" s="2"/>
    </row>
    <row r="262" spans="4:14" ht="12.75" x14ac:dyDescent="0.35">
      <c r="D262" s="2"/>
      <c r="E262" s="2"/>
      <c r="F262" s="2"/>
      <c r="G262" s="2"/>
      <c r="J262" s="2"/>
      <c r="L262" s="2"/>
      <c r="M262" s="2"/>
      <c r="N262" s="2"/>
    </row>
    <row r="263" spans="4:14" ht="12.75" x14ac:dyDescent="0.35">
      <c r="D263" s="2"/>
      <c r="E263" s="2"/>
      <c r="F263" s="2"/>
      <c r="G263" s="2"/>
      <c r="J263" s="2"/>
      <c r="L263" s="2"/>
      <c r="M263" s="2"/>
      <c r="N263" s="2"/>
    </row>
    <row r="264" spans="4:14" ht="12.75" x14ac:dyDescent="0.35">
      <c r="D264" s="2"/>
      <c r="E264" s="2"/>
      <c r="F264" s="2"/>
      <c r="G264" s="2"/>
      <c r="J264" s="2"/>
      <c r="L264" s="2"/>
      <c r="M264" s="2"/>
      <c r="N264" s="2"/>
    </row>
    <row r="265" spans="4:14" ht="12.75" x14ac:dyDescent="0.35">
      <c r="D265" s="2"/>
      <c r="E265" s="2"/>
      <c r="F265" s="2"/>
      <c r="G265" s="2"/>
      <c r="J265" s="2"/>
      <c r="L265" s="2"/>
      <c r="M265" s="2"/>
      <c r="N265" s="2"/>
    </row>
    <row r="266" spans="4:14" ht="12.75" x14ac:dyDescent="0.35">
      <c r="D266" s="2"/>
      <c r="E266" s="2"/>
      <c r="F266" s="2"/>
      <c r="G266" s="2"/>
      <c r="J266" s="2"/>
      <c r="L266" s="2"/>
      <c r="M266" s="2"/>
      <c r="N266" s="2"/>
    </row>
    <row r="267" spans="4:14" ht="12.75" x14ac:dyDescent="0.35">
      <c r="D267" s="2"/>
      <c r="E267" s="2"/>
      <c r="F267" s="2"/>
      <c r="G267" s="2"/>
      <c r="J267" s="2"/>
      <c r="L267" s="2"/>
      <c r="M267" s="2"/>
      <c r="N267" s="2"/>
    </row>
    <row r="268" spans="4:14" ht="12.75" x14ac:dyDescent="0.35">
      <c r="D268" s="2"/>
      <c r="E268" s="2"/>
      <c r="F268" s="2"/>
      <c r="G268" s="2"/>
      <c r="J268" s="2"/>
      <c r="L268" s="2"/>
      <c r="M268" s="2"/>
      <c r="N268" s="2"/>
    </row>
    <row r="269" spans="4:14" ht="12.75" x14ac:dyDescent="0.35">
      <c r="D269" s="2"/>
      <c r="E269" s="2"/>
      <c r="F269" s="2"/>
      <c r="G269" s="2"/>
      <c r="J269" s="2"/>
      <c r="L269" s="2"/>
      <c r="M269" s="2"/>
      <c r="N269" s="2"/>
    </row>
    <row r="270" spans="4:14" ht="12.75" x14ac:dyDescent="0.35">
      <c r="D270" s="2"/>
      <c r="E270" s="2"/>
      <c r="F270" s="2"/>
      <c r="G270" s="2"/>
      <c r="J270" s="2"/>
      <c r="L270" s="2"/>
      <c r="M270" s="2"/>
      <c r="N270" s="2"/>
    </row>
    <row r="271" spans="4:14" ht="12.75" x14ac:dyDescent="0.35">
      <c r="D271" s="2"/>
      <c r="E271" s="2"/>
      <c r="F271" s="2"/>
      <c r="G271" s="2"/>
      <c r="J271" s="2"/>
      <c r="L271" s="2"/>
      <c r="M271" s="2"/>
      <c r="N271" s="2"/>
    </row>
    <row r="272" spans="4:14" ht="12.75" x14ac:dyDescent="0.35">
      <c r="D272" s="2"/>
      <c r="E272" s="2"/>
      <c r="F272" s="2"/>
      <c r="G272" s="2"/>
      <c r="J272" s="2"/>
      <c r="L272" s="2"/>
      <c r="M272" s="2"/>
      <c r="N272" s="2"/>
    </row>
    <row r="273" spans="4:14" ht="12.75" x14ac:dyDescent="0.35">
      <c r="D273" s="2"/>
      <c r="E273" s="2"/>
      <c r="F273" s="2"/>
      <c r="G273" s="2"/>
      <c r="J273" s="2"/>
      <c r="L273" s="2"/>
      <c r="M273" s="2"/>
      <c r="N273" s="2"/>
    </row>
    <row r="274" spans="4:14" ht="12.75" x14ac:dyDescent="0.35">
      <c r="D274" s="2"/>
      <c r="E274" s="2"/>
      <c r="F274" s="2"/>
      <c r="G274" s="2"/>
      <c r="J274" s="2"/>
      <c r="L274" s="2"/>
      <c r="M274" s="2"/>
      <c r="N274" s="2"/>
    </row>
    <row r="275" spans="4:14" ht="12.75" x14ac:dyDescent="0.35">
      <c r="D275" s="2"/>
      <c r="E275" s="2"/>
      <c r="F275" s="2"/>
      <c r="G275" s="2"/>
      <c r="J275" s="2"/>
      <c r="L275" s="2"/>
      <c r="M275" s="2"/>
      <c r="N275" s="2"/>
    </row>
    <row r="276" spans="4:14" ht="12.75" x14ac:dyDescent="0.35">
      <c r="D276" s="2"/>
      <c r="E276" s="2"/>
      <c r="F276" s="2"/>
      <c r="G276" s="2"/>
      <c r="J276" s="2"/>
      <c r="L276" s="2"/>
      <c r="M276" s="2"/>
      <c r="N276" s="2"/>
    </row>
    <row r="277" spans="4:14" ht="12.75" x14ac:dyDescent="0.35">
      <c r="D277" s="2"/>
      <c r="E277" s="2"/>
      <c r="F277" s="2"/>
      <c r="G277" s="2"/>
      <c r="J277" s="2"/>
      <c r="L277" s="2"/>
      <c r="M277" s="2"/>
      <c r="N277" s="2"/>
    </row>
    <row r="278" spans="4:14" ht="12.75" x14ac:dyDescent="0.35">
      <c r="D278" s="2"/>
      <c r="E278" s="2"/>
      <c r="F278" s="2"/>
      <c r="G278" s="2"/>
      <c r="J278" s="2"/>
      <c r="L278" s="2"/>
      <c r="M278" s="2"/>
      <c r="N278" s="2"/>
    </row>
    <row r="279" spans="4:14" ht="12.75" x14ac:dyDescent="0.35">
      <c r="D279" s="2"/>
      <c r="E279" s="2"/>
      <c r="F279" s="2"/>
      <c r="G279" s="2"/>
      <c r="J279" s="2"/>
      <c r="L279" s="2"/>
      <c r="M279" s="2"/>
      <c r="N279" s="2"/>
    </row>
    <row r="280" spans="4:14" ht="12.75" x14ac:dyDescent="0.35">
      <c r="D280" s="2"/>
      <c r="E280" s="2"/>
      <c r="F280" s="2"/>
      <c r="G280" s="2"/>
      <c r="J280" s="2"/>
      <c r="L280" s="2"/>
      <c r="M280" s="2"/>
      <c r="N280" s="2"/>
    </row>
    <row r="281" spans="4:14" ht="12.75" x14ac:dyDescent="0.35">
      <c r="D281" s="2"/>
      <c r="E281" s="2"/>
      <c r="F281" s="2"/>
      <c r="G281" s="2"/>
      <c r="J281" s="2"/>
      <c r="L281" s="2"/>
      <c r="M281" s="2"/>
      <c r="N281" s="2"/>
    </row>
    <row r="282" spans="4:14" ht="12.75" x14ac:dyDescent="0.35">
      <c r="D282" s="2"/>
      <c r="E282" s="2"/>
      <c r="F282" s="2"/>
      <c r="G282" s="2"/>
      <c r="J282" s="2"/>
      <c r="L282" s="2"/>
      <c r="M282" s="2"/>
      <c r="N282" s="2"/>
    </row>
    <row r="283" spans="4:14" ht="12.75" x14ac:dyDescent="0.35">
      <c r="D283" s="2"/>
      <c r="E283" s="2"/>
      <c r="F283" s="2"/>
      <c r="G283" s="2"/>
      <c r="J283" s="2"/>
      <c r="L283" s="2"/>
      <c r="M283" s="2"/>
      <c r="N283" s="2"/>
    </row>
    <row r="284" spans="4:14" ht="12.75" x14ac:dyDescent="0.35">
      <c r="D284" s="2"/>
      <c r="E284" s="2"/>
      <c r="F284" s="2"/>
      <c r="G284" s="2"/>
      <c r="J284" s="2"/>
      <c r="L284" s="2"/>
      <c r="M284" s="2"/>
      <c r="N284" s="2"/>
    </row>
    <row r="285" spans="4:14" ht="12.75" x14ac:dyDescent="0.35">
      <c r="D285" s="2"/>
      <c r="E285" s="2"/>
      <c r="F285" s="2"/>
      <c r="G285" s="2"/>
      <c r="J285" s="2"/>
      <c r="L285" s="2"/>
      <c r="M285" s="2"/>
      <c r="N285" s="2"/>
    </row>
    <row r="286" spans="4:14" ht="12.75" x14ac:dyDescent="0.35">
      <c r="D286" s="2"/>
      <c r="E286" s="2"/>
      <c r="F286" s="2"/>
      <c r="G286" s="2"/>
      <c r="J286" s="2"/>
      <c r="L286" s="2"/>
      <c r="M286" s="2"/>
      <c r="N286" s="2"/>
    </row>
    <row r="287" spans="4:14" ht="12.75" x14ac:dyDescent="0.35">
      <c r="D287" s="2"/>
      <c r="E287" s="2"/>
      <c r="F287" s="2"/>
      <c r="G287" s="2"/>
      <c r="J287" s="2"/>
      <c r="L287" s="2"/>
      <c r="M287" s="2"/>
      <c r="N287" s="2"/>
    </row>
    <row r="288" spans="4:14" ht="12.75" x14ac:dyDescent="0.35">
      <c r="D288" s="2"/>
      <c r="E288" s="2"/>
      <c r="F288" s="2"/>
      <c r="G288" s="2"/>
      <c r="J288" s="2"/>
      <c r="L288" s="2"/>
      <c r="M288" s="2"/>
      <c r="N288" s="2"/>
    </row>
    <row r="289" spans="4:14" ht="12.75" x14ac:dyDescent="0.35">
      <c r="D289" s="2"/>
      <c r="E289" s="2"/>
      <c r="F289" s="2"/>
      <c r="G289" s="2"/>
      <c r="J289" s="2"/>
      <c r="L289" s="2"/>
      <c r="M289" s="2"/>
      <c r="N289" s="2"/>
    </row>
    <row r="290" spans="4:14" ht="12.75" x14ac:dyDescent="0.35">
      <c r="D290" s="2"/>
      <c r="E290" s="2"/>
      <c r="F290" s="2"/>
      <c r="G290" s="2"/>
      <c r="J290" s="2"/>
      <c r="L290" s="2"/>
      <c r="M290" s="2"/>
      <c r="N290" s="2"/>
    </row>
    <row r="291" spans="4:14" ht="12.75" x14ac:dyDescent="0.35">
      <c r="D291" s="2"/>
      <c r="E291" s="2"/>
      <c r="F291" s="2"/>
      <c r="G291" s="2"/>
      <c r="J291" s="2"/>
      <c r="L291" s="2"/>
      <c r="M291" s="2"/>
      <c r="N291" s="2"/>
    </row>
    <row r="292" spans="4:14" ht="12.75" x14ac:dyDescent="0.35">
      <c r="D292" s="2"/>
      <c r="E292" s="2"/>
      <c r="F292" s="2"/>
      <c r="G292" s="2"/>
      <c r="J292" s="2"/>
      <c r="L292" s="2"/>
      <c r="M292" s="2"/>
      <c r="N292" s="2"/>
    </row>
    <row r="293" spans="4:14" ht="12.75" x14ac:dyDescent="0.35">
      <c r="D293" s="2"/>
      <c r="E293" s="2"/>
      <c r="F293" s="2"/>
      <c r="G293" s="2"/>
      <c r="J293" s="2"/>
      <c r="L293" s="2"/>
      <c r="M293" s="2"/>
      <c r="N293" s="2"/>
    </row>
    <row r="294" spans="4:14" ht="12.75" x14ac:dyDescent="0.35">
      <c r="D294" s="2"/>
      <c r="E294" s="2"/>
      <c r="F294" s="2"/>
      <c r="G294" s="2"/>
      <c r="J294" s="2"/>
      <c r="L294" s="2"/>
      <c r="M294" s="2"/>
      <c r="N294" s="2"/>
    </row>
    <row r="295" spans="4:14" ht="12.75" x14ac:dyDescent="0.35">
      <c r="D295" s="2"/>
      <c r="E295" s="2"/>
      <c r="F295" s="2"/>
      <c r="G295" s="2"/>
      <c r="J295" s="2"/>
      <c r="L295" s="2"/>
      <c r="M295" s="2"/>
      <c r="N295" s="2"/>
    </row>
    <row r="296" spans="4:14" ht="12.75" x14ac:dyDescent="0.35">
      <c r="D296" s="2"/>
      <c r="E296" s="2"/>
      <c r="F296" s="2"/>
      <c r="G296" s="2"/>
      <c r="J296" s="2"/>
      <c r="L296" s="2"/>
      <c r="M296" s="2"/>
      <c r="N296" s="2"/>
    </row>
    <row r="297" spans="4:14" ht="12.75" x14ac:dyDescent="0.35">
      <c r="D297" s="2"/>
      <c r="E297" s="2"/>
      <c r="F297" s="2"/>
      <c r="G297" s="2"/>
      <c r="J297" s="2"/>
      <c r="L297" s="2"/>
      <c r="M297" s="2"/>
      <c r="N297" s="2"/>
    </row>
    <row r="298" spans="4:14" ht="12.75" x14ac:dyDescent="0.35">
      <c r="D298" s="2"/>
      <c r="E298" s="2"/>
      <c r="F298" s="2"/>
      <c r="G298" s="2"/>
      <c r="J298" s="2"/>
      <c r="L298" s="2"/>
      <c r="M298" s="2"/>
      <c r="N298" s="2"/>
    </row>
    <row r="299" spans="4:14" ht="12.75" x14ac:dyDescent="0.35">
      <c r="D299" s="2"/>
      <c r="E299" s="2"/>
      <c r="F299" s="2"/>
      <c r="G299" s="2"/>
      <c r="J299" s="2"/>
      <c r="L299" s="2"/>
      <c r="M299" s="2"/>
      <c r="N299" s="2"/>
    </row>
    <row r="300" spans="4:14" ht="12.75" x14ac:dyDescent="0.35">
      <c r="D300" s="2"/>
      <c r="E300" s="2"/>
      <c r="F300" s="2"/>
      <c r="G300" s="2"/>
      <c r="J300" s="2"/>
      <c r="L300" s="2"/>
      <c r="M300" s="2"/>
      <c r="N300" s="2"/>
    </row>
    <row r="301" spans="4:14" ht="12.75" x14ac:dyDescent="0.35">
      <c r="D301" s="2"/>
      <c r="E301" s="2"/>
      <c r="F301" s="2"/>
      <c r="G301" s="2"/>
      <c r="J301" s="2"/>
      <c r="L301" s="2"/>
      <c r="M301" s="2"/>
      <c r="N301" s="2"/>
    </row>
    <row r="302" spans="4:14" ht="12.75" x14ac:dyDescent="0.35">
      <c r="D302" s="2"/>
      <c r="E302" s="2"/>
      <c r="F302" s="2"/>
      <c r="G302" s="2"/>
      <c r="J302" s="2"/>
      <c r="L302" s="2"/>
      <c r="M302" s="2"/>
      <c r="N302" s="2"/>
    </row>
    <row r="303" spans="4:14" ht="12.75" x14ac:dyDescent="0.35">
      <c r="D303" s="2"/>
      <c r="E303" s="2"/>
      <c r="F303" s="2"/>
      <c r="G303" s="2"/>
      <c r="J303" s="2"/>
      <c r="L303" s="2"/>
      <c r="M303" s="2"/>
      <c r="N303" s="2"/>
    </row>
    <row r="304" spans="4:14" ht="12.75" x14ac:dyDescent="0.35">
      <c r="D304" s="2"/>
      <c r="E304" s="2"/>
      <c r="F304" s="2"/>
      <c r="G304" s="2"/>
      <c r="J304" s="2"/>
      <c r="L304" s="2"/>
      <c r="M304" s="2"/>
      <c r="N304" s="2"/>
    </row>
    <row r="305" spans="4:14" ht="12.75" x14ac:dyDescent="0.35">
      <c r="D305" s="2"/>
      <c r="E305" s="2"/>
      <c r="F305" s="2"/>
      <c r="G305" s="2"/>
      <c r="J305" s="2"/>
      <c r="L305" s="2"/>
      <c r="M305" s="2"/>
      <c r="N305" s="2"/>
    </row>
    <row r="306" spans="4:14" ht="12.75" x14ac:dyDescent="0.35">
      <c r="D306" s="2"/>
      <c r="E306" s="2"/>
      <c r="F306" s="2"/>
      <c r="G306" s="2"/>
      <c r="J306" s="2"/>
      <c r="L306" s="2"/>
      <c r="M306" s="2"/>
      <c r="N306" s="2"/>
    </row>
    <row r="307" spans="4:14" ht="12.75" x14ac:dyDescent="0.35">
      <c r="D307" s="2"/>
      <c r="E307" s="2"/>
      <c r="F307" s="2"/>
      <c r="G307" s="2"/>
      <c r="J307" s="2"/>
      <c r="L307" s="2"/>
      <c r="M307" s="2"/>
      <c r="N307" s="2"/>
    </row>
    <row r="308" spans="4:14" ht="12.75" x14ac:dyDescent="0.35">
      <c r="D308" s="2"/>
      <c r="E308" s="2"/>
      <c r="F308" s="2"/>
      <c r="G308" s="2"/>
      <c r="J308" s="2"/>
      <c r="L308" s="2"/>
      <c r="M308" s="2"/>
      <c r="N308" s="2"/>
    </row>
    <row r="309" spans="4:14" ht="12.75" x14ac:dyDescent="0.35">
      <c r="D309" s="2"/>
      <c r="E309" s="2"/>
      <c r="F309" s="2"/>
      <c r="G309" s="2"/>
      <c r="J309" s="2"/>
      <c r="L309" s="2"/>
      <c r="M309" s="2"/>
      <c r="N309" s="2"/>
    </row>
    <row r="310" spans="4:14" ht="12.75" x14ac:dyDescent="0.35">
      <c r="D310" s="2"/>
      <c r="E310" s="2"/>
      <c r="F310" s="2"/>
      <c r="G310" s="2"/>
      <c r="J310" s="2"/>
      <c r="L310" s="2"/>
      <c r="M310" s="2"/>
      <c r="N310" s="2"/>
    </row>
    <row r="311" spans="4:14" ht="12.75" x14ac:dyDescent="0.35">
      <c r="D311" s="2"/>
      <c r="E311" s="2"/>
      <c r="F311" s="2"/>
      <c r="G311" s="2"/>
      <c r="J311" s="2"/>
      <c r="L311" s="2"/>
      <c r="M311" s="2"/>
      <c r="N311" s="2"/>
    </row>
    <row r="312" spans="4:14" ht="12.75" x14ac:dyDescent="0.35">
      <c r="D312" s="2"/>
      <c r="E312" s="2"/>
      <c r="F312" s="2"/>
      <c r="G312" s="2"/>
      <c r="J312" s="2"/>
      <c r="L312" s="2"/>
      <c r="M312" s="2"/>
      <c r="N312" s="2"/>
    </row>
    <row r="313" spans="4:14" ht="12.75" x14ac:dyDescent="0.35">
      <c r="D313" s="2"/>
      <c r="E313" s="2"/>
      <c r="F313" s="2"/>
      <c r="G313" s="2"/>
      <c r="J313" s="2"/>
      <c r="L313" s="2"/>
      <c r="M313" s="2"/>
      <c r="N313" s="2"/>
    </row>
    <row r="314" spans="4:14" ht="12.75" x14ac:dyDescent="0.35">
      <c r="D314" s="2"/>
      <c r="E314" s="2"/>
      <c r="F314" s="2"/>
      <c r="G314" s="2"/>
      <c r="J314" s="2"/>
      <c r="L314" s="2"/>
      <c r="M314" s="2"/>
      <c r="N314" s="2"/>
    </row>
    <row r="315" spans="4:14" ht="12.75" x14ac:dyDescent="0.35">
      <c r="D315" s="2"/>
      <c r="E315" s="2"/>
      <c r="F315" s="2"/>
      <c r="G315" s="2"/>
      <c r="J315" s="2"/>
      <c r="L315" s="2"/>
      <c r="M315" s="2"/>
      <c r="N315" s="2"/>
    </row>
    <row r="316" spans="4:14" ht="12.75" x14ac:dyDescent="0.35">
      <c r="D316" s="2"/>
      <c r="E316" s="2"/>
      <c r="F316" s="2"/>
      <c r="G316" s="2"/>
      <c r="J316" s="2"/>
      <c r="L316" s="2"/>
      <c r="M316" s="2"/>
      <c r="N316" s="2"/>
    </row>
    <row r="317" spans="4:14" ht="12.75" x14ac:dyDescent="0.35">
      <c r="D317" s="2"/>
      <c r="E317" s="2"/>
      <c r="F317" s="2"/>
      <c r="G317" s="2"/>
      <c r="J317" s="2"/>
      <c r="L317" s="2"/>
      <c r="M317" s="2"/>
      <c r="N317" s="2"/>
    </row>
    <row r="318" spans="4:14" ht="12.75" x14ac:dyDescent="0.35">
      <c r="D318" s="2"/>
      <c r="E318" s="2"/>
      <c r="F318" s="2"/>
      <c r="G318" s="2"/>
      <c r="J318" s="2"/>
      <c r="L318" s="2"/>
      <c r="M318" s="2"/>
      <c r="N318" s="2"/>
    </row>
    <row r="319" spans="4:14" ht="12.75" x14ac:dyDescent="0.35">
      <c r="D319" s="2"/>
      <c r="E319" s="2"/>
      <c r="F319" s="2"/>
      <c r="G319" s="2"/>
      <c r="J319" s="2"/>
      <c r="L319" s="2"/>
      <c r="M319" s="2"/>
      <c r="N319" s="2"/>
    </row>
    <row r="320" spans="4:14" ht="12.75" x14ac:dyDescent="0.35">
      <c r="D320" s="2"/>
      <c r="E320" s="2"/>
      <c r="F320" s="2"/>
      <c r="G320" s="2"/>
      <c r="J320" s="2"/>
      <c r="L320" s="2"/>
      <c r="M320" s="2"/>
      <c r="N320" s="2"/>
    </row>
    <row r="321" spans="4:14" ht="12.75" x14ac:dyDescent="0.35">
      <c r="D321" s="2"/>
      <c r="E321" s="2"/>
      <c r="F321" s="2"/>
      <c r="G321" s="2"/>
      <c r="J321" s="2"/>
      <c r="L321" s="2"/>
      <c r="M321" s="2"/>
      <c r="N321" s="2"/>
    </row>
    <row r="322" spans="4:14" ht="12.75" x14ac:dyDescent="0.35">
      <c r="D322" s="2"/>
      <c r="E322" s="2"/>
      <c r="F322" s="2"/>
      <c r="G322" s="2"/>
      <c r="J322" s="2"/>
      <c r="L322" s="2"/>
      <c r="M322" s="2"/>
      <c r="N322" s="2"/>
    </row>
    <row r="323" spans="4:14" ht="12.75" x14ac:dyDescent="0.35">
      <c r="D323" s="2"/>
      <c r="E323" s="2"/>
      <c r="F323" s="2"/>
      <c r="G323" s="2"/>
      <c r="J323" s="2"/>
      <c r="L323" s="2"/>
      <c r="M323" s="2"/>
      <c r="N323" s="2"/>
    </row>
    <row r="324" spans="4:14" ht="12.75" x14ac:dyDescent="0.35">
      <c r="D324" s="2"/>
      <c r="E324" s="2"/>
      <c r="F324" s="2"/>
      <c r="G324" s="2"/>
      <c r="J324" s="2"/>
      <c r="L324" s="2"/>
      <c r="M324" s="2"/>
      <c r="N324" s="2"/>
    </row>
    <row r="325" spans="4:14" ht="12.75" x14ac:dyDescent="0.35">
      <c r="D325" s="2"/>
      <c r="E325" s="2"/>
      <c r="F325" s="2"/>
      <c r="G325" s="2"/>
      <c r="J325" s="2"/>
      <c r="L325" s="2"/>
      <c r="M325" s="2"/>
      <c r="N325" s="2"/>
    </row>
    <row r="326" spans="4:14" ht="12.75" x14ac:dyDescent="0.35">
      <c r="D326" s="2"/>
      <c r="E326" s="2"/>
      <c r="F326" s="2"/>
      <c r="G326" s="2"/>
      <c r="J326" s="2"/>
      <c r="L326" s="2"/>
      <c r="M326" s="2"/>
      <c r="N326" s="2"/>
    </row>
    <row r="327" spans="4:14" ht="12.75" x14ac:dyDescent="0.35">
      <c r="D327" s="2"/>
      <c r="E327" s="2"/>
      <c r="F327" s="2"/>
      <c r="G327" s="2"/>
      <c r="J327" s="2"/>
      <c r="L327" s="2"/>
      <c r="M327" s="2"/>
      <c r="N327" s="2"/>
    </row>
    <row r="328" spans="4:14" ht="12.75" x14ac:dyDescent="0.35">
      <c r="D328" s="2"/>
      <c r="E328" s="2"/>
      <c r="F328" s="2"/>
      <c r="G328" s="2"/>
      <c r="J328" s="2"/>
      <c r="L328" s="2"/>
      <c r="M328" s="2"/>
      <c r="N328" s="2"/>
    </row>
    <row r="329" spans="4:14" ht="12.75" x14ac:dyDescent="0.35">
      <c r="D329" s="2"/>
      <c r="E329" s="2"/>
      <c r="F329" s="2"/>
      <c r="G329" s="2"/>
      <c r="J329" s="2"/>
      <c r="L329" s="2"/>
      <c r="M329" s="2"/>
      <c r="N329" s="2"/>
    </row>
    <row r="330" spans="4:14" ht="12.75" x14ac:dyDescent="0.35">
      <c r="D330" s="2"/>
      <c r="E330" s="2"/>
      <c r="F330" s="2"/>
      <c r="G330" s="2"/>
      <c r="J330" s="2"/>
      <c r="L330" s="2"/>
      <c r="M330" s="2"/>
      <c r="N330" s="2"/>
    </row>
    <row r="331" spans="4:14" ht="12.75" x14ac:dyDescent="0.35">
      <c r="D331" s="2"/>
      <c r="E331" s="2"/>
      <c r="F331" s="2"/>
      <c r="G331" s="2"/>
      <c r="J331" s="2"/>
      <c r="L331" s="2"/>
      <c r="M331" s="2"/>
      <c r="N331" s="2"/>
    </row>
    <row r="332" spans="4:14" ht="12.75" x14ac:dyDescent="0.35">
      <c r="D332" s="2"/>
      <c r="E332" s="2"/>
      <c r="F332" s="2"/>
      <c r="G332" s="2"/>
      <c r="J332" s="2"/>
      <c r="L332" s="2"/>
      <c r="M332" s="2"/>
      <c r="N332" s="2"/>
    </row>
    <row r="333" spans="4:14" ht="12.75" x14ac:dyDescent="0.35">
      <c r="D333" s="2"/>
      <c r="E333" s="2"/>
      <c r="F333" s="2"/>
      <c r="G333" s="2"/>
      <c r="J333" s="2"/>
      <c r="L333" s="2"/>
      <c r="M333" s="2"/>
      <c r="N333" s="2"/>
    </row>
    <row r="334" spans="4:14" ht="12.75" x14ac:dyDescent="0.35">
      <c r="D334" s="2"/>
      <c r="E334" s="2"/>
      <c r="F334" s="2"/>
      <c r="G334" s="2"/>
      <c r="J334" s="2"/>
      <c r="L334" s="2"/>
      <c r="M334" s="2"/>
      <c r="N334" s="2"/>
    </row>
    <row r="335" spans="4:14" ht="12.75" x14ac:dyDescent="0.35">
      <c r="D335" s="2"/>
      <c r="E335" s="2"/>
      <c r="F335" s="2"/>
      <c r="G335" s="2"/>
      <c r="J335" s="2"/>
      <c r="L335" s="2"/>
      <c r="M335" s="2"/>
      <c r="N335" s="2"/>
    </row>
    <row r="336" spans="4:14" ht="12.75" x14ac:dyDescent="0.35">
      <c r="D336" s="2"/>
      <c r="E336" s="2"/>
      <c r="F336" s="2"/>
      <c r="G336" s="2"/>
      <c r="J336" s="2"/>
      <c r="L336" s="2"/>
      <c r="M336" s="2"/>
      <c r="N336" s="2"/>
    </row>
    <row r="337" spans="4:14" ht="12.75" x14ac:dyDescent="0.35">
      <c r="D337" s="2"/>
      <c r="E337" s="2"/>
      <c r="F337" s="2"/>
      <c r="G337" s="2"/>
      <c r="J337" s="2"/>
      <c r="L337" s="2"/>
      <c r="M337" s="2"/>
      <c r="N337" s="2"/>
    </row>
    <row r="338" spans="4:14" ht="12.75" x14ac:dyDescent="0.35">
      <c r="D338" s="2"/>
      <c r="E338" s="2"/>
      <c r="F338" s="2"/>
      <c r="G338" s="2"/>
      <c r="J338" s="2"/>
      <c r="L338" s="2"/>
      <c r="M338" s="2"/>
      <c r="N338" s="2"/>
    </row>
    <row r="339" spans="4:14" ht="12.75" x14ac:dyDescent="0.35">
      <c r="D339" s="2"/>
      <c r="E339" s="2"/>
      <c r="F339" s="2"/>
      <c r="G339" s="2"/>
      <c r="J339" s="2"/>
      <c r="L339" s="2"/>
      <c r="M339" s="2"/>
      <c r="N339" s="2"/>
    </row>
    <row r="340" spans="4:14" ht="12.75" x14ac:dyDescent="0.35">
      <c r="D340" s="2"/>
      <c r="E340" s="2"/>
      <c r="F340" s="2"/>
      <c r="G340" s="2"/>
      <c r="J340" s="2"/>
      <c r="L340" s="2"/>
      <c r="M340" s="2"/>
      <c r="N340" s="2"/>
    </row>
    <row r="341" spans="4:14" ht="12.75" x14ac:dyDescent="0.35">
      <c r="D341" s="2"/>
      <c r="E341" s="2"/>
      <c r="F341" s="2"/>
      <c r="G341" s="2"/>
      <c r="J341" s="2"/>
      <c r="L341" s="2"/>
      <c r="M341" s="2"/>
      <c r="N341" s="2"/>
    </row>
    <row r="342" spans="4:14" ht="12.75" x14ac:dyDescent="0.35">
      <c r="D342" s="2"/>
      <c r="E342" s="2"/>
      <c r="F342" s="2"/>
      <c r="G342" s="2"/>
      <c r="J342" s="2"/>
      <c r="L342" s="2"/>
      <c r="M342" s="2"/>
      <c r="N342" s="2"/>
    </row>
    <row r="343" spans="4:14" ht="12.75" x14ac:dyDescent="0.35">
      <c r="D343" s="2"/>
      <c r="E343" s="2"/>
      <c r="F343" s="2"/>
      <c r="G343" s="2"/>
      <c r="J343" s="2"/>
      <c r="L343" s="2"/>
      <c r="M343" s="2"/>
      <c r="N343" s="2"/>
    </row>
    <row r="344" spans="4:14" ht="12.75" x14ac:dyDescent="0.35">
      <c r="D344" s="2"/>
      <c r="E344" s="2"/>
      <c r="F344" s="2"/>
      <c r="G344" s="2"/>
      <c r="J344" s="2"/>
      <c r="L344" s="2"/>
      <c r="M344" s="2"/>
      <c r="N344" s="2"/>
    </row>
    <row r="345" spans="4:14" ht="12.75" x14ac:dyDescent="0.35">
      <c r="D345" s="2"/>
      <c r="E345" s="2"/>
      <c r="F345" s="2"/>
      <c r="G345" s="2"/>
      <c r="J345" s="2"/>
      <c r="L345" s="2"/>
      <c r="M345" s="2"/>
      <c r="N345" s="2"/>
    </row>
    <row r="346" spans="4:14" ht="12.75" x14ac:dyDescent="0.35">
      <c r="D346" s="2"/>
      <c r="E346" s="2"/>
      <c r="F346" s="2"/>
      <c r="G346" s="2"/>
      <c r="J346" s="2"/>
      <c r="L346" s="2"/>
      <c r="M346" s="2"/>
      <c r="N346" s="2"/>
    </row>
    <row r="347" spans="4:14" ht="12.75" x14ac:dyDescent="0.35">
      <c r="D347" s="2"/>
      <c r="E347" s="2"/>
      <c r="F347" s="2"/>
      <c r="G347" s="2"/>
      <c r="J347" s="2"/>
      <c r="L347" s="2"/>
      <c r="M347" s="2"/>
      <c r="N347" s="2"/>
    </row>
    <row r="348" spans="4:14" ht="12.75" x14ac:dyDescent="0.35">
      <c r="D348" s="2"/>
      <c r="E348" s="2"/>
      <c r="F348" s="2"/>
      <c r="G348" s="2"/>
      <c r="J348" s="2"/>
      <c r="L348" s="2"/>
      <c r="M348" s="2"/>
      <c r="N348" s="2"/>
    </row>
    <row r="349" spans="4:14" ht="12.75" x14ac:dyDescent="0.35">
      <c r="D349" s="2"/>
      <c r="E349" s="2"/>
      <c r="F349" s="2"/>
      <c r="G349" s="2"/>
      <c r="J349" s="2"/>
      <c r="L349" s="2"/>
      <c r="M349" s="2"/>
      <c r="N349" s="2"/>
    </row>
    <row r="350" spans="4:14" ht="12.75" x14ac:dyDescent="0.35">
      <c r="D350" s="2"/>
      <c r="E350" s="2"/>
      <c r="F350" s="2"/>
      <c r="G350" s="2"/>
      <c r="J350" s="2"/>
      <c r="L350" s="2"/>
      <c r="M350" s="2"/>
      <c r="N350" s="2"/>
    </row>
    <row r="351" spans="4:14" ht="12.75" x14ac:dyDescent="0.35">
      <c r="D351" s="2"/>
      <c r="E351" s="2"/>
      <c r="F351" s="2"/>
      <c r="G351" s="2"/>
      <c r="J351" s="2"/>
      <c r="L351" s="2"/>
      <c r="M351" s="2"/>
      <c r="N351" s="2"/>
    </row>
    <row r="352" spans="4:14" ht="12.75" x14ac:dyDescent="0.35">
      <c r="D352" s="2"/>
      <c r="E352" s="2"/>
      <c r="F352" s="2"/>
      <c r="G352" s="2"/>
      <c r="J352" s="2"/>
      <c r="L352" s="2"/>
      <c r="M352" s="2"/>
      <c r="N352" s="2"/>
    </row>
    <row r="353" spans="4:14" ht="12.75" x14ac:dyDescent="0.35">
      <c r="D353" s="2"/>
      <c r="E353" s="2"/>
      <c r="F353" s="2"/>
      <c r="G353" s="2"/>
      <c r="J353" s="2"/>
      <c r="L353" s="2"/>
      <c r="M353" s="2"/>
      <c r="N353" s="2"/>
    </row>
    <row r="354" spans="4:14" ht="12.75" x14ac:dyDescent="0.35">
      <c r="D354" s="2"/>
      <c r="E354" s="2"/>
      <c r="F354" s="2"/>
      <c r="G354" s="2"/>
      <c r="J354" s="2"/>
      <c r="L354" s="2"/>
      <c r="M354" s="2"/>
      <c r="N354" s="2"/>
    </row>
    <row r="355" spans="4:14" ht="12.75" x14ac:dyDescent="0.35">
      <c r="D355" s="2"/>
      <c r="E355" s="2"/>
      <c r="F355" s="2"/>
      <c r="G355" s="2"/>
      <c r="J355" s="2"/>
      <c r="L355" s="2"/>
      <c r="M355" s="2"/>
      <c r="N355" s="2"/>
    </row>
    <row r="356" spans="4:14" ht="12.75" x14ac:dyDescent="0.35">
      <c r="D356" s="2"/>
      <c r="E356" s="2"/>
      <c r="F356" s="2"/>
      <c r="G356" s="2"/>
      <c r="J356" s="2"/>
      <c r="L356" s="2"/>
      <c r="M356" s="2"/>
      <c r="N356" s="2"/>
    </row>
    <row r="357" spans="4:14" ht="12.75" x14ac:dyDescent="0.35">
      <c r="D357" s="2"/>
      <c r="E357" s="2"/>
      <c r="F357" s="2"/>
      <c r="G357" s="2"/>
      <c r="J357" s="2"/>
      <c r="L357" s="2"/>
      <c r="M357" s="2"/>
      <c r="N357" s="2"/>
    </row>
    <row r="358" spans="4:14" ht="12.75" x14ac:dyDescent="0.35">
      <c r="D358" s="2"/>
      <c r="E358" s="2"/>
      <c r="F358" s="2"/>
      <c r="G358" s="2"/>
      <c r="J358" s="2"/>
      <c r="L358" s="2"/>
      <c r="M358" s="2"/>
      <c r="N358" s="2"/>
    </row>
    <row r="359" spans="4:14" ht="12.75" x14ac:dyDescent="0.35">
      <c r="D359" s="2"/>
      <c r="E359" s="2"/>
      <c r="F359" s="2"/>
      <c r="G359" s="2"/>
      <c r="J359" s="2"/>
      <c r="L359" s="2"/>
      <c r="M359" s="2"/>
      <c r="N359" s="2"/>
    </row>
    <row r="360" spans="4:14" ht="12.75" x14ac:dyDescent="0.35">
      <c r="D360" s="2"/>
      <c r="E360" s="2"/>
      <c r="F360" s="2"/>
      <c r="G360" s="2"/>
      <c r="J360" s="2"/>
      <c r="L360" s="2"/>
      <c r="M360" s="2"/>
      <c r="N360" s="2"/>
    </row>
    <row r="361" spans="4:14" ht="12.75" x14ac:dyDescent="0.35">
      <c r="D361" s="2"/>
      <c r="E361" s="2"/>
      <c r="F361" s="2"/>
      <c r="G361" s="2"/>
      <c r="J361" s="2"/>
      <c r="L361" s="2"/>
      <c r="M361" s="2"/>
      <c r="N361" s="2"/>
    </row>
    <row r="362" spans="4:14" ht="12.75" x14ac:dyDescent="0.35">
      <c r="D362" s="2"/>
      <c r="E362" s="2"/>
      <c r="F362" s="2"/>
      <c r="G362" s="2"/>
      <c r="J362" s="2"/>
      <c r="L362" s="2"/>
      <c r="M362" s="2"/>
      <c r="N362" s="2"/>
    </row>
    <row r="363" spans="4:14" ht="12.75" x14ac:dyDescent="0.35">
      <c r="D363" s="2"/>
      <c r="E363" s="2"/>
      <c r="F363" s="2"/>
      <c r="G363" s="2"/>
      <c r="J363" s="2"/>
      <c r="L363" s="2"/>
      <c r="M363" s="2"/>
      <c r="N363" s="2"/>
    </row>
    <row r="364" spans="4:14" ht="12.75" x14ac:dyDescent="0.35">
      <c r="D364" s="2"/>
      <c r="E364" s="2"/>
      <c r="F364" s="2"/>
      <c r="G364" s="2"/>
      <c r="J364" s="2"/>
      <c r="L364" s="2"/>
      <c r="M364" s="2"/>
      <c r="N364" s="2"/>
    </row>
    <row r="365" spans="4:14" ht="12.75" x14ac:dyDescent="0.35">
      <c r="D365" s="2"/>
      <c r="E365" s="2"/>
      <c r="F365" s="2"/>
      <c r="G365" s="2"/>
      <c r="J365" s="2"/>
      <c r="L365" s="2"/>
      <c r="M365" s="2"/>
      <c r="N365" s="2"/>
    </row>
    <row r="366" spans="4:14" ht="12.75" x14ac:dyDescent="0.35">
      <c r="D366" s="2"/>
      <c r="E366" s="2"/>
      <c r="F366" s="2"/>
      <c r="G366" s="2"/>
      <c r="J366" s="2"/>
      <c r="L366" s="2"/>
      <c r="M366" s="2"/>
      <c r="N366" s="2"/>
    </row>
    <row r="367" spans="4:14" ht="12.75" x14ac:dyDescent="0.35">
      <c r="D367" s="2"/>
      <c r="E367" s="2"/>
      <c r="F367" s="2"/>
      <c r="G367" s="2"/>
      <c r="J367" s="2"/>
      <c r="L367" s="2"/>
      <c r="M367" s="2"/>
      <c r="N367" s="2"/>
    </row>
    <row r="368" spans="4:14" ht="12.75" x14ac:dyDescent="0.35">
      <c r="D368" s="2"/>
      <c r="E368" s="2"/>
      <c r="F368" s="2"/>
      <c r="G368" s="2"/>
      <c r="J368" s="2"/>
      <c r="L368" s="2"/>
      <c r="M368" s="2"/>
      <c r="N368" s="2"/>
    </row>
    <row r="369" spans="4:14" ht="12.75" x14ac:dyDescent="0.35">
      <c r="D369" s="2"/>
      <c r="E369" s="2"/>
      <c r="F369" s="2"/>
      <c r="G369" s="2"/>
      <c r="J369" s="2"/>
      <c r="L369" s="2"/>
      <c r="M369" s="2"/>
      <c r="N369" s="2"/>
    </row>
    <row r="370" spans="4:14" ht="12.75" x14ac:dyDescent="0.35">
      <c r="D370" s="2"/>
      <c r="E370" s="2"/>
      <c r="F370" s="2"/>
      <c r="G370" s="2"/>
      <c r="J370" s="2"/>
      <c r="L370" s="2"/>
      <c r="M370" s="2"/>
      <c r="N370" s="2"/>
    </row>
    <row r="371" spans="4:14" ht="12.75" x14ac:dyDescent="0.35">
      <c r="D371" s="2"/>
      <c r="E371" s="2"/>
      <c r="F371" s="2"/>
      <c r="G371" s="2"/>
      <c r="J371" s="2"/>
      <c r="L371" s="2"/>
      <c r="M371" s="2"/>
      <c r="N371" s="2"/>
    </row>
    <row r="372" spans="4:14" ht="12.75" x14ac:dyDescent="0.35">
      <c r="D372" s="2"/>
      <c r="E372" s="2"/>
      <c r="F372" s="2"/>
      <c r="G372" s="2"/>
      <c r="J372" s="2"/>
      <c r="L372" s="2"/>
      <c r="M372" s="2"/>
      <c r="N372" s="2"/>
    </row>
    <row r="373" spans="4:14" ht="12.75" x14ac:dyDescent="0.35">
      <c r="D373" s="2"/>
      <c r="E373" s="2"/>
      <c r="F373" s="2"/>
      <c r="G373" s="2"/>
      <c r="J373" s="2"/>
      <c r="L373" s="2"/>
      <c r="M373" s="2"/>
      <c r="N373" s="2"/>
    </row>
    <row r="374" spans="4:14" ht="12.75" x14ac:dyDescent="0.35">
      <c r="D374" s="2"/>
      <c r="E374" s="2"/>
      <c r="F374" s="2"/>
      <c r="G374" s="2"/>
      <c r="J374" s="2"/>
      <c r="L374" s="2"/>
      <c r="M374" s="2"/>
      <c r="N374" s="2"/>
    </row>
    <row r="375" spans="4:14" ht="12.75" x14ac:dyDescent="0.35">
      <c r="D375" s="2"/>
      <c r="E375" s="2"/>
      <c r="F375" s="2"/>
      <c r="G375" s="2"/>
      <c r="J375" s="2"/>
      <c r="L375" s="2"/>
      <c r="M375" s="2"/>
      <c r="N375" s="2"/>
    </row>
    <row r="376" spans="4:14" ht="12.75" x14ac:dyDescent="0.35">
      <c r="D376" s="2"/>
      <c r="E376" s="2"/>
      <c r="F376" s="2"/>
      <c r="G376" s="2"/>
      <c r="J376" s="2"/>
      <c r="L376" s="2"/>
      <c r="M376" s="2"/>
      <c r="N376" s="2"/>
    </row>
    <row r="377" spans="4:14" ht="12.75" x14ac:dyDescent="0.35">
      <c r="D377" s="2"/>
      <c r="E377" s="2"/>
      <c r="F377" s="2"/>
      <c r="G377" s="2"/>
      <c r="J377" s="2"/>
      <c r="L377" s="2"/>
      <c r="M377" s="2"/>
      <c r="N377" s="2"/>
    </row>
    <row r="378" spans="4:14" ht="12.75" x14ac:dyDescent="0.35">
      <c r="D378" s="2"/>
      <c r="E378" s="2"/>
      <c r="F378" s="2"/>
      <c r="G378" s="2"/>
      <c r="J378" s="2"/>
      <c r="L378" s="2"/>
      <c r="M378" s="2"/>
      <c r="N378" s="2"/>
    </row>
    <row r="379" spans="4:14" ht="12.75" x14ac:dyDescent="0.35">
      <c r="D379" s="2"/>
      <c r="E379" s="2"/>
      <c r="F379" s="2"/>
      <c r="G379" s="2"/>
      <c r="J379" s="2"/>
      <c r="L379" s="2"/>
      <c r="M379" s="2"/>
      <c r="N379" s="2"/>
    </row>
    <row r="380" spans="4:14" ht="12.75" x14ac:dyDescent="0.35">
      <c r="D380" s="2"/>
      <c r="E380" s="2"/>
      <c r="F380" s="2"/>
      <c r="G380" s="2"/>
      <c r="J380" s="2"/>
      <c r="L380" s="2"/>
      <c r="M380" s="2"/>
      <c r="N380" s="2"/>
    </row>
    <row r="381" spans="4:14" ht="12.75" x14ac:dyDescent="0.35">
      <c r="D381" s="2"/>
      <c r="E381" s="2"/>
      <c r="F381" s="2"/>
      <c r="G381" s="2"/>
      <c r="J381" s="2"/>
      <c r="L381" s="2"/>
      <c r="M381" s="2"/>
      <c r="N381" s="2"/>
    </row>
    <row r="382" spans="4:14" ht="12.75" x14ac:dyDescent="0.35">
      <c r="D382" s="2"/>
      <c r="E382" s="2"/>
      <c r="F382" s="2"/>
      <c r="G382" s="2"/>
      <c r="J382" s="2"/>
      <c r="L382" s="2"/>
      <c r="M382" s="2"/>
      <c r="N382" s="2"/>
    </row>
    <row r="383" spans="4:14" ht="12.75" x14ac:dyDescent="0.35">
      <c r="D383" s="2"/>
      <c r="E383" s="2"/>
      <c r="F383" s="2"/>
      <c r="G383" s="2"/>
      <c r="J383" s="2"/>
      <c r="L383" s="2"/>
      <c r="M383" s="2"/>
      <c r="N383" s="2"/>
    </row>
    <row r="384" spans="4:14" ht="12.75" x14ac:dyDescent="0.35">
      <c r="D384" s="2"/>
      <c r="E384" s="2"/>
      <c r="F384" s="2"/>
      <c r="G384" s="2"/>
      <c r="J384" s="2"/>
      <c r="L384" s="2"/>
      <c r="M384" s="2"/>
      <c r="N384" s="2"/>
    </row>
    <row r="385" spans="4:14" ht="12.75" x14ac:dyDescent="0.35">
      <c r="D385" s="2"/>
      <c r="E385" s="2"/>
      <c r="F385" s="2"/>
      <c r="G385" s="2"/>
      <c r="J385" s="2"/>
      <c r="L385" s="2"/>
      <c r="M385" s="2"/>
      <c r="N385" s="2"/>
    </row>
    <row r="386" spans="4:14" ht="12.75" x14ac:dyDescent="0.35">
      <c r="D386" s="2"/>
      <c r="E386" s="2"/>
      <c r="F386" s="2"/>
      <c r="G386" s="2"/>
      <c r="J386" s="2"/>
      <c r="L386" s="2"/>
      <c r="M386" s="2"/>
      <c r="N386" s="2"/>
    </row>
    <row r="387" spans="4:14" ht="12.75" x14ac:dyDescent="0.35">
      <c r="D387" s="2"/>
      <c r="E387" s="2"/>
      <c r="F387" s="2"/>
      <c r="G387" s="2"/>
      <c r="J387" s="2"/>
      <c r="L387" s="2"/>
      <c r="M387" s="2"/>
      <c r="N387" s="2"/>
    </row>
    <row r="388" spans="4:14" ht="12.75" x14ac:dyDescent="0.35">
      <c r="D388" s="2"/>
      <c r="E388" s="2"/>
      <c r="F388" s="2"/>
      <c r="G388" s="2"/>
      <c r="J388" s="2"/>
      <c r="L388" s="2"/>
      <c r="M388" s="2"/>
      <c r="N388" s="2"/>
    </row>
    <row r="389" spans="4:14" ht="12.75" x14ac:dyDescent="0.35">
      <c r="D389" s="2"/>
      <c r="E389" s="2"/>
      <c r="F389" s="2"/>
      <c r="G389" s="2"/>
      <c r="J389" s="2"/>
      <c r="L389" s="2"/>
      <c r="M389" s="2"/>
      <c r="N389" s="2"/>
    </row>
    <row r="390" spans="4:14" ht="12.75" x14ac:dyDescent="0.35">
      <c r="D390" s="2"/>
      <c r="E390" s="2"/>
      <c r="F390" s="2"/>
      <c r="G390" s="2"/>
      <c r="J390" s="2"/>
      <c r="L390" s="2"/>
      <c r="M390" s="2"/>
      <c r="N390" s="2"/>
    </row>
    <row r="391" spans="4:14" ht="12.75" x14ac:dyDescent="0.35">
      <c r="D391" s="2"/>
      <c r="E391" s="2"/>
      <c r="F391" s="2"/>
      <c r="G391" s="2"/>
      <c r="J391" s="2"/>
      <c r="L391" s="2"/>
      <c r="M391" s="2"/>
      <c r="N391" s="2"/>
    </row>
    <row r="392" spans="4:14" ht="12.75" x14ac:dyDescent="0.35">
      <c r="D392" s="2"/>
      <c r="E392" s="2"/>
      <c r="F392" s="2"/>
      <c r="G392" s="2"/>
      <c r="J392" s="2"/>
      <c r="L392" s="2"/>
      <c r="M392" s="2"/>
      <c r="N392" s="2"/>
    </row>
    <row r="393" spans="4:14" ht="12.75" x14ac:dyDescent="0.35">
      <c r="D393" s="2"/>
      <c r="E393" s="2"/>
      <c r="F393" s="2"/>
      <c r="G393" s="2"/>
      <c r="J393" s="2"/>
      <c r="L393" s="2"/>
      <c r="M393" s="2"/>
      <c r="N393" s="2"/>
    </row>
    <row r="394" spans="4:14" ht="12.75" x14ac:dyDescent="0.35">
      <c r="D394" s="2"/>
      <c r="E394" s="2"/>
      <c r="F394" s="2"/>
      <c r="G394" s="2"/>
      <c r="J394" s="2"/>
      <c r="L394" s="2"/>
      <c r="M394" s="2"/>
      <c r="N394" s="2"/>
    </row>
    <row r="395" spans="4:14" ht="12.75" x14ac:dyDescent="0.35">
      <c r="D395" s="2"/>
      <c r="E395" s="2"/>
      <c r="F395" s="2"/>
      <c r="G395" s="2"/>
      <c r="J395" s="2"/>
      <c r="L395" s="2"/>
      <c r="M395" s="2"/>
      <c r="N395" s="2"/>
    </row>
    <row r="396" spans="4:14" ht="12.75" x14ac:dyDescent="0.35">
      <c r="D396" s="2"/>
      <c r="E396" s="2"/>
      <c r="F396" s="2"/>
      <c r="G396" s="2"/>
      <c r="J396" s="2"/>
      <c r="L396" s="2"/>
      <c r="M396" s="2"/>
      <c r="N396" s="2"/>
    </row>
    <row r="397" spans="4:14" ht="12.75" x14ac:dyDescent="0.35">
      <c r="D397" s="2"/>
      <c r="E397" s="2"/>
      <c r="F397" s="2"/>
      <c r="G397" s="2"/>
      <c r="J397" s="2"/>
      <c r="L397" s="2"/>
      <c r="M397" s="2"/>
      <c r="N397" s="2"/>
    </row>
    <row r="398" spans="4:14" ht="12.75" x14ac:dyDescent="0.35">
      <c r="D398" s="2"/>
      <c r="E398" s="2"/>
      <c r="F398" s="2"/>
      <c r="G398" s="2"/>
      <c r="J398" s="2"/>
      <c r="L398" s="2"/>
      <c r="M398" s="2"/>
      <c r="N398" s="2"/>
    </row>
    <row r="399" spans="4:14" ht="12.75" x14ac:dyDescent="0.35">
      <c r="D399" s="2"/>
      <c r="E399" s="2"/>
      <c r="F399" s="2"/>
      <c r="G399" s="2"/>
      <c r="J399" s="2"/>
      <c r="L399" s="2"/>
      <c r="M399" s="2"/>
      <c r="N399" s="2"/>
    </row>
    <row r="400" spans="4:14" ht="12.75" x14ac:dyDescent="0.35">
      <c r="D400" s="2"/>
      <c r="E400" s="2"/>
      <c r="F400" s="2"/>
      <c r="G400" s="2"/>
      <c r="J400" s="2"/>
      <c r="L400" s="2"/>
      <c r="M400" s="2"/>
      <c r="N400" s="2"/>
    </row>
    <row r="401" spans="4:14" ht="12.75" x14ac:dyDescent="0.35">
      <c r="D401" s="2"/>
      <c r="E401" s="2"/>
      <c r="F401" s="2"/>
      <c r="G401" s="2"/>
      <c r="J401" s="2"/>
      <c r="L401" s="2"/>
      <c r="M401" s="2"/>
      <c r="N401" s="2"/>
    </row>
    <row r="402" spans="4:14" ht="12.75" x14ac:dyDescent="0.35">
      <c r="D402" s="2"/>
      <c r="E402" s="2"/>
      <c r="F402" s="2"/>
      <c r="G402" s="2"/>
      <c r="J402" s="2"/>
      <c r="L402" s="2"/>
      <c r="M402" s="2"/>
      <c r="N402" s="2"/>
    </row>
    <row r="403" spans="4:14" ht="12.75" x14ac:dyDescent="0.35">
      <c r="D403" s="2"/>
      <c r="E403" s="2"/>
      <c r="F403" s="2"/>
      <c r="G403" s="2"/>
      <c r="J403" s="2"/>
      <c r="L403" s="2"/>
      <c r="M403" s="2"/>
      <c r="N403" s="2"/>
    </row>
    <row r="404" spans="4:14" ht="12.75" x14ac:dyDescent="0.35">
      <c r="D404" s="2"/>
      <c r="E404" s="2"/>
      <c r="F404" s="2"/>
      <c r="G404" s="2"/>
      <c r="J404" s="2"/>
      <c r="L404" s="2"/>
      <c r="M404" s="2"/>
      <c r="N404" s="2"/>
    </row>
    <row r="405" spans="4:14" ht="12.75" x14ac:dyDescent="0.35">
      <c r="D405" s="2"/>
      <c r="E405" s="2"/>
      <c r="F405" s="2"/>
      <c r="G405" s="2"/>
      <c r="J405" s="2"/>
      <c r="L405" s="2"/>
      <c r="M405" s="2"/>
      <c r="N405" s="2"/>
    </row>
    <row r="406" spans="4:14" ht="12.75" x14ac:dyDescent="0.35">
      <c r="D406" s="2"/>
      <c r="E406" s="2"/>
      <c r="F406" s="2"/>
      <c r="G406" s="2"/>
      <c r="J406" s="2"/>
      <c r="L406" s="2"/>
      <c r="M406" s="2"/>
      <c r="N406" s="2"/>
    </row>
    <row r="407" spans="4:14" ht="12.75" x14ac:dyDescent="0.35">
      <c r="D407" s="2"/>
      <c r="E407" s="2"/>
      <c r="F407" s="2"/>
      <c r="G407" s="2"/>
      <c r="J407" s="2"/>
      <c r="L407" s="2"/>
      <c r="M407" s="2"/>
      <c r="N407" s="2"/>
    </row>
    <row r="408" spans="4:14" ht="12.75" x14ac:dyDescent="0.35">
      <c r="D408" s="2"/>
      <c r="E408" s="2"/>
      <c r="F408" s="2"/>
      <c r="G408" s="2"/>
      <c r="J408" s="2"/>
      <c r="L408" s="2"/>
      <c r="M408" s="2"/>
      <c r="N408" s="2"/>
    </row>
    <row r="409" spans="4:14" ht="12.75" x14ac:dyDescent="0.35">
      <c r="D409" s="2"/>
      <c r="E409" s="2"/>
      <c r="F409" s="2"/>
      <c r="G409" s="2"/>
      <c r="J409" s="2"/>
      <c r="L409" s="2"/>
      <c r="M409" s="2"/>
      <c r="N409" s="2"/>
    </row>
    <row r="410" spans="4:14" ht="12.75" x14ac:dyDescent="0.35">
      <c r="D410" s="2"/>
      <c r="E410" s="2"/>
      <c r="F410" s="2"/>
      <c r="G410" s="2"/>
      <c r="J410" s="2"/>
      <c r="L410" s="2"/>
      <c r="M410" s="2"/>
      <c r="N410" s="2"/>
    </row>
    <row r="411" spans="4:14" ht="12.75" x14ac:dyDescent="0.35">
      <c r="D411" s="2"/>
      <c r="E411" s="2"/>
      <c r="F411" s="2"/>
      <c r="G411" s="2"/>
      <c r="J411" s="2"/>
      <c r="L411" s="2"/>
      <c r="M411" s="2"/>
      <c r="N411" s="2"/>
    </row>
    <row r="412" spans="4:14" ht="12.75" x14ac:dyDescent="0.35">
      <c r="D412" s="2"/>
      <c r="E412" s="2"/>
      <c r="F412" s="2"/>
      <c r="G412" s="2"/>
      <c r="J412" s="2"/>
      <c r="L412" s="2"/>
      <c r="M412" s="2"/>
      <c r="N412" s="2"/>
    </row>
    <row r="413" spans="4:14" ht="12.75" x14ac:dyDescent="0.35">
      <c r="D413" s="2"/>
      <c r="E413" s="2"/>
      <c r="F413" s="2"/>
      <c r="G413" s="2"/>
      <c r="J413" s="2"/>
      <c r="L413" s="2"/>
      <c r="M413" s="2"/>
      <c r="N413" s="2"/>
    </row>
    <row r="414" spans="4:14" ht="12.75" x14ac:dyDescent="0.35">
      <c r="D414" s="2"/>
      <c r="E414" s="2"/>
      <c r="F414" s="2"/>
      <c r="G414" s="2"/>
      <c r="J414" s="2"/>
      <c r="L414" s="2"/>
      <c r="M414" s="2"/>
      <c r="N414" s="2"/>
    </row>
    <row r="415" spans="4:14" ht="12.75" x14ac:dyDescent="0.35">
      <c r="D415" s="2"/>
      <c r="E415" s="2"/>
      <c r="F415" s="2"/>
      <c r="G415" s="2"/>
      <c r="J415" s="2"/>
      <c r="L415" s="2"/>
      <c r="M415" s="2"/>
      <c r="N415" s="2"/>
    </row>
    <row r="416" spans="4:14" ht="12.75" x14ac:dyDescent="0.35">
      <c r="D416" s="2"/>
      <c r="E416" s="2"/>
      <c r="F416" s="2"/>
      <c r="G416" s="2"/>
      <c r="J416" s="2"/>
      <c r="L416" s="2"/>
      <c r="M416" s="2"/>
      <c r="N416" s="2"/>
    </row>
    <row r="417" spans="4:14" ht="12.75" x14ac:dyDescent="0.35">
      <c r="D417" s="2"/>
      <c r="E417" s="2"/>
      <c r="F417" s="2"/>
      <c r="G417" s="2"/>
      <c r="J417" s="2"/>
      <c r="L417" s="2"/>
      <c r="M417" s="2"/>
      <c r="N417" s="2"/>
    </row>
    <row r="418" spans="4:14" ht="12.75" x14ac:dyDescent="0.35">
      <c r="D418" s="2"/>
      <c r="E418" s="2"/>
      <c r="F418" s="2"/>
      <c r="G418" s="2"/>
      <c r="J418" s="2"/>
      <c r="L418" s="2"/>
      <c r="M418" s="2"/>
      <c r="N418" s="2"/>
    </row>
    <row r="419" spans="4:14" ht="12.75" x14ac:dyDescent="0.35">
      <c r="D419" s="2"/>
      <c r="E419" s="2"/>
      <c r="F419" s="2"/>
      <c r="G419" s="2"/>
      <c r="J419" s="2"/>
      <c r="L419" s="2"/>
      <c r="M419" s="2"/>
      <c r="N419" s="2"/>
    </row>
    <row r="420" spans="4:14" ht="12.75" x14ac:dyDescent="0.35">
      <c r="D420" s="2"/>
      <c r="E420" s="2"/>
      <c r="F420" s="2"/>
      <c r="G420" s="2"/>
      <c r="J420" s="2"/>
      <c r="L420" s="2"/>
      <c r="M420" s="2"/>
      <c r="N420" s="2"/>
    </row>
    <row r="421" spans="4:14" ht="12.75" x14ac:dyDescent="0.35">
      <c r="D421" s="2"/>
      <c r="E421" s="2"/>
      <c r="F421" s="2"/>
      <c r="G421" s="2"/>
      <c r="J421" s="2"/>
      <c r="L421" s="2"/>
      <c r="M421" s="2"/>
      <c r="N421" s="2"/>
    </row>
    <row r="422" spans="4:14" ht="12.75" x14ac:dyDescent="0.35">
      <c r="D422" s="2"/>
      <c r="E422" s="2"/>
      <c r="F422" s="2"/>
      <c r="G422" s="2"/>
      <c r="J422" s="2"/>
      <c r="L422" s="2"/>
      <c r="M422" s="2"/>
      <c r="N422" s="2"/>
    </row>
    <row r="423" spans="4:14" ht="12.75" x14ac:dyDescent="0.35">
      <c r="D423" s="2"/>
      <c r="E423" s="2"/>
      <c r="F423" s="2"/>
      <c r="G423" s="2"/>
      <c r="J423" s="2"/>
      <c r="L423" s="2"/>
      <c r="M423" s="2"/>
      <c r="N423" s="2"/>
    </row>
    <row r="424" spans="4:14" ht="12.75" x14ac:dyDescent="0.35">
      <c r="D424" s="2"/>
      <c r="E424" s="2"/>
      <c r="F424" s="2"/>
      <c r="G424" s="2"/>
      <c r="J424" s="2"/>
      <c r="L424" s="2"/>
      <c r="M424" s="2"/>
      <c r="N424" s="2"/>
    </row>
    <row r="425" spans="4:14" ht="12.75" x14ac:dyDescent="0.35">
      <c r="D425" s="2"/>
      <c r="E425" s="2"/>
      <c r="F425" s="2"/>
      <c r="G425" s="2"/>
      <c r="J425" s="2"/>
      <c r="L425" s="2"/>
      <c r="M425" s="2"/>
      <c r="N425" s="2"/>
    </row>
    <row r="426" spans="4:14" ht="12.75" x14ac:dyDescent="0.35">
      <c r="D426" s="2"/>
      <c r="E426" s="2"/>
      <c r="F426" s="2"/>
      <c r="G426" s="2"/>
      <c r="J426" s="2"/>
      <c r="L426" s="2"/>
      <c r="M426" s="2"/>
      <c r="N426" s="2"/>
    </row>
    <row r="427" spans="4:14" ht="12.75" x14ac:dyDescent="0.35">
      <c r="D427" s="2"/>
      <c r="E427" s="2"/>
      <c r="F427" s="2"/>
      <c r="G427" s="2"/>
      <c r="J427" s="2"/>
      <c r="L427" s="2"/>
      <c r="M427" s="2"/>
      <c r="N427" s="2"/>
    </row>
    <row r="428" spans="4:14" ht="12.75" x14ac:dyDescent="0.35">
      <c r="D428" s="2"/>
      <c r="E428" s="2"/>
      <c r="F428" s="2"/>
      <c r="G428" s="2"/>
      <c r="J428" s="2"/>
      <c r="L428" s="2"/>
      <c r="M428" s="2"/>
      <c r="N428" s="2"/>
    </row>
    <row r="429" spans="4:14" ht="12.75" x14ac:dyDescent="0.35">
      <c r="D429" s="2"/>
      <c r="E429" s="2"/>
      <c r="F429" s="2"/>
      <c r="G429" s="2"/>
      <c r="J429" s="2"/>
      <c r="L429" s="2"/>
      <c r="M429" s="2"/>
      <c r="N429" s="2"/>
    </row>
    <row r="430" spans="4:14" ht="12.75" x14ac:dyDescent="0.35">
      <c r="D430" s="2"/>
      <c r="E430" s="2"/>
      <c r="F430" s="2"/>
      <c r="G430" s="2"/>
      <c r="J430" s="2"/>
      <c r="L430" s="2"/>
      <c r="M430" s="2"/>
      <c r="N430" s="2"/>
    </row>
    <row r="431" spans="4:14" ht="12.75" x14ac:dyDescent="0.35">
      <c r="D431" s="2"/>
      <c r="E431" s="2"/>
      <c r="F431" s="2"/>
      <c r="G431" s="2"/>
      <c r="J431" s="2"/>
      <c r="L431" s="2"/>
      <c r="M431" s="2"/>
      <c r="N431" s="2"/>
    </row>
    <row r="432" spans="4:14" ht="12.75" x14ac:dyDescent="0.35">
      <c r="D432" s="2"/>
      <c r="E432" s="2"/>
      <c r="F432" s="2"/>
      <c r="G432" s="2"/>
      <c r="J432" s="2"/>
      <c r="L432" s="2"/>
      <c r="M432" s="2"/>
      <c r="N432" s="2"/>
    </row>
    <row r="433" spans="4:14" ht="12.75" x14ac:dyDescent="0.35">
      <c r="D433" s="2"/>
      <c r="E433" s="2"/>
      <c r="F433" s="2"/>
      <c r="G433" s="2"/>
      <c r="J433" s="2"/>
      <c r="L433" s="2"/>
      <c r="M433" s="2"/>
      <c r="N433" s="2"/>
    </row>
    <row r="434" spans="4:14" ht="12.75" x14ac:dyDescent="0.35">
      <c r="D434" s="2"/>
      <c r="E434" s="2"/>
      <c r="F434" s="2"/>
      <c r="G434" s="2"/>
      <c r="J434" s="2"/>
      <c r="L434" s="2"/>
      <c r="M434" s="2"/>
      <c r="N434" s="2"/>
    </row>
    <row r="435" spans="4:14" ht="12.75" x14ac:dyDescent="0.35">
      <c r="D435" s="2"/>
      <c r="E435" s="2"/>
      <c r="F435" s="2"/>
      <c r="G435" s="2"/>
      <c r="J435" s="2"/>
      <c r="L435" s="2"/>
      <c r="M435" s="2"/>
      <c r="N435" s="2"/>
    </row>
    <row r="436" spans="4:14" ht="12.75" x14ac:dyDescent="0.35">
      <c r="D436" s="2"/>
      <c r="E436" s="2"/>
      <c r="F436" s="2"/>
      <c r="G436" s="2"/>
      <c r="J436" s="2"/>
      <c r="L436" s="2"/>
      <c r="M436" s="2"/>
      <c r="N436" s="2"/>
    </row>
    <row r="437" spans="4:14" ht="12.75" x14ac:dyDescent="0.35">
      <c r="D437" s="2"/>
      <c r="E437" s="2"/>
      <c r="F437" s="2"/>
      <c r="G437" s="2"/>
      <c r="J437" s="2"/>
      <c r="L437" s="2"/>
      <c r="M437" s="2"/>
      <c r="N437" s="2"/>
    </row>
    <row r="438" spans="4:14" ht="12.75" x14ac:dyDescent="0.35">
      <c r="D438" s="2"/>
      <c r="E438" s="2"/>
      <c r="F438" s="2"/>
      <c r="G438" s="2"/>
      <c r="J438" s="2"/>
      <c r="L438" s="2"/>
      <c r="M438" s="2"/>
      <c r="N438" s="2"/>
    </row>
    <row r="439" spans="4:14" ht="12.75" x14ac:dyDescent="0.35">
      <c r="D439" s="2"/>
      <c r="E439" s="2"/>
      <c r="F439" s="2"/>
      <c r="G439" s="2"/>
      <c r="J439" s="2"/>
      <c r="L439" s="2"/>
      <c r="M439" s="2"/>
      <c r="N439" s="2"/>
    </row>
    <row r="440" spans="4:14" ht="12.75" x14ac:dyDescent="0.35">
      <c r="D440" s="2"/>
      <c r="E440" s="2"/>
      <c r="F440" s="2"/>
      <c r="G440" s="2"/>
      <c r="J440" s="2"/>
      <c r="L440" s="2"/>
      <c r="M440" s="2"/>
      <c r="N440" s="2"/>
    </row>
    <row r="441" spans="4:14" ht="12.75" x14ac:dyDescent="0.35">
      <c r="D441" s="2"/>
      <c r="E441" s="2"/>
      <c r="F441" s="2"/>
      <c r="G441" s="2"/>
      <c r="J441" s="2"/>
      <c r="L441" s="2"/>
      <c r="M441" s="2"/>
      <c r="N441" s="2"/>
    </row>
    <row r="442" spans="4:14" ht="12.75" x14ac:dyDescent="0.35">
      <c r="D442" s="2"/>
      <c r="E442" s="2"/>
      <c r="F442" s="2"/>
      <c r="G442" s="2"/>
      <c r="J442" s="2"/>
      <c r="L442" s="2"/>
      <c r="M442" s="2"/>
      <c r="N442" s="2"/>
    </row>
    <row r="443" spans="4:14" ht="12.75" x14ac:dyDescent="0.35">
      <c r="D443" s="2"/>
      <c r="E443" s="2"/>
      <c r="F443" s="2"/>
      <c r="G443" s="2"/>
      <c r="J443" s="2"/>
      <c r="L443" s="2"/>
      <c r="M443" s="2"/>
      <c r="N443" s="2"/>
    </row>
    <row r="444" spans="4:14" ht="12.75" x14ac:dyDescent="0.35">
      <c r="D444" s="2"/>
      <c r="E444" s="2"/>
      <c r="F444" s="2"/>
      <c r="G444" s="2"/>
      <c r="J444" s="2"/>
      <c r="L444" s="2"/>
      <c r="M444" s="2"/>
      <c r="N444" s="2"/>
    </row>
    <row r="445" spans="4:14" ht="12.75" x14ac:dyDescent="0.35">
      <c r="D445" s="2"/>
      <c r="E445" s="2"/>
      <c r="F445" s="2"/>
      <c r="G445" s="2"/>
      <c r="J445" s="2"/>
      <c r="L445" s="2"/>
      <c r="M445" s="2"/>
      <c r="N445" s="2"/>
    </row>
    <row r="446" spans="4:14" ht="12.75" x14ac:dyDescent="0.35">
      <c r="D446" s="2"/>
      <c r="E446" s="2"/>
      <c r="F446" s="2"/>
      <c r="G446" s="2"/>
      <c r="J446" s="2"/>
      <c r="L446" s="2"/>
      <c r="M446" s="2"/>
      <c r="N446" s="2"/>
    </row>
    <row r="447" spans="4:14" ht="12.75" x14ac:dyDescent="0.35">
      <c r="D447" s="2"/>
      <c r="E447" s="2"/>
      <c r="F447" s="2"/>
      <c r="G447" s="2"/>
      <c r="J447" s="2"/>
      <c r="L447" s="2"/>
      <c r="M447" s="2"/>
      <c r="N447" s="2"/>
    </row>
    <row r="448" spans="4:14" ht="12.75" x14ac:dyDescent="0.35">
      <c r="D448" s="2"/>
      <c r="E448" s="2"/>
      <c r="F448" s="2"/>
      <c r="G448" s="2"/>
      <c r="J448" s="2"/>
      <c r="L448" s="2"/>
      <c r="M448" s="2"/>
      <c r="N448" s="2"/>
    </row>
    <row r="449" spans="4:14" ht="12.75" x14ac:dyDescent="0.35">
      <c r="D449" s="2"/>
      <c r="E449" s="2"/>
      <c r="F449" s="2"/>
      <c r="G449" s="2"/>
      <c r="J449" s="2"/>
      <c r="L449" s="2"/>
      <c r="M449" s="2"/>
      <c r="N449" s="2"/>
    </row>
    <row r="450" spans="4:14" ht="12.75" x14ac:dyDescent="0.35">
      <c r="D450" s="2"/>
      <c r="E450" s="2"/>
      <c r="F450" s="2"/>
      <c r="G450" s="2"/>
      <c r="J450" s="2"/>
      <c r="L450" s="2"/>
      <c r="M450" s="2"/>
      <c r="N450" s="2"/>
    </row>
    <row r="451" spans="4:14" ht="12.75" x14ac:dyDescent="0.35">
      <c r="D451" s="2"/>
      <c r="E451" s="2"/>
      <c r="F451" s="2"/>
      <c r="G451" s="2"/>
      <c r="J451" s="2"/>
      <c r="L451" s="2"/>
      <c r="M451" s="2"/>
      <c r="N451" s="2"/>
    </row>
    <row r="452" spans="4:14" ht="12.75" x14ac:dyDescent="0.35">
      <c r="D452" s="2"/>
      <c r="E452" s="2"/>
      <c r="F452" s="2"/>
      <c r="G452" s="2"/>
      <c r="J452" s="2"/>
      <c r="L452" s="2"/>
      <c r="M452" s="2"/>
      <c r="N452" s="2"/>
    </row>
    <row r="453" spans="4:14" ht="12.75" x14ac:dyDescent="0.35">
      <c r="D453" s="2"/>
      <c r="E453" s="2"/>
      <c r="F453" s="2"/>
      <c r="G453" s="2"/>
      <c r="J453" s="2"/>
      <c r="L453" s="2"/>
      <c r="M453" s="2"/>
      <c r="N453" s="2"/>
    </row>
    <row r="454" spans="4:14" ht="12.75" x14ac:dyDescent="0.35">
      <c r="D454" s="2"/>
      <c r="E454" s="2"/>
      <c r="F454" s="2"/>
      <c r="G454" s="2"/>
      <c r="J454" s="2"/>
      <c r="L454" s="2"/>
      <c r="M454" s="2"/>
      <c r="N454" s="2"/>
    </row>
    <row r="455" spans="4:14" ht="12.75" x14ac:dyDescent="0.35">
      <c r="D455" s="2"/>
      <c r="E455" s="2"/>
      <c r="F455" s="2"/>
      <c r="G455" s="2"/>
      <c r="J455" s="2"/>
      <c r="L455" s="2"/>
      <c r="M455" s="2"/>
      <c r="N455" s="2"/>
    </row>
    <row r="456" spans="4:14" ht="12.75" x14ac:dyDescent="0.35">
      <c r="D456" s="2"/>
      <c r="E456" s="2"/>
      <c r="F456" s="2"/>
      <c r="G456" s="2"/>
      <c r="J456" s="2"/>
      <c r="L456" s="2"/>
      <c r="M456" s="2"/>
      <c r="N456" s="2"/>
    </row>
    <row r="457" spans="4:14" ht="12.75" x14ac:dyDescent="0.35">
      <c r="D457" s="2"/>
      <c r="E457" s="2"/>
      <c r="F457" s="2"/>
      <c r="G457" s="2"/>
      <c r="J457" s="2"/>
      <c r="L457" s="2"/>
      <c r="M457" s="2"/>
      <c r="N457" s="2"/>
    </row>
    <row r="458" spans="4:14" ht="12.75" x14ac:dyDescent="0.35">
      <c r="D458" s="2"/>
      <c r="E458" s="2"/>
      <c r="F458" s="2"/>
      <c r="G458" s="2"/>
      <c r="J458" s="2"/>
      <c r="L458" s="2"/>
      <c r="M458" s="2"/>
      <c r="N458" s="2"/>
    </row>
    <row r="459" spans="4:14" ht="12.75" x14ac:dyDescent="0.35">
      <c r="D459" s="2"/>
      <c r="E459" s="2"/>
      <c r="F459" s="2"/>
      <c r="G459" s="2"/>
      <c r="J459" s="2"/>
      <c r="L459" s="2"/>
      <c r="M459" s="2"/>
      <c r="N459" s="2"/>
    </row>
    <row r="460" spans="4:14" ht="12.75" x14ac:dyDescent="0.35">
      <c r="D460" s="2"/>
      <c r="E460" s="2"/>
      <c r="F460" s="2"/>
      <c r="G460" s="2"/>
      <c r="J460" s="2"/>
      <c r="L460" s="2"/>
      <c r="M460" s="2"/>
      <c r="N460" s="2"/>
    </row>
    <row r="461" spans="4:14" ht="12.75" x14ac:dyDescent="0.35">
      <c r="D461" s="2"/>
      <c r="E461" s="2"/>
      <c r="F461" s="2"/>
      <c r="G461" s="2"/>
      <c r="J461" s="2"/>
      <c r="L461" s="2"/>
      <c r="M461" s="2"/>
      <c r="N461" s="2"/>
    </row>
    <row r="462" spans="4:14" ht="12.75" x14ac:dyDescent="0.35">
      <c r="D462" s="2"/>
      <c r="E462" s="2"/>
      <c r="F462" s="2"/>
      <c r="G462" s="2"/>
      <c r="J462" s="2"/>
      <c r="L462" s="2"/>
      <c r="M462" s="2"/>
      <c r="N462" s="2"/>
    </row>
    <row r="463" spans="4:14" ht="12.75" x14ac:dyDescent="0.35">
      <c r="D463" s="2"/>
      <c r="E463" s="2"/>
      <c r="F463" s="2"/>
      <c r="G463" s="2"/>
      <c r="J463" s="2"/>
      <c r="L463" s="2"/>
      <c r="M463" s="2"/>
      <c r="N463" s="2"/>
    </row>
    <row r="464" spans="4:14" ht="12.75" x14ac:dyDescent="0.35">
      <c r="D464" s="2"/>
      <c r="E464" s="2"/>
      <c r="F464" s="2"/>
      <c r="G464" s="2"/>
      <c r="J464" s="2"/>
      <c r="L464" s="2"/>
      <c r="M464" s="2"/>
      <c r="N464" s="2"/>
    </row>
    <row r="465" spans="4:14" ht="12.75" x14ac:dyDescent="0.35">
      <c r="D465" s="2"/>
      <c r="E465" s="2"/>
      <c r="F465" s="2"/>
      <c r="G465" s="2"/>
      <c r="J465" s="2"/>
      <c r="L465" s="2"/>
      <c r="M465" s="2"/>
      <c r="N465" s="2"/>
    </row>
    <row r="466" spans="4:14" ht="12.75" x14ac:dyDescent="0.35">
      <c r="D466" s="2"/>
      <c r="E466" s="2"/>
      <c r="F466" s="2"/>
      <c r="G466" s="2"/>
      <c r="J466" s="2"/>
      <c r="L466" s="2"/>
      <c r="M466" s="2"/>
      <c r="N466" s="2"/>
    </row>
    <row r="467" spans="4:14" ht="12.75" x14ac:dyDescent="0.35">
      <c r="D467" s="2"/>
      <c r="E467" s="2"/>
      <c r="F467" s="2"/>
      <c r="G467" s="2"/>
      <c r="J467" s="2"/>
      <c r="L467" s="2"/>
      <c r="M467" s="2"/>
      <c r="N467" s="2"/>
    </row>
    <row r="468" spans="4:14" ht="12.75" x14ac:dyDescent="0.35">
      <c r="D468" s="2"/>
      <c r="E468" s="2"/>
      <c r="F468" s="2"/>
      <c r="G468" s="2"/>
      <c r="J468" s="2"/>
      <c r="L468" s="2"/>
      <c r="M468" s="2"/>
      <c r="N468" s="2"/>
    </row>
    <row r="469" spans="4:14" ht="12.75" x14ac:dyDescent="0.35">
      <c r="D469" s="2"/>
      <c r="E469" s="2"/>
      <c r="F469" s="2"/>
      <c r="G469" s="2"/>
      <c r="J469" s="2"/>
      <c r="L469" s="2"/>
      <c r="M469" s="2"/>
      <c r="N469" s="2"/>
    </row>
    <row r="470" spans="4:14" ht="12.75" x14ac:dyDescent="0.35">
      <c r="D470" s="2"/>
      <c r="E470" s="2"/>
      <c r="F470" s="2"/>
      <c r="G470" s="2"/>
      <c r="J470" s="2"/>
      <c r="L470" s="2"/>
      <c r="M470" s="2"/>
      <c r="N470" s="2"/>
    </row>
    <row r="471" spans="4:14" ht="12.75" x14ac:dyDescent="0.35">
      <c r="D471" s="2"/>
      <c r="E471" s="2"/>
      <c r="F471" s="2"/>
      <c r="G471" s="2"/>
      <c r="J471" s="2"/>
      <c r="L471" s="2"/>
      <c r="M471" s="2"/>
      <c r="N471" s="2"/>
    </row>
    <row r="472" spans="4:14" ht="12.75" x14ac:dyDescent="0.35">
      <c r="D472" s="2"/>
      <c r="E472" s="2"/>
      <c r="F472" s="2"/>
      <c r="G472" s="2"/>
      <c r="J472" s="2"/>
      <c r="L472" s="2"/>
      <c r="M472" s="2"/>
      <c r="N472" s="2"/>
    </row>
    <row r="473" spans="4:14" ht="12.75" x14ac:dyDescent="0.35">
      <c r="D473" s="2"/>
      <c r="E473" s="2"/>
      <c r="F473" s="2"/>
      <c r="G473" s="2"/>
      <c r="J473" s="2"/>
      <c r="L473" s="2"/>
      <c r="M473" s="2"/>
      <c r="N473" s="2"/>
    </row>
    <row r="474" spans="4:14" ht="12.75" x14ac:dyDescent="0.35">
      <c r="D474" s="2"/>
      <c r="E474" s="2"/>
      <c r="F474" s="2"/>
      <c r="G474" s="2"/>
      <c r="J474" s="2"/>
      <c r="L474" s="2"/>
      <c r="M474" s="2"/>
      <c r="N474" s="2"/>
    </row>
    <row r="475" spans="4:14" ht="12.75" x14ac:dyDescent="0.35">
      <c r="D475" s="2"/>
      <c r="E475" s="2"/>
      <c r="F475" s="2"/>
      <c r="G475" s="2"/>
      <c r="J475" s="2"/>
      <c r="L475" s="2"/>
      <c r="M475" s="2"/>
      <c r="N475" s="2"/>
    </row>
    <row r="476" spans="4:14" ht="12.75" x14ac:dyDescent="0.35">
      <c r="D476" s="2"/>
      <c r="E476" s="2"/>
      <c r="F476" s="2"/>
      <c r="G476" s="2"/>
      <c r="J476" s="2"/>
      <c r="L476" s="2"/>
      <c r="M476" s="2"/>
      <c r="N476" s="2"/>
    </row>
    <row r="477" spans="4:14" ht="12.75" x14ac:dyDescent="0.35">
      <c r="D477" s="2"/>
      <c r="E477" s="2"/>
      <c r="F477" s="2"/>
      <c r="G477" s="2"/>
      <c r="J477" s="2"/>
      <c r="L477" s="2"/>
      <c r="M477" s="2"/>
      <c r="N477" s="2"/>
    </row>
    <row r="478" spans="4:14" ht="12.75" x14ac:dyDescent="0.35">
      <c r="D478" s="2"/>
      <c r="E478" s="2"/>
      <c r="F478" s="2"/>
      <c r="G478" s="2"/>
      <c r="J478" s="2"/>
      <c r="L478" s="2"/>
      <c r="M478" s="2"/>
      <c r="N478" s="2"/>
    </row>
    <row r="479" spans="4:14" ht="12.75" x14ac:dyDescent="0.35">
      <c r="D479" s="2"/>
      <c r="E479" s="2"/>
      <c r="F479" s="2"/>
      <c r="G479" s="2"/>
      <c r="J479" s="2"/>
      <c r="L479" s="2"/>
      <c r="M479" s="2"/>
      <c r="N479" s="2"/>
    </row>
    <row r="480" spans="4:14" ht="12.75" x14ac:dyDescent="0.35">
      <c r="D480" s="2"/>
      <c r="E480" s="2"/>
      <c r="F480" s="2"/>
      <c r="G480" s="2"/>
      <c r="J480" s="2"/>
      <c r="L480" s="2"/>
      <c r="M480" s="2"/>
      <c r="N480" s="2"/>
    </row>
    <row r="481" spans="4:14" ht="12.75" x14ac:dyDescent="0.35">
      <c r="D481" s="2"/>
      <c r="E481" s="2"/>
      <c r="F481" s="2"/>
      <c r="G481" s="2"/>
      <c r="J481" s="2"/>
      <c r="L481" s="2"/>
      <c r="M481" s="2"/>
      <c r="N481" s="2"/>
    </row>
    <row r="482" spans="4:14" ht="12.75" x14ac:dyDescent="0.35">
      <c r="D482" s="2"/>
      <c r="E482" s="2"/>
      <c r="F482" s="2"/>
      <c r="G482" s="2"/>
      <c r="J482" s="2"/>
      <c r="L482" s="2"/>
      <c r="M482" s="2"/>
      <c r="N482" s="2"/>
    </row>
    <row r="483" spans="4:14" ht="12.75" x14ac:dyDescent="0.35">
      <c r="D483" s="2"/>
      <c r="E483" s="2"/>
      <c r="F483" s="2"/>
      <c r="G483" s="2"/>
      <c r="J483" s="2"/>
      <c r="L483" s="2"/>
      <c r="M483" s="2"/>
      <c r="N483" s="2"/>
    </row>
    <row r="484" spans="4:14" ht="12.75" x14ac:dyDescent="0.35">
      <c r="D484" s="2"/>
      <c r="E484" s="2"/>
      <c r="F484" s="2"/>
      <c r="G484" s="2"/>
      <c r="J484" s="2"/>
      <c r="L484" s="2"/>
      <c r="M484" s="2"/>
      <c r="N484" s="2"/>
    </row>
    <row r="485" spans="4:14" ht="12.75" x14ac:dyDescent="0.35">
      <c r="D485" s="2"/>
      <c r="E485" s="2"/>
      <c r="F485" s="2"/>
      <c r="G485" s="2"/>
      <c r="J485" s="2"/>
      <c r="L485" s="2"/>
      <c r="M485" s="2"/>
      <c r="N485" s="2"/>
    </row>
    <row r="486" spans="4:14" ht="12.75" x14ac:dyDescent="0.35">
      <c r="D486" s="2"/>
      <c r="E486" s="2"/>
      <c r="F486" s="2"/>
      <c r="G486" s="2"/>
      <c r="J486" s="2"/>
      <c r="L486" s="2"/>
      <c r="M486" s="2"/>
      <c r="N486" s="2"/>
    </row>
    <row r="487" spans="4:14" ht="12.75" x14ac:dyDescent="0.35">
      <c r="D487" s="2"/>
      <c r="E487" s="2"/>
      <c r="F487" s="2"/>
      <c r="G487" s="2"/>
      <c r="J487" s="2"/>
      <c r="L487" s="2"/>
      <c r="M487" s="2"/>
      <c r="N487" s="2"/>
    </row>
    <row r="488" spans="4:14" ht="12.75" x14ac:dyDescent="0.35">
      <c r="D488" s="2"/>
      <c r="E488" s="2"/>
      <c r="F488" s="2"/>
      <c r="G488" s="2"/>
      <c r="J488" s="2"/>
      <c r="L488" s="2"/>
      <c r="M488" s="2"/>
      <c r="N488" s="2"/>
    </row>
    <row r="489" spans="4:14" ht="12.75" x14ac:dyDescent="0.35">
      <c r="D489" s="2"/>
      <c r="E489" s="2"/>
      <c r="F489" s="2"/>
      <c r="G489" s="2"/>
      <c r="J489" s="2"/>
      <c r="L489" s="2"/>
      <c r="M489" s="2"/>
      <c r="N489" s="2"/>
    </row>
    <row r="490" spans="4:14" ht="12.75" x14ac:dyDescent="0.35">
      <c r="D490" s="2"/>
      <c r="E490" s="2"/>
      <c r="F490" s="2"/>
      <c r="G490" s="2"/>
      <c r="J490" s="2"/>
      <c r="L490" s="2"/>
      <c r="M490" s="2"/>
      <c r="N490" s="2"/>
    </row>
    <row r="491" spans="4:14" ht="12.75" x14ac:dyDescent="0.35">
      <c r="D491" s="2"/>
      <c r="E491" s="2"/>
      <c r="F491" s="2"/>
      <c r="G491" s="2"/>
      <c r="J491" s="2"/>
      <c r="L491" s="2"/>
      <c r="M491" s="2"/>
      <c r="N491" s="2"/>
    </row>
    <row r="492" spans="4:14" ht="12.75" x14ac:dyDescent="0.35">
      <c r="D492" s="2"/>
      <c r="E492" s="2"/>
      <c r="F492" s="2"/>
      <c r="G492" s="2"/>
      <c r="J492" s="2"/>
      <c r="L492" s="2"/>
      <c r="M492" s="2"/>
      <c r="N492" s="2"/>
    </row>
    <row r="493" spans="4:14" ht="12.75" x14ac:dyDescent="0.35">
      <c r="D493" s="2"/>
      <c r="E493" s="2"/>
      <c r="F493" s="2"/>
      <c r="G493" s="2"/>
      <c r="J493" s="2"/>
      <c r="L493" s="2"/>
      <c r="M493" s="2"/>
      <c r="N493" s="2"/>
    </row>
    <row r="494" spans="4:14" ht="12.75" x14ac:dyDescent="0.35">
      <c r="D494" s="2"/>
      <c r="E494" s="2"/>
      <c r="F494" s="2"/>
      <c r="G494" s="2"/>
      <c r="J494" s="2"/>
      <c r="L494" s="2"/>
      <c r="M494" s="2"/>
      <c r="N494" s="2"/>
    </row>
    <row r="495" spans="4:14" ht="12.75" x14ac:dyDescent="0.35">
      <c r="D495" s="2"/>
      <c r="E495" s="2"/>
      <c r="F495" s="2"/>
      <c r="G495" s="2"/>
      <c r="J495" s="2"/>
      <c r="L495" s="2"/>
      <c r="M495" s="2"/>
      <c r="N495" s="2"/>
    </row>
    <row r="496" spans="4:14" ht="12.75" x14ac:dyDescent="0.35">
      <c r="D496" s="2"/>
      <c r="E496" s="2"/>
      <c r="F496" s="2"/>
      <c r="G496" s="2"/>
      <c r="J496" s="2"/>
      <c r="L496" s="2"/>
      <c r="M496" s="2"/>
      <c r="N496" s="2"/>
    </row>
    <row r="497" spans="4:14" ht="12.75" x14ac:dyDescent="0.35">
      <c r="D497" s="2"/>
      <c r="E497" s="2"/>
      <c r="F497" s="2"/>
      <c r="G497" s="2"/>
      <c r="J497" s="2"/>
      <c r="L497" s="2"/>
      <c r="M497" s="2"/>
      <c r="N497" s="2"/>
    </row>
    <row r="498" spans="4:14" ht="12.75" x14ac:dyDescent="0.35">
      <c r="D498" s="2"/>
      <c r="E498" s="2"/>
      <c r="F498" s="2"/>
      <c r="G498" s="2"/>
      <c r="J498" s="2"/>
      <c r="L498" s="2"/>
      <c r="M498" s="2"/>
      <c r="N498" s="2"/>
    </row>
    <row r="499" spans="4:14" ht="12.75" x14ac:dyDescent="0.35">
      <c r="D499" s="2"/>
      <c r="E499" s="2"/>
      <c r="F499" s="2"/>
      <c r="G499" s="2"/>
      <c r="J499" s="2"/>
      <c r="L499" s="2"/>
      <c r="M499" s="2"/>
      <c r="N499" s="2"/>
    </row>
    <row r="500" spans="4:14" ht="12.75" x14ac:dyDescent="0.35">
      <c r="D500" s="2"/>
      <c r="E500" s="2"/>
      <c r="F500" s="2"/>
      <c r="G500" s="2"/>
      <c r="J500" s="2"/>
      <c r="L500" s="2"/>
      <c r="M500" s="2"/>
      <c r="N500" s="2"/>
    </row>
    <row r="501" spans="4:14" ht="12.75" x14ac:dyDescent="0.35">
      <c r="D501" s="2"/>
      <c r="E501" s="2"/>
      <c r="F501" s="2"/>
      <c r="G501" s="2"/>
      <c r="J501" s="2"/>
      <c r="L501" s="2"/>
      <c r="M501" s="2"/>
      <c r="N501" s="2"/>
    </row>
    <row r="502" spans="4:14" ht="12.75" x14ac:dyDescent="0.35">
      <c r="D502" s="2"/>
      <c r="E502" s="2"/>
      <c r="F502" s="2"/>
      <c r="G502" s="2"/>
      <c r="J502" s="2"/>
      <c r="L502" s="2"/>
      <c r="M502" s="2"/>
      <c r="N502" s="2"/>
    </row>
    <row r="503" spans="4:14" ht="12.75" x14ac:dyDescent="0.35">
      <c r="D503" s="2"/>
      <c r="E503" s="2"/>
      <c r="F503" s="2"/>
      <c r="G503" s="2"/>
      <c r="J503" s="2"/>
      <c r="L503" s="2"/>
      <c r="M503" s="2"/>
      <c r="N503" s="2"/>
    </row>
    <row r="504" spans="4:14" ht="12.75" x14ac:dyDescent="0.35">
      <c r="D504" s="2"/>
      <c r="E504" s="2"/>
      <c r="F504" s="2"/>
      <c r="G504" s="2"/>
      <c r="J504" s="2"/>
      <c r="L504" s="2"/>
      <c r="M504" s="2"/>
      <c r="N504" s="2"/>
    </row>
    <row r="505" spans="4:14" ht="12.75" x14ac:dyDescent="0.35">
      <c r="D505" s="2"/>
      <c r="E505" s="2"/>
      <c r="F505" s="2"/>
      <c r="G505" s="2"/>
      <c r="J505" s="2"/>
      <c r="L505" s="2"/>
      <c r="M505" s="2"/>
      <c r="N505" s="2"/>
    </row>
    <row r="506" spans="4:14" ht="12.75" x14ac:dyDescent="0.35">
      <c r="D506" s="2"/>
      <c r="E506" s="2"/>
      <c r="F506" s="2"/>
      <c r="G506" s="2"/>
      <c r="J506" s="2"/>
      <c r="L506" s="2"/>
      <c r="M506" s="2"/>
      <c r="N506" s="2"/>
    </row>
    <row r="507" spans="4:14" ht="12.75" x14ac:dyDescent="0.35">
      <c r="D507" s="2"/>
      <c r="E507" s="2"/>
      <c r="F507" s="2"/>
      <c r="G507" s="2"/>
      <c r="J507" s="2"/>
      <c r="L507" s="2"/>
      <c r="M507" s="2"/>
      <c r="N507" s="2"/>
    </row>
    <row r="508" spans="4:14" ht="12.75" x14ac:dyDescent="0.35">
      <c r="D508" s="2"/>
      <c r="E508" s="2"/>
      <c r="F508" s="2"/>
      <c r="G508" s="2"/>
      <c r="J508" s="2"/>
      <c r="L508" s="2"/>
      <c r="M508" s="2"/>
      <c r="N508" s="2"/>
    </row>
    <row r="509" spans="4:14" ht="12.75" x14ac:dyDescent="0.35">
      <c r="D509" s="2"/>
      <c r="E509" s="2"/>
      <c r="F509" s="2"/>
      <c r="G509" s="2"/>
      <c r="J509" s="2"/>
      <c r="L509" s="2"/>
      <c r="M509" s="2"/>
      <c r="N509" s="2"/>
    </row>
    <row r="510" spans="4:14" ht="12.75" x14ac:dyDescent="0.35">
      <c r="D510" s="2"/>
      <c r="E510" s="2"/>
      <c r="F510" s="2"/>
      <c r="G510" s="2"/>
      <c r="J510" s="2"/>
      <c r="L510" s="2"/>
      <c r="M510" s="2"/>
      <c r="N510" s="2"/>
    </row>
    <row r="511" spans="4:14" ht="12.75" x14ac:dyDescent="0.35">
      <c r="D511" s="2"/>
      <c r="E511" s="2"/>
      <c r="F511" s="2"/>
      <c r="G511" s="2"/>
      <c r="J511" s="2"/>
      <c r="L511" s="2"/>
      <c r="M511" s="2"/>
      <c r="N511" s="2"/>
    </row>
    <row r="512" spans="4:14" ht="12.75" x14ac:dyDescent="0.35">
      <c r="D512" s="2"/>
      <c r="E512" s="2"/>
      <c r="F512" s="2"/>
      <c r="G512" s="2"/>
      <c r="J512" s="2"/>
      <c r="L512" s="2"/>
      <c r="M512" s="2"/>
      <c r="N512" s="2"/>
    </row>
    <row r="513" spans="4:14" ht="12.75" x14ac:dyDescent="0.35">
      <c r="D513" s="2"/>
      <c r="E513" s="2"/>
      <c r="F513" s="2"/>
      <c r="G513" s="2"/>
      <c r="J513" s="2"/>
      <c r="L513" s="2"/>
      <c r="M513" s="2"/>
      <c r="N513" s="2"/>
    </row>
    <row r="514" spans="4:14" ht="12.75" x14ac:dyDescent="0.35">
      <c r="D514" s="2"/>
      <c r="E514" s="2"/>
      <c r="F514" s="2"/>
      <c r="G514" s="2"/>
      <c r="J514" s="2"/>
      <c r="L514" s="2"/>
      <c r="M514" s="2"/>
      <c r="N514" s="2"/>
    </row>
    <row r="515" spans="4:14" ht="12.75" x14ac:dyDescent="0.35">
      <c r="D515" s="2"/>
      <c r="E515" s="2"/>
      <c r="F515" s="2"/>
      <c r="G515" s="2"/>
      <c r="J515" s="2"/>
      <c r="L515" s="2"/>
      <c r="M515" s="2"/>
      <c r="N515" s="2"/>
    </row>
    <row r="516" spans="4:14" ht="12.75" x14ac:dyDescent="0.35">
      <c r="D516" s="2"/>
      <c r="E516" s="2"/>
      <c r="F516" s="2"/>
      <c r="G516" s="2"/>
      <c r="J516" s="2"/>
      <c r="L516" s="2"/>
      <c r="M516" s="2"/>
      <c r="N516" s="2"/>
    </row>
    <row r="517" spans="4:14" ht="12.75" x14ac:dyDescent="0.35">
      <c r="D517" s="2"/>
      <c r="E517" s="2"/>
      <c r="F517" s="2"/>
      <c r="G517" s="2"/>
      <c r="J517" s="2"/>
      <c r="L517" s="2"/>
      <c r="M517" s="2"/>
      <c r="N517" s="2"/>
    </row>
    <row r="518" spans="4:14" ht="12.75" x14ac:dyDescent="0.35">
      <c r="D518" s="2"/>
      <c r="E518" s="2"/>
      <c r="F518" s="2"/>
      <c r="G518" s="2"/>
      <c r="J518" s="2"/>
      <c r="L518" s="2"/>
      <c r="M518" s="2"/>
      <c r="N518" s="2"/>
    </row>
    <row r="519" spans="4:14" ht="12.75" x14ac:dyDescent="0.35">
      <c r="D519" s="2"/>
      <c r="E519" s="2"/>
      <c r="F519" s="2"/>
      <c r="G519" s="2"/>
      <c r="J519" s="2"/>
      <c r="L519" s="2"/>
      <c r="M519" s="2"/>
      <c r="N519" s="2"/>
    </row>
    <row r="520" spans="4:14" ht="12.75" x14ac:dyDescent="0.35">
      <c r="D520" s="2"/>
      <c r="E520" s="2"/>
      <c r="F520" s="2"/>
      <c r="G520" s="2"/>
      <c r="J520" s="2"/>
      <c r="L520" s="2"/>
      <c r="M520" s="2"/>
      <c r="N520" s="2"/>
    </row>
    <row r="521" spans="4:14" ht="12.75" x14ac:dyDescent="0.35">
      <c r="D521" s="2"/>
      <c r="E521" s="2"/>
      <c r="F521" s="2"/>
      <c r="G521" s="2"/>
      <c r="J521" s="2"/>
      <c r="L521" s="2"/>
      <c r="M521" s="2"/>
      <c r="N521" s="2"/>
    </row>
    <row r="522" spans="4:14" ht="12.75" x14ac:dyDescent="0.35">
      <c r="D522" s="2"/>
      <c r="E522" s="2"/>
      <c r="F522" s="2"/>
      <c r="G522" s="2"/>
      <c r="J522" s="2"/>
      <c r="L522" s="2"/>
      <c r="M522" s="2"/>
      <c r="N522" s="2"/>
    </row>
    <row r="523" spans="4:14" ht="12.75" x14ac:dyDescent="0.35">
      <c r="D523" s="2"/>
      <c r="E523" s="2"/>
      <c r="F523" s="2"/>
      <c r="G523" s="2"/>
      <c r="J523" s="2"/>
      <c r="L523" s="2"/>
      <c r="M523" s="2"/>
      <c r="N523" s="2"/>
    </row>
    <row r="524" spans="4:14" ht="12.75" x14ac:dyDescent="0.35">
      <c r="D524" s="2"/>
      <c r="E524" s="2"/>
      <c r="F524" s="2"/>
      <c r="G524" s="2"/>
      <c r="J524" s="2"/>
      <c r="L524" s="2"/>
      <c r="M524" s="2"/>
      <c r="N524" s="2"/>
    </row>
    <row r="525" spans="4:14" ht="12.75" x14ac:dyDescent="0.35">
      <c r="D525" s="2"/>
      <c r="E525" s="2"/>
      <c r="F525" s="2"/>
      <c r="G525" s="2"/>
      <c r="J525" s="2"/>
      <c r="L525" s="2"/>
      <c r="M525" s="2"/>
      <c r="N525" s="2"/>
    </row>
    <row r="526" spans="4:14" ht="12.75" x14ac:dyDescent="0.35">
      <c r="D526" s="2"/>
      <c r="E526" s="2"/>
      <c r="F526" s="2"/>
      <c r="G526" s="2"/>
      <c r="J526" s="2"/>
      <c r="L526" s="2"/>
      <c r="M526" s="2"/>
      <c r="N526" s="2"/>
    </row>
    <row r="527" spans="4:14" ht="12.75" x14ac:dyDescent="0.35">
      <c r="D527" s="2"/>
      <c r="E527" s="2"/>
      <c r="F527" s="2"/>
      <c r="G527" s="2"/>
      <c r="J527" s="2"/>
      <c r="L527" s="2"/>
      <c r="M527" s="2"/>
      <c r="N527" s="2"/>
    </row>
    <row r="528" spans="4:14" ht="12.75" x14ac:dyDescent="0.35">
      <c r="D528" s="2"/>
      <c r="E528" s="2"/>
      <c r="F528" s="2"/>
      <c r="G528" s="2"/>
      <c r="J528" s="2"/>
      <c r="L528" s="2"/>
      <c r="M528" s="2"/>
      <c r="N528" s="2"/>
    </row>
    <row r="529" spans="4:14" ht="12.75" x14ac:dyDescent="0.35">
      <c r="D529" s="2"/>
      <c r="E529" s="2"/>
      <c r="F529" s="2"/>
      <c r="G529" s="2"/>
      <c r="J529" s="2"/>
      <c r="L529" s="2"/>
      <c r="M529" s="2"/>
      <c r="N529" s="2"/>
    </row>
    <row r="530" spans="4:14" ht="12.75" x14ac:dyDescent="0.35">
      <c r="D530" s="2"/>
      <c r="E530" s="2"/>
      <c r="F530" s="2"/>
      <c r="G530" s="2"/>
      <c r="J530" s="2"/>
      <c r="L530" s="2"/>
      <c r="M530" s="2"/>
      <c r="N530" s="2"/>
    </row>
    <row r="531" spans="4:14" ht="12.75" x14ac:dyDescent="0.35">
      <c r="D531" s="2"/>
      <c r="E531" s="2"/>
      <c r="F531" s="2"/>
      <c r="G531" s="2"/>
      <c r="J531" s="2"/>
      <c r="L531" s="2"/>
      <c r="M531" s="2"/>
      <c r="N531" s="2"/>
    </row>
    <row r="532" spans="4:14" ht="12.75" x14ac:dyDescent="0.35">
      <c r="D532" s="2"/>
      <c r="E532" s="2"/>
      <c r="F532" s="2"/>
      <c r="G532" s="2"/>
      <c r="J532" s="2"/>
      <c r="L532" s="2"/>
      <c r="M532" s="2"/>
      <c r="N532" s="2"/>
    </row>
    <row r="533" spans="4:14" ht="12.75" x14ac:dyDescent="0.35">
      <c r="D533" s="2"/>
      <c r="E533" s="2"/>
      <c r="F533" s="2"/>
      <c r="G533" s="2"/>
      <c r="J533" s="2"/>
      <c r="L533" s="2"/>
      <c r="M533" s="2"/>
      <c r="N533" s="2"/>
    </row>
    <row r="534" spans="4:14" ht="12.75" x14ac:dyDescent="0.35">
      <c r="D534" s="2"/>
      <c r="E534" s="2"/>
      <c r="F534" s="2"/>
      <c r="G534" s="2"/>
      <c r="J534" s="2"/>
      <c r="L534" s="2"/>
      <c r="M534" s="2"/>
      <c r="N534" s="2"/>
    </row>
    <row r="535" spans="4:14" ht="12.75" x14ac:dyDescent="0.35">
      <c r="D535" s="2"/>
      <c r="E535" s="2"/>
      <c r="F535" s="2"/>
      <c r="G535" s="2"/>
      <c r="J535" s="2"/>
      <c r="L535" s="2"/>
      <c r="M535" s="2"/>
      <c r="N535" s="2"/>
    </row>
    <row r="536" spans="4:14" ht="12.75" x14ac:dyDescent="0.35">
      <c r="D536" s="2"/>
      <c r="E536" s="2"/>
      <c r="F536" s="2"/>
      <c r="G536" s="2"/>
      <c r="J536" s="2"/>
      <c r="L536" s="2"/>
      <c r="M536" s="2"/>
      <c r="N536" s="2"/>
    </row>
    <row r="537" spans="4:14" ht="12.75" x14ac:dyDescent="0.35">
      <c r="D537" s="2"/>
      <c r="E537" s="2"/>
      <c r="F537" s="2"/>
      <c r="G537" s="2"/>
      <c r="J537" s="2"/>
      <c r="L537" s="2"/>
      <c r="M537" s="2"/>
      <c r="N537" s="2"/>
    </row>
    <row r="538" spans="4:14" ht="12.75" x14ac:dyDescent="0.35">
      <c r="D538" s="2"/>
      <c r="E538" s="2"/>
      <c r="F538" s="2"/>
      <c r="G538" s="2"/>
      <c r="J538" s="2"/>
      <c r="L538" s="2"/>
      <c r="M538" s="2"/>
      <c r="N538" s="2"/>
    </row>
    <row r="539" spans="4:14" ht="12.75" x14ac:dyDescent="0.35">
      <c r="D539" s="2"/>
      <c r="E539" s="2"/>
      <c r="F539" s="2"/>
      <c r="G539" s="2"/>
      <c r="J539" s="2"/>
      <c r="L539" s="2"/>
      <c r="M539" s="2"/>
      <c r="N539" s="2"/>
    </row>
    <row r="540" spans="4:14" ht="12.75" x14ac:dyDescent="0.35">
      <c r="D540" s="2"/>
      <c r="E540" s="2"/>
      <c r="F540" s="2"/>
      <c r="G540" s="2"/>
      <c r="J540" s="2"/>
      <c r="L540" s="2"/>
      <c r="M540" s="2"/>
      <c r="N540" s="2"/>
    </row>
    <row r="541" spans="4:14" ht="12.75" x14ac:dyDescent="0.35">
      <c r="D541" s="2"/>
      <c r="E541" s="2"/>
      <c r="F541" s="2"/>
      <c r="G541" s="2"/>
      <c r="J541" s="2"/>
      <c r="L541" s="2"/>
      <c r="M541" s="2"/>
      <c r="N541" s="2"/>
    </row>
    <row r="542" spans="4:14" ht="12.75" x14ac:dyDescent="0.35">
      <c r="D542" s="2"/>
      <c r="E542" s="2"/>
      <c r="F542" s="2"/>
      <c r="G542" s="2"/>
      <c r="J542" s="2"/>
      <c r="L542" s="2"/>
      <c r="M542" s="2"/>
      <c r="N542" s="2"/>
    </row>
    <row r="543" spans="4:14" ht="12.75" x14ac:dyDescent="0.35">
      <c r="D543" s="2"/>
      <c r="E543" s="2"/>
      <c r="F543" s="2"/>
      <c r="G543" s="2"/>
      <c r="J543" s="2"/>
      <c r="L543" s="2"/>
      <c r="M543" s="2"/>
      <c r="N543" s="2"/>
    </row>
    <row r="544" spans="4:14" ht="12.75" x14ac:dyDescent="0.35">
      <c r="D544" s="2"/>
      <c r="E544" s="2"/>
      <c r="F544" s="2"/>
      <c r="G544" s="2"/>
      <c r="J544" s="2"/>
      <c r="L544" s="2"/>
      <c r="M544" s="2"/>
      <c r="N544" s="2"/>
    </row>
    <row r="545" spans="4:14" ht="12.75" x14ac:dyDescent="0.35">
      <c r="D545" s="2"/>
      <c r="E545" s="2"/>
      <c r="F545" s="2"/>
      <c r="G545" s="2"/>
      <c r="J545" s="2"/>
      <c r="L545" s="2"/>
      <c r="M545" s="2"/>
      <c r="N545" s="2"/>
    </row>
    <row r="546" spans="4:14" ht="12.75" x14ac:dyDescent="0.35">
      <c r="D546" s="2"/>
      <c r="E546" s="2"/>
      <c r="F546" s="2"/>
      <c r="G546" s="2"/>
      <c r="J546" s="2"/>
      <c r="L546" s="2"/>
      <c r="M546" s="2"/>
      <c r="N546" s="2"/>
    </row>
    <row r="547" spans="4:14" ht="12.75" x14ac:dyDescent="0.35">
      <c r="D547" s="2"/>
      <c r="E547" s="2"/>
      <c r="F547" s="2"/>
      <c r="G547" s="2"/>
      <c r="J547" s="2"/>
      <c r="L547" s="2"/>
      <c r="M547" s="2"/>
      <c r="N547" s="2"/>
    </row>
    <row r="548" spans="4:14" ht="12.75" x14ac:dyDescent="0.35">
      <c r="D548" s="2"/>
      <c r="E548" s="2"/>
      <c r="F548" s="2"/>
      <c r="G548" s="2"/>
      <c r="J548" s="2"/>
      <c r="L548" s="2"/>
      <c r="M548" s="2"/>
      <c r="N548" s="2"/>
    </row>
    <row r="549" spans="4:14" ht="12.75" x14ac:dyDescent="0.35">
      <c r="D549" s="2"/>
      <c r="E549" s="2"/>
      <c r="F549" s="2"/>
      <c r="G549" s="2"/>
      <c r="J549" s="2"/>
      <c r="L549" s="2"/>
      <c r="M549" s="2"/>
      <c r="N549" s="2"/>
    </row>
    <row r="550" spans="4:14" ht="12.75" x14ac:dyDescent="0.35">
      <c r="D550" s="2"/>
      <c r="E550" s="2"/>
      <c r="F550" s="2"/>
      <c r="G550" s="2"/>
      <c r="J550" s="2"/>
      <c r="L550" s="2"/>
      <c r="M550" s="2"/>
      <c r="N550" s="2"/>
    </row>
    <row r="551" spans="4:14" ht="12.75" x14ac:dyDescent="0.35">
      <c r="D551" s="2"/>
      <c r="E551" s="2"/>
      <c r="F551" s="2"/>
      <c r="G551" s="2"/>
      <c r="J551" s="2"/>
      <c r="L551" s="2"/>
      <c r="M551" s="2"/>
      <c r="N551" s="2"/>
    </row>
    <row r="552" spans="4:14" ht="12.75" x14ac:dyDescent="0.35">
      <c r="D552" s="2"/>
      <c r="E552" s="2"/>
      <c r="F552" s="2"/>
      <c r="G552" s="2"/>
      <c r="J552" s="2"/>
      <c r="L552" s="2"/>
      <c r="M552" s="2"/>
      <c r="N552" s="2"/>
    </row>
    <row r="553" spans="4:14" ht="12.75" x14ac:dyDescent="0.35">
      <c r="D553" s="2"/>
      <c r="E553" s="2"/>
      <c r="F553" s="2"/>
      <c r="G553" s="2"/>
      <c r="J553" s="2"/>
      <c r="L553" s="2"/>
      <c r="M553" s="2"/>
      <c r="N553" s="2"/>
    </row>
    <row r="554" spans="4:14" ht="12.75" x14ac:dyDescent="0.35">
      <c r="D554" s="2"/>
      <c r="E554" s="2"/>
      <c r="F554" s="2"/>
      <c r="G554" s="2"/>
      <c r="J554" s="2"/>
      <c r="L554" s="2"/>
      <c r="M554" s="2"/>
      <c r="N554" s="2"/>
    </row>
    <row r="555" spans="4:14" ht="12.75" x14ac:dyDescent="0.35">
      <c r="D555" s="2"/>
      <c r="E555" s="2"/>
      <c r="F555" s="2"/>
      <c r="G555" s="2"/>
      <c r="J555" s="2"/>
      <c r="L555" s="2"/>
      <c r="M555" s="2"/>
      <c r="N555" s="2"/>
    </row>
    <row r="556" spans="4:14" ht="12.75" x14ac:dyDescent="0.35">
      <c r="D556" s="2"/>
      <c r="E556" s="2"/>
      <c r="F556" s="2"/>
      <c r="G556" s="2"/>
      <c r="J556" s="2"/>
      <c r="L556" s="2"/>
      <c r="M556" s="2"/>
      <c r="N556" s="2"/>
    </row>
    <row r="557" spans="4:14" ht="12.75" x14ac:dyDescent="0.35">
      <c r="D557" s="2"/>
      <c r="E557" s="2"/>
      <c r="F557" s="2"/>
      <c r="G557" s="2"/>
      <c r="J557" s="2"/>
      <c r="L557" s="2"/>
      <c r="M557" s="2"/>
      <c r="N557" s="2"/>
    </row>
    <row r="558" spans="4:14" ht="12.75" x14ac:dyDescent="0.35">
      <c r="D558" s="2"/>
      <c r="E558" s="2"/>
      <c r="F558" s="2"/>
      <c r="G558" s="2"/>
      <c r="J558" s="2"/>
      <c r="L558" s="2"/>
      <c r="M558" s="2"/>
      <c r="N558" s="2"/>
    </row>
    <row r="559" spans="4:14" ht="12.75" x14ac:dyDescent="0.35">
      <c r="D559" s="2"/>
      <c r="E559" s="2"/>
      <c r="F559" s="2"/>
      <c r="G559" s="2"/>
      <c r="J559" s="2"/>
      <c r="L559" s="2"/>
      <c r="M559" s="2"/>
      <c r="N559" s="2"/>
    </row>
    <row r="560" spans="4:14" ht="12.75" x14ac:dyDescent="0.35">
      <c r="D560" s="2"/>
      <c r="E560" s="2"/>
      <c r="F560" s="2"/>
      <c r="G560" s="2"/>
      <c r="J560" s="2"/>
      <c r="L560" s="2"/>
      <c r="M560" s="2"/>
      <c r="N560" s="2"/>
    </row>
    <row r="561" spans="4:14" ht="12.75" x14ac:dyDescent="0.35">
      <c r="D561" s="2"/>
      <c r="E561" s="2"/>
      <c r="F561" s="2"/>
      <c r="G561" s="2"/>
      <c r="J561" s="2"/>
      <c r="L561" s="2"/>
      <c r="M561" s="2"/>
      <c r="N561" s="2"/>
    </row>
    <row r="562" spans="4:14" ht="12.75" x14ac:dyDescent="0.35">
      <c r="D562" s="2"/>
      <c r="E562" s="2"/>
      <c r="F562" s="2"/>
      <c r="G562" s="2"/>
      <c r="J562" s="2"/>
      <c r="L562" s="2"/>
      <c r="M562" s="2"/>
      <c r="N562" s="2"/>
    </row>
    <row r="563" spans="4:14" ht="12.75" x14ac:dyDescent="0.35">
      <c r="D563" s="2"/>
      <c r="E563" s="2"/>
      <c r="F563" s="2"/>
      <c r="G563" s="2"/>
      <c r="J563" s="2"/>
      <c r="L563" s="2"/>
      <c r="M563" s="2"/>
      <c r="N563" s="2"/>
    </row>
    <row r="564" spans="4:14" ht="12.75" x14ac:dyDescent="0.35">
      <c r="D564" s="2"/>
      <c r="E564" s="2"/>
      <c r="F564" s="2"/>
      <c r="G564" s="2"/>
      <c r="J564" s="2"/>
      <c r="L564" s="2"/>
      <c r="M564" s="2"/>
      <c r="N564" s="2"/>
    </row>
    <row r="565" spans="4:14" ht="12.75" x14ac:dyDescent="0.35">
      <c r="D565" s="2"/>
      <c r="E565" s="2"/>
      <c r="F565" s="2"/>
      <c r="G565" s="2"/>
      <c r="J565" s="2"/>
      <c r="L565" s="2"/>
      <c r="M565" s="2"/>
      <c r="N565" s="2"/>
    </row>
    <row r="566" spans="4:14" ht="12.75" x14ac:dyDescent="0.35">
      <c r="D566" s="2"/>
      <c r="E566" s="2"/>
      <c r="F566" s="2"/>
      <c r="G566" s="2"/>
      <c r="J566" s="2"/>
      <c r="L566" s="2"/>
      <c r="M566" s="2"/>
      <c r="N566" s="2"/>
    </row>
    <row r="567" spans="4:14" ht="12.75" x14ac:dyDescent="0.35">
      <c r="D567" s="2"/>
      <c r="E567" s="2"/>
      <c r="F567" s="2"/>
      <c r="G567" s="2"/>
      <c r="J567" s="2"/>
      <c r="L567" s="2"/>
      <c r="M567" s="2"/>
      <c r="N567" s="2"/>
    </row>
    <row r="568" spans="4:14" ht="12.75" x14ac:dyDescent="0.35">
      <c r="D568" s="2"/>
      <c r="E568" s="2"/>
      <c r="F568" s="2"/>
      <c r="G568" s="2"/>
      <c r="J568" s="2"/>
      <c r="L568" s="2"/>
      <c r="M568" s="2"/>
      <c r="N568" s="2"/>
    </row>
    <row r="569" spans="4:14" ht="12.75" x14ac:dyDescent="0.35">
      <c r="D569" s="2"/>
      <c r="E569" s="2"/>
      <c r="F569" s="2"/>
      <c r="G569" s="2"/>
      <c r="J569" s="2"/>
      <c r="L569" s="2"/>
      <c r="M569" s="2"/>
      <c r="N569" s="2"/>
    </row>
    <row r="570" spans="4:14" ht="12.75" x14ac:dyDescent="0.35">
      <c r="D570" s="2"/>
      <c r="E570" s="2"/>
      <c r="F570" s="2"/>
      <c r="G570" s="2"/>
      <c r="J570" s="2"/>
      <c r="L570" s="2"/>
      <c r="M570" s="2"/>
      <c r="N570" s="2"/>
    </row>
    <row r="571" spans="4:14" ht="12.75" x14ac:dyDescent="0.35">
      <c r="D571" s="2"/>
      <c r="E571" s="2"/>
      <c r="F571" s="2"/>
      <c r="G571" s="2"/>
      <c r="J571" s="2"/>
      <c r="L571" s="2"/>
      <c r="M571" s="2"/>
      <c r="N571" s="2"/>
    </row>
    <row r="572" spans="4:14" ht="12.75" x14ac:dyDescent="0.35">
      <c r="D572" s="2"/>
      <c r="E572" s="2"/>
      <c r="F572" s="2"/>
      <c r="G572" s="2"/>
      <c r="J572" s="2"/>
      <c r="L572" s="2"/>
      <c r="M572" s="2"/>
      <c r="N572" s="2"/>
    </row>
    <row r="573" spans="4:14" ht="12.75" x14ac:dyDescent="0.35">
      <c r="D573" s="2"/>
      <c r="E573" s="2"/>
      <c r="F573" s="2"/>
      <c r="G573" s="2"/>
      <c r="J573" s="2"/>
      <c r="L573" s="2"/>
      <c r="M573" s="2"/>
      <c r="N573" s="2"/>
    </row>
    <row r="574" spans="4:14" ht="12.75" x14ac:dyDescent="0.35">
      <c r="D574" s="2"/>
      <c r="E574" s="2"/>
      <c r="F574" s="2"/>
      <c r="G574" s="2"/>
      <c r="J574" s="2"/>
      <c r="L574" s="2"/>
      <c r="M574" s="2"/>
      <c r="N574" s="2"/>
    </row>
    <row r="575" spans="4:14" ht="12.75" x14ac:dyDescent="0.35">
      <c r="D575" s="2"/>
      <c r="E575" s="2"/>
      <c r="F575" s="2"/>
      <c r="G575" s="2"/>
      <c r="J575" s="2"/>
      <c r="L575" s="2"/>
      <c r="M575" s="2"/>
      <c r="N575" s="2"/>
    </row>
    <row r="576" spans="4:14" ht="12.75" x14ac:dyDescent="0.35">
      <c r="D576" s="2"/>
      <c r="E576" s="2"/>
      <c r="F576" s="2"/>
      <c r="G576" s="2"/>
      <c r="J576" s="2"/>
      <c r="L576" s="2"/>
      <c r="M576" s="2"/>
      <c r="N576" s="2"/>
    </row>
    <row r="577" spans="4:14" ht="12.75" x14ac:dyDescent="0.35">
      <c r="D577" s="2"/>
      <c r="E577" s="2"/>
      <c r="F577" s="2"/>
      <c r="G577" s="2"/>
      <c r="J577" s="2"/>
      <c r="L577" s="2"/>
      <c r="M577" s="2"/>
      <c r="N577" s="2"/>
    </row>
    <row r="578" spans="4:14" ht="12.75" x14ac:dyDescent="0.35">
      <c r="D578" s="2"/>
      <c r="E578" s="2"/>
      <c r="F578" s="2"/>
      <c r="G578" s="2"/>
      <c r="J578" s="2"/>
      <c r="L578" s="2"/>
      <c r="M578" s="2"/>
      <c r="N578" s="2"/>
    </row>
    <row r="579" spans="4:14" ht="12.75" x14ac:dyDescent="0.35">
      <c r="D579" s="2"/>
      <c r="E579" s="2"/>
      <c r="F579" s="2"/>
      <c r="G579" s="2"/>
      <c r="J579" s="2"/>
      <c r="L579" s="2"/>
      <c r="M579" s="2"/>
      <c r="N579" s="2"/>
    </row>
    <row r="580" spans="4:14" ht="12.75" x14ac:dyDescent="0.35">
      <c r="D580" s="2"/>
      <c r="E580" s="2"/>
      <c r="F580" s="2"/>
      <c r="G580" s="2"/>
      <c r="J580" s="2"/>
      <c r="L580" s="2"/>
      <c r="M580" s="2"/>
      <c r="N580" s="2"/>
    </row>
    <row r="581" spans="4:14" ht="12.75" x14ac:dyDescent="0.35">
      <c r="D581" s="2"/>
      <c r="E581" s="2"/>
      <c r="F581" s="2"/>
      <c r="G581" s="2"/>
      <c r="J581" s="2"/>
      <c r="L581" s="2"/>
      <c r="M581" s="2"/>
      <c r="N581" s="2"/>
    </row>
    <row r="582" spans="4:14" ht="12.75" x14ac:dyDescent="0.35">
      <c r="D582" s="2"/>
      <c r="E582" s="2"/>
      <c r="F582" s="2"/>
      <c r="G582" s="2"/>
      <c r="J582" s="2"/>
      <c r="L582" s="2"/>
      <c r="M582" s="2"/>
      <c r="N582" s="2"/>
    </row>
    <row r="583" spans="4:14" ht="12.75" x14ac:dyDescent="0.35">
      <c r="D583" s="2"/>
      <c r="E583" s="2"/>
      <c r="F583" s="2"/>
      <c r="G583" s="2"/>
      <c r="J583" s="2"/>
      <c r="L583" s="2"/>
      <c r="M583" s="2"/>
      <c r="N583" s="2"/>
    </row>
    <row r="584" spans="4:14" ht="12.75" x14ac:dyDescent="0.35">
      <c r="D584" s="2"/>
      <c r="E584" s="2"/>
      <c r="F584" s="2"/>
      <c r="G584" s="2"/>
      <c r="J584" s="2"/>
      <c r="L584" s="2"/>
      <c r="M584" s="2"/>
      <c r="N584" s="2"/>
    </row>
    <row r="585" spans="4:14" ht="12.75" x14ac:dyDescent="0.35">
      <c r="D585" s="2"/>
      <c r="E585" s="2"/>
      <c r="F585" s="2"/>
      <c r="G585" s="2"/>
      <c r="J585" s="2"/>
      <c r="L585" s="2"/>
      <c r="M585" s="2"/>
      <c r="N585" s="2"/>
    </row>
    <row r="586" spans="4:14" ht="12.75" x14ac:dyDescent="0.35">
      <c r="D586" s="2"/>
      <c r="E586" s="2"/>
      <c r="F586" s="2"/>
      <c r="G586" s="2"/>
      <c r="J586" s="2"/>
      <c r="L586" s="2"/>
      <c r="M586" s="2"/>
      <c r="N586" s="2"/>
    </row>
    <row r="587" spans="4:14" ht="12.75" x14ac:dyDescent="0.35">
      <c r="D587" s="2"/>
      <c r="E587" s="2"/>
      <c r="F587" s="2"/>
      <c r="G587" s="2"/>
      <c r="J587" s="2"/>
      <c r="L587" s="2"/>
      <c r="M587" s="2"/>
      <c r="N587" s="2"/>
    </row>
    <row r="588" spans="4:14" ht="12.75" x14ac:dyDescent="0.35">
      <c r="D588" s="2"/>
      <c r="E588" s="2"/>
      <c r="F588" s="2"/>
      <c r="G588" s="2"/>
      <c r="J588" s="2"/>
      <c r="L588" s="2"/>
      <c r="M588" s="2"/>
      <c r="N588" s="2"/>
    </row>
    <row r="589" spans="4:14" ht="12.75" x14ac:dyDescent="0.35">
      <c r="D589" s="2"/>
      <c r="E589" s="2"/>
      <c r="F589" s="2"/>
      <c r="G589" s="2"/>
      <c r="J589" s="2"/>
      <c r="L589" s="2"/>
      <c r="M589" s="2"/>
      <c r="N589" s="2"/>
    </row>
    <row r="590" spans="4:14" ht="12.75" x14ac:dyDescent="0.35">
      <c r="D590" s="2"/>
      <c r="E590" s="2"/>
      <c r="F590" s="2"/>
      <c r="G590" s="2"/>
      <c r="J590" s="2"/>
      <c r="L590" s="2"/>
      <c r="M590" s="2"/>
      <c r="N590" s="2"/>
    </row>
    <row r="591" spans="4:14" ht="12.75" x14ac:dyDescent="0.35">
      <c r="D591" s="2"/>
      <c r="E591" s="2"/>
      <c r="F591" s="2"/>
      <c r="G591" s="2"/>
      <c r="J591" s="2"/>
      <c r="L591" s="2"/>
      <c r="M591" s="2"/>
      <c r="N591" s="2"/>
    </row>
    <row r="592" spans="4:14" ht="12.75" x14ac:dyDescent="0.35">
      <c r="D592" s="2"/>
      <c r="E592" s="2"/>
      <c r="F592" s="2"/>
      <c r="G592" s="2"/>
      <c r="J592" s="2"/>
      <c r="L592" s="2"/>
      <c r="M592" s="2"/>
      <c r="N592" s="2"/>
    </row>
    <row r="593" spans="4:14" ht="12.75" x14ac:dyDescent="0.35">
      <c r="D593" s="2"/>
      <c r="E593" s="2"/>
      <c r="F593" s="2"/>
      <c r="G593" s="2"/>
      <c r="J593" s="2"/>
      <c r="L593" s="2"/>
      <c r="M593" s="2"/>
      <c r="N593" s="2"/>
    </row>
    <row r="594" spans="4:14" ht="12.75" x14ac:dyDescent="0.35">
      <c r="D594" s="2"/>
      <c r="E594" s="2"/>
      <c r="F594" s="2"/>
      <c r="G594" s="2"/>
      <c r="J594" s="2"/>
      <c r="L594" s="2"/>
      <c r="M594" s="2"/>
      <c r="N594" s="2"/>
    </row>
    <row r="595" spans="4:14" ht="12.75" x14ac:dyDescent="0.35">
      <c r="D595" s="2"/>
      <c r="E595" s="2"/>
      <c r="F595" s="2"/>
      <c r="G595" s="2"/>
      <c r="J595" s="2"/>
      <c r="L595" s="2"/>
      <c r="M595" s="2"/>
      <c r="N595" s="2"/>
    </row>
    <row r="596" spans="4:14" ht="12.75" x14ac:dyDescent="0.35">
      <c r="D596" s="2"/>
      <c r="E596" s="2"/>
      <c r="F596" s="2"/>
      <c r="G596" s="2"/>
      <c r="J596" s="2"/>
      <c r="L596" s="2"/>
      <c r="M596" s="2"/>
      <c r="N596" s="2"/>
    </row>
    <row r="597" spans="4:14" ht="12.75" x14ac:dyDescent="0.35">
      <c r="D597" s="2"/>
      <c r="E597" s="2"/>
      <c r="F597" s="2"/>
      <c r="G597" s="2"/>
      <c r="J597" s="2"/>
      <c r="L597" s="2"/>
      <c r="M597" s="2"/>
      <c r="N597" s="2"/>
    </row>
    <row r="598" spans="4:14" ht="12.75" x14ac:dyDescent="0.35">
      <c r="D598" s="2"/>
      <c r="E598" s="2"/>
      <c r="F598" s="2"/>
      <c r="G598" s="2"/>
      <c r="J598" s="2"/>
      <c r="L598" s="2"/>
      <c r="M598" s="2"/>
      <c r="N598" s="2"/>
    </row>
    <row r="599" spans="4:14" ht="12.75" x14ac:dyDescent="0.35">
      <c r="D599" s="2"/>
      <c r="E599" s="2"/>
      <c r="F599" s="2"/>
      <c r="G599" s="2"/>
      <c r="J599" s="2"/>
      <c r="L599" s="2"/>
      <c r="M599" s="2"/>
      <c r="N599" s="2"/>
    </row>
    <row r="600" spans="4:14" ht="12.75" x14ac:dyDescent="0.35">
      <c r="D600" s="2"/>
      <c r="E600" s="2"/>
      <c r="F600" s="2"/>
      <c r="G600" s="2"/>
      <c r="J600" s="2"/>
      <c r="L600" s="2"/>
      <c r="M600" s="2"/>
      <c r="N600" s="2"/>
    </row>
    <row r="601" spans="4:14" ht="12.75" x14ac:dyDescent="0.35">
      <c r="D601" s="2"/>
      <c r="E601" s="2"/>
      <c r="F601" s="2"/>
      <c r="G601" s="2"/>
      <c r="J601" s="2"/>
      <c r="L601" s="2"/>
      <c r="M601" s="2"/>
      <c r="N601" s="2"/>
    </row>
    <row r="602" spans="4:14" ht="12.75" x14ac:dyDescent="0.35">
      <c r="D602" s="2"/>
      <c r="E602" s="2"/>
      <c r="F602" s="2"/>
      <c r="G602" s="2"/>
      <c r="J602" s="2"/>
      <c r="L602" s="2"/>
      <c r="M602" s="2"/>
      <c r="N602" s="2"/>
    </row>
    <row r="603" spans="4:14" ht="12.75" x14ac:dyDescent="0.35">
      <c r="D603" s="2"/>
      <c r="E603" s="2"/>
      <c r="F603" s="2"/>
      <c r="G603" s="2"/>
      <c r="J603" s="2"/>
      <c r="L603" s="2"/>
      <c r="M603" s="2"/>
      <c r="N603" s="2"/>
    </row>
    <row r="604" spans="4:14" ht="12.75" x14ac:dyDescent="0.35">
      <c r="D604" s="2"/>
      <c r="E604" s="2"/>
      <c r="F604" s="2"/>
      <c r="G604" s="2"/>
      <c r="J604" s="2"/>
      <c r="L604" s="2"/>
      <c r="M604" s="2"/>
      <c r="N604" s="2"/>
    </row>
    <row r="605" spans="4:14" ht="12.75" x14ac:dyDescent="0.35">
      <c r="D605" s="2"/>
      <c r="E605" s="2"/>
      <c r="F605" s="2"/>
      <c r="G605" s="2"/>
      <c r="J605" s="2"/>
      <c r="L605" s="2"/>
      <c r="M605" s="2"/>
      <c r="N605" s="2"/>
    </row>
    <row r="606" spans="4:14" ht="12.75" x14ac:dyDescent="0.35">
      <c r="D606" s="2"/>
      <c r="E606" s="2"/>
      <c r="F606" s="2"/>
      <c r="G606" s="2"/>
      <c r="J606" s="2"/>
      <c r="L606" s="2"/>
      <c r="M606" s="2"/>
      <c r="N606" s="2"/>
    </row>
    <row r="607" spans="4:14" ht="12.75" x14ac:dyDescent="0.35">
      <c r="D607" s="2"/>
      <c r="E607" s="2"/>
      <c r="F607" s="2"/>
      <c r="G607" s="2"/>
      <c r="J607" s="2"/>
      <c r="L607" s="2"/>
      <c r="M607" s="2"/>
      <c r="N607" s="2"/>
    </row>
    <row r="608" spans="4:14" ht="12.75" x14ac:dyDescent="0.35">
      <c r="D608" s="2"/>
      <c r="E608" s="2"/>
      <c r="F608" s="2"/>
      <c r="G608" s="2"/>
      <c r="J608" s="2"/>
      <c r="L608" s="2"/>
      <c r="M608" s="2"/>
      <c r="N608" s="2"/>
    </row>
    <row r="609" spans="4:14" ht="12.75" x14ac:dyDescent="0.35">
      <c r="D609" s="2"/>
      <c r="E609" s="2"/>
      <c r="F609" s="2"/>
      <c r="G609" s="2"/>
      <c r="J609" s="2"/>
      <c r="L609" s="2"/>
      <c r="M609" s="2"/>
      <c r="N609" s="2"/>
    </row>
    <row r="610" spans="4:14" ht="12.75" x14ac:dyDescent="0.35">
      <c r="D610" s="2"/>
      <c r="E610" s="2"/>
      <c r="F610" s="2"/>
      <c r="G610" s="2"/>
      <c r="J610" s="2"/>
      <c r="L610" s="2"/>
      <c r="M610" s="2"/>
      <c r="N610" s="2"/>
    </row>
    <row r="611" spans="4:14" ht="12.75" x14ac:dyDescent="0.35">
      <c r="D611" s="2"/>
      <c r="E611" s="2"/>
      <c r="F611" s="2"/>
      <c r="G611" s="2"/>
      <c r="J611" s="2"/>
      <c r="L611" s="2"/>
      <c r="M611" s="2"/>
      <c r="N611" s="2"/>
    </row>
    <row r="612" spans="4:14" ht="12.75" x14ac:dyDescent="0.35">
      <c r="D612" s="2"/>
      <c r="E612" s="2"/>
      <c r="F612" s="2"/>
      <c r="G612" s="2"/>
      <c r="J612" s="2"/>
      <c r="L612" s="2"/>
      <c r="M612" s="2"/>
      <c r="N612" s="2"/>
    </row>
    <row r="613" spans="4:14" ht="12.75" x14ac:dyDescent="0.35">
      <c r="D613" s="2"/>
      <c r="E613" s="2"/>
      <c r="F613" s="2"/>
      <c r="G613" s="2"/>
      <c r="J613" s="2"/>
      <c r="L613" s="2"/>
      <c r="M613" s="2"/>
      <c r="N613" s="2"/>
    </row>
    <row r="614" spans="4:14" ht="12.75" x14ac:dyDescent="0.35">
      <c r="D614" s="2"/>
      <c r="E614" s="2"/>
      <c r="F614" s="2"/>
      <c r="G614" s="2"/>
      <c r="J614" s="2"/>
      <c r="L614" s="2"/>
      <c r="M614" s="2"/>
      <c r="N614" s="2"/>
    </row>
    <row r="615" spans="4:14" ht="12.75" x14ac:dyDescent="0.35">
      <c r="D615" s="2"/>
      <c r="E615" s="2"/>
      <c r="F615" s="2"/>
      <c r="G615" s="2"/>
      <c r="J615" s="2"/>
      <c r="L615" s="2"/>
      <c r="M615" s="2"/>
      <c r="N615" s="2"/>
    </row>
    <row r="616" spans="4:14" ht="12.75" x14ac:dyDescent="0.35">
      <c r="D616" s="2"/>
      <c r="E616" s="2"/>
      <c r="F616" s="2"/>
      <c r="G616" s="2"/>
      <c r="J616" s="2"/>
      <c r="L616" s="2"/>
      <c r="M616" s="2"/>
      <c r="N616" s="2"/>
    </row>
    <row r="617" spans="4:14" ht="12.75" x14ac:dyDescent="0.35">
      <c r="D617" s="2"/>
      <c r="E617" s="2"/>
      <c r="F617" s="2"/>
      <c r="G617" s="2"/>
      <c r="J617" s="2"/>
      <c r="L617" s="2"/>
      <c r="M617" s="2"/>
      <c r="N617" s="2"/>
    </row>
    <row r="618" spans="4:14" ht="12.75" x14ac:dyDescent="0.35">
      <c r="D618" s="2"/>
      <c r="E618" s="2"/>
      <c r="F618" s="2"/>
      <c r="G618" s="2"/>
      <c r="J618" s="2"/>
      <c r="L618" s="2"/>
      <c r="M618" s="2"/>
      <c r="N618" s="2"/>
    </row>
    <row r="619" spans="4:14" ht="12.75" x14ac:dyDescent="0.35">
      <c r="D619" s="2"/>
      <c r="E619" s="2"/>
      <c r="F619" s="2"/>
      <c r="G619" s="2"/>
      <c r="J619" s="2"/>
      <c r="L619" s="2"/>
      <c r="M619" s="2"/>
      <c r="N619" s="2"/>
    </row>
    <row r="620" spans="4:14" ht="12.75" x14ac:dyDescent="0.35">
      <c r="D620" s="2"/>
      <c r="E620" s="2"/>
      <c r="F620" s="2"/>
      <c r="G620" s="2"/>
      <c r="J620" s="2"/>
      <c r="L620" s="2"/>
      <c r="M620" s="2"/>
      <c r="N620" s="2"/>
    </row>
    <row r="621" spans="4:14" ht="12.75" x14ac:dyDescent="0.35">
      <c r="D621" s="2"/>
      <c r="E621" s="2"/>
      <c r="F621" s="2"/>
      <c r="G621" s="2"/>
      <c r="J621" s="2"/>
      <c r="L621" s="2"/>
      <c r="M621" s="2"/>
      <c r="N621" s="2"/>
    </row>
    <row r="622" spans="4:14" ht="12.75" x14ac:dyDescent="0.35">
      <c r="D622" s="2"/>
      <c r="E622" s="2"/>
      <c r="F622" s="2"/>
      <c r="G622" s="2"/>
      <c r="J622" s="2"/>
      <c r="L622" s="2"/>
      <c r="M622" s="2"/>
      <c r="N622" s="2"/>
    </row>
    <row r="623" spans="4:14" ht="12.75" x14ac:dyDescent="0.35">
      <c r="D623" s="2"/>
      <c r="E623" s="2"/>
      <c r="F623" s="2"/>
      <c r="G623" s="2"/>
      <c r="J623" s="2"/>
      <c r="L623" s="2"/>
      <c r="M623" s="2"/>
      <c r="N623" s="2"/>
    </row>
    <row r="624" spans="4:14" ht="12.75" x14ac:dyDescent="0.35">
      <c r="D624" s="2"/>
      <c r="E624" s="2"/>
      <c r="F624" s="2"/>
      <c r="G624" s="2"/>
      <c r="J624" s="2"/>
      <c r="L624" s="2"/>
      <c r="M624" s="2"/>
      <c r="N624" s="2"/>
    </row>
    <row r="625" spans="4:14" ht="12.75" x14ac:dyDescent="0.35">
      <c r="D625" s="2"/>
      <c r="E625" s="2"/>
      <c r="F625" s="2"/>
      <c r="G625" s="2"/>
      <c r="J625" s="2"/>
      <c r="L625" s="2"/>
      <c r="M625" s="2"/>
      <c r="N625" s="2"/>
    </row>
    <row r="626" spans="4:14" ht="12.75" x14ac:dyDescent="0.35">
      <c r="D626" s="2"/>
      <c r="E626" s="2"/>
      <c r="F626" s="2"/>
      <c r="G626" s="2"/>
      <c r="J626" s="2"/>
      <c r="L626" s="2"/>
      <c r="M626" s="2"/>
      <c r="N626" s="2"/>
    </row>
    <row r="627" spans="4:14" ht="12.75" x14ac:dyDescent="0.35">
      <c r="D627" s="2"/>
      <c r="E627" s="2"/>
      <c r="F627" s="2"/>
      <c r="G627" s="2"/>
      <c r="J627" s="2"/>
      <c r="L627" s="2"/>
      <c r="M627" s="2"/>
      <c r="N627" s="2"/>
    </row>
    <row r="628" spans="4:14" ht="12.75" x14ac:dyDescent="0.35">
      <c r="D628" s="2"/>
      <c r="E628" s="2"/>
      <c r="F628" s="2"/>
      <c r="G628" s="2"/>
      <c r="J628" s="2"/>
      <c r="L628" s="2"/>
      <c r="M628" s="2"/>
      <c r="N628" s="2"/>
    </row>
    <row r="629" spans="4:14" ht="12.75" x14ac:dyDescent="0.35">
      <c r="D629" s="2"/>
      <c r="E629" s="2"/>
      <c r="F629" s="2"/>
      <c r="G629" s="2"/>
      <c r="J629" s="2"/>
      <c r="L629" s="2"/>
      <c r="M629" s="2"/>
      <c r="N629" s="2"/>
    </row>
    <row r="630" spans="4:14" ht="12.75" x14ac:dyDescent="0.35">
      <c r="D630" s="2"/>
      <c r="E630" s="2"/>
      <c r="F630" s="2"/>
      <c r="G630" s="2"/>
      <c r="J630" s="2"/>
      <c r="L630" s="2"/>
      <c r="M630" s="2"/>
      <c r="N630" s="2"/>
    </row>
    <row r="631" spans="4:14" ht="12.75" x14ac:dyDescent="0.35">
      <c r="D631" s="2"/>
      <c r="E631" s="2"/>
      <c r="F631" s="2"/>
      <c r="G631" s="2"/>
      <c r="J631" s="2"/>
      <c r="L631" s="2"/>
      <c r="M631" s="2"/>
      <c r="N631" s="2"/>
    </row>
    <row r="632" spans="4:14" ht="12.75" x14ac:dyDescent="0.35">
      <c r="D632" s="2"/>
      <c r="E632" s="2"/>
      <c r="F632" s="2"/>
      <c r="G632" s="2"/>
      <c r="J632" s="2"/>
      <c r="L632" s="2"/>
      <c r="M632" s="2"/>
      <c r="N632" s="2"/>
    </row>
    <row r="633" spans="4:14" ht="12.75" x14ac:dyDescent="0.35">
      <c r="D633" s="2"/>
      <c r="E633" s="2"/>
      <c r="F633" s="2"/>
      <c r="G633" s="2"/>
      <c r="J633" s="2"/>
      <c r="L633" s="2"/>
      <c r="M633" s="2"/>
      <c r="N633" s="2"/>
    </row>
    <row r="634" spans="4:14" ht="12.75" x14ac:dyDescent="0.35">
      <c r="D634" s="2"/>
      <c r="E634" s="2"/>
      <c r="F634" s="2"/>
      <c r="G634" s="2"/>
      <c r="J634" s="2"/>
      <c r="L634" s="2"/>
      <c r="M634" s="2"/>
      <c r="N634" s="2"/>
    </row>
    <row r="635" spans="4:14" ht="12.75" x14ac:dyDescent="0.35">
      <c r="D635" s="2"/>
      <c r="E635" s="2"/>
      <c r="F635" s="2"/>
      <c r="G635" s="2"/>
      <c r="J635" s="2"/>
      <c r="L635" s="2"/>
      <c r="M635" s="2"/>
      <c r="N635" s="2"/>
    </row>
    <row r="636" spans="4:14" ht="12.75" x14ac:dyDescent="0.35">
      <c r="D636" s="2"/>
      <c r="E636" s="2"/>
      <c r="F636" s="2"/>
      <c r="G636" s="2"/>
      <c r="J636" s="2"/>
      <c r="L636" s="2"/>
      <c r="M636" s="2"/>
      <c r="N636" s="2"/>
    </row>
    <row r="637" spans="4:14" ht="12.75" x14ac:dyDescent="0.35">
      <c r="D637" s="2"/>
      <c r="E637" s="2"/>
      <c r="F637" s="2"/>
      <c r="G637" s="2"/>
      <c r="J637" s="2"/>
      <c r="L637" s="2"/>
      <c r="M637" s="2"/>
      <c r="N637" s="2"/>
    </row>
    <row r="638" spans="4:14" ht="12.75" x14ac:dyDescent="0.35">
      <c r="D638" s="2"/>
      <c r="E638" s="2"/>
      <c r="F638" s="2"/>
      <c r="G638" s="2"/>
      <c r="J638" s="2"/>
      <c r="L638" s="2"/>
      <c r="M638" s="2"/>
      <c r="N638" s="2"/>
    </row>
    <row r="639" spans="4:14" ht="12.75" x14ac:dyDescent="0.35">
      <c r="D639" s="2"/>
      <c r="E639" s="2"/>
      <c r="F639" s="2"/>
      <c r="G639" s="2"/>
      <c r="J639" s="2"/>
      <c r="L639" s="2"/>
      <c r="M639" s="2"/>
      <c r="N639" s="2"/>
    </row>
    <row r="640" spans="4:14" ht="12.75" x14ac:dyDescent="0.35">
      <c r="D640" s="2"/>
      <c r="E640" s="2"/>
      <c r="F640" s="2"/>
      <c r="G640" s="2"/>
      <c r="J640" s="2"/>
      <c r="L640" s="2"/>
      <c r="M640" s="2"/>
      <c r="N640" s="2"/>
    </row>
    <row r="641" spans="4:14" ht="12.75" x14ac:dyDescent="0.35">
      <c r="D641" s="2"/>
      <c r="E641" s="2"/>
      <c r="F641" s="2"/>
      <c r="G641" s="2"/>
      <c r="J641" s="2"/>
      <c r="L641" s="2"/>
      <c r="M641" s="2"/>
      <c r="N641" s="2"/>
    </row>
    <row r="642" spans="4:14" ht="12.75" x14ac:dyDescent="0.35">
      <c r="D642" s="2"/>
      <c r="E642" s="2"/>
      <c r="F642" s="2"/>
      <c r="G642" s="2"/>
      <c r="J642" s="2"/>
      <c r="L642" s="2"/>
      <c r="M642" s="2"/>
      <c r="N642" s="2"/>
    </row>
    <row r="643" spans="4:14" ht="12.75" x14ac:dyDescent="0.35">
      <c r="D643" s="2"/>
      <c r="E643" s="2"/>
      <c r="F643" s="2"/>
      <c r="G643" s="2"/>
      <c r="J643" s="2"/>
      <c r="L643" s="2"/>
      <c r="M643" s="2"/>
      <c r="N643" s="2"/>
    </row>
    <row r="644" spans="4:14" ht="12.75" x14ac:dyDescent="0.35">
      <c r="D644" s="2"/>
      <c r="E644" s="2"/>
      <c r="F644" s="2"/>
      <c r="G644" s="2"/>
      <c r="J644" s="2"/>
      <c r="L644" s="2"/>
      <c r="M644" s="2"/>
      <c r="N644" s="2"/>
    </row>
    <row r="645" spans="4:14" ht="12.75" x14ac:dyDescent="0.35">
      <c r="D645" s="2"/>
      <c r="E645" s="2"/>
      <c r="F645" s="2"/>
      <c r="G645" s="2"/>
      <c r="J645" s="2"/>
      <c r="L645" s="2"/>
      <c r="M645" s="2"/>
      <c r="N645" s="2"/>
    </row>
    <row r="646" spans="4:14" ht="12.75" x14ac:dyDescent="0.35">
      <c r="D646" s="2"/>
      <c r="E646" s="2"/>
      <c r="F646" s="2"/>
      <c r="G646" s="2"/>
      <c r="J646" s="2"/>
      <c r="L646" s="2"/>
      <c r="M646" s="2"/>
      <c r="N646" s="2"/>
    </row>
    <row r="647" spans="4:14" ht="12.75" x14ac:dyDescent="0.35">
      <c r="D647" s="2"/>
      <c r="E647" s="2"/>
      <c r="F647" s="2"/>
      <c r="G647" s="2"/>
      <c r="J647" s="2"/>
      <c r="L647" s="2"/>
      <c r="M647" s="2"/>
      <c r="N647" s="2"/>
    </row>
    <row r="648" spans="4:14" ht="12.75" x14ac:dyDescent="0.35">
      <c r="D648" s="2"/>
      <c r="E648" s="2"/>
      <c r="F648" s="2"/>
      <c r="G648" s="2"/>
      <c r="J648" s="2"/>
      <c r="L648" s="2"/>
      <c r="M648" s="2"/>
      <c r="N648" s="2"/>
    </row>
    <row r="649" spans="4:14" ht="12.75" x14ac:dyDescent="0.35">
      <c r="D649" s="2"/>
      <c r="E649" s="2"/>
      <c r="F649" s="2"/>
      <c r="G649" s="2"/>
      <c r="J649" s="2"/>
      <c r="L649" s="2"/>
      <c r="M649" s="2"/>
      <c r="N649" s="2"/>
    </row>
    <row r="650" spans="4:14" ht="12.75" x14ac:dyDescent="0.35">
      <c r="D650" s="2"/>
      <c r="E650" s="2"/>
      <c r="F650" s="2"/>
      <c r="G650" s="2"/>
      <c r="J650" s="2"/>
      <c r="L650" s="2"/>
      <c r="M650" s="2"/>
      <c r="N650" s="2"/>
    </row>
    <row r="651" spans="4:14" ht="12.75" x14ac:dyDescent="0.35">
      <c r="D651" s="2"/>
      <c r="E651" s="2"/>
      <c r="F651" s="2"/>
      <c r="G651" s="2"/>
      <c r="J651" s="2"/>
      <c r="L651" s="2"/>
      <c r="M651" s="2"/>
      <c r="N651" s="2"/>
    </row>
    <row r="652" spans="4:14" ht="12.75" x14ac:dyDescent="0.35">
      <c r="D652" s="2"/>
      <c r="E652" s="2"/>
      <c r="F652" s="2"/>
      <c r="G652" s="2"/>
      <c r="J652" s="2"/>
      <c r="L652" s="2"/>
      <c r="M652" s="2"/>
      <c r="N652" s="2"/>
    </row>
    <row r="653" spans="4:14" ht="12.75" x14ac:dyDescent="0.35">
      <c r="D653" s="2"/>
      <c r="E653" s="2"/>
      <c r="F653" s="2"/>
      <c r="G653" s="2"/>
      <c r="J653" s="2"/>
      <c r="L653" s="2"/>
      <c r="M653" s="2"/>
      <c r="N653" s="2"/>
    </row>
    <row r="654" spans="4:14" ht="12.75" x14ac:dyDescent="0.35">
      <c r="D654" s="2"/>
      <c r="E654" s="2"/>
      <c r="F654" s="2"/>
      <c r="G654" s="2"/>
      <c r="J654" s="2"/>
      <c r="L654" s="2"/>
      <c r="M654" s="2"/>
      <c r="N654" s="2"/>
    </row>
    <row r="655" spans="4:14" ht="12.75" x14ac:dyDescent="0.35">
      <c r="D655" s="2"/>
      <c r="E655" s="2"/>
      <c r="F655" s="2"/>
      <c r="G655" s="2"/>
      <c r="J655" s="2"/>
      <c r="L655" s="2"/>
      <c r="M655" s="2"/>
      <c r="N655" s="2"/>
    </row>
    <row r="656" spans="4:14" ht="12.75" x14ac:dyDescent="0.35">
      <c r="D656" s="2"/>
      <c r="E656" s="2"/>
      <c r="F656" s="2"/>
      <c r="G656" s="2"/>
      <c r="J656" s="2"/>
      <c r="L656" s="2"/>
      <c r="M656" s="2"/>
      <c r="N656" s="2"/>
    </row>
    <row r="657" spans="4:14" ht="12.75" x14ac:dyDescent="0.35">
      <c r="D657" s="2"/>
      <c r="E657" s="2"/>
      <c r="F657" s="2"/>
      <c r="G657" s="2"/>
      <c r="J657" s="2"/>
      <c r="L657" s="2"/>
      <c r="M657" s="2"/>
      <c r="N657" s="2"/>
    </row>
    <row r="658" spans="4:14" ht="12.75" x14ac:dyDescent="0.35">
      <c r="D658" s="2"/>
      <c r="E658" s="2"/>
      <c r="F658" s="2"/>
      <c r="G658" s="2"/>
      <c r="J658" s="2"/>
      <c r="L658" s="2"/>
      <c r="M658" s="2"/>
      <c r="N658" s="2"/>
    </row>
    <row r="659" spans="4:14" ht="12.75" x14ac:dyDescent="0.35">
      <c r="D659" s="2"/>
      <c r="E659" s="2"/>
      <c r="F659" s="2"/>
      <c r="G659" s="2"/>
      <c r="J659" s="2"/>
      <c r="L659" s="2"/>
      <c r="M659" s="2"/>
      <c r="N659" s="2"/>
    </row>
    <row r="660" spans="4:14" ht="12.75" x14ac:dyDescent="0.35">
      <c r="D660" s="2"/>
      <c r="E660" s="2"/>
      <c r="F660" s="2"/>
      <c r="G660" s="2"/>
      <c r="J660" s="2"/>
      <c r="L660" s="2"/>
      <c r="M660" s="2"/>
      <c r="N660" s="2"/>
    </row>
    <row r="661" spans="4:14" ht="12.75" x14ac:dyDescent="0.35">
      <c r="D661" s="2"/>
      <c r="E661" s="2"/>
      <c r="F661" s="2"/>
      <c r="G661" s="2"/>
      <c r="J661" s="2"/>
      <c r="L661" s="2"/>
      <c r="M661" s="2"/>
      <c r="N661" s="2"/>
    </row>
    <row r="662" spans="4:14" ht="12.75" x14ac:dyDescent="0.35">
      <c r="D662" s="2"/>
      <c r="E662" s="2"/>
      <c r="F662" s="2"/>
      <c r="G662" s="2"/>
      <c r="J662" s="2"/>
      <c r="L662" s="2"/>
      <c r="M662" s="2"/>
      <c r="N662" s="2"/>
    </row>
    <row r="663" spans="4:14" ht="12.75" x14ac:dyDescent="0.35">
      <c r="D663" s="2"/>
      <c r="E663" s="2"/>
      <c r="F663" s="2"/>
      <c r="G663" s="2"/>
      <c r="J663" s="2"/>
      <c r="L663" s="2"/>
      <c r="M663" s="2"/>
      <c r="N663" s="2"/>
    </row>
    <row r="664" spans="4:14" ht="12.75" x14ac:dyDescent="0.35">
      <c r="D664" s="2"/>
      <c r="E664" s="2"/>
      <c r="F664" s="2"/>
      <c r="G664" s="2"/>
      <c r="J664" s="2"/>
      <c r="L664" s="2"/>
      <c r="M664" s="2"/>
      <c r="N664" s="2"/>
    </row>
    <row r="665" spans="4:14" ht="12.75" x14ac:dyDescent="0.35">
      <c r="D665" s="2"/>
      <c r="E665" s="2"/>
      <c r="F665" s="2"/>
      <c r="G665" s="2"/>
      <c r="J665" s="2"/>
      <c r="L665" s="2"/>
      <c r="M665" s="2"/>
      <c r="N665" s="2"/>
    </row>
    <row r="666" spans="4:14" ht="12.75" x14ac:dyDescent="0.35">
      <c r="D666" s="2"/>
      <c r="E666" s="2"/>
      <c r="F666" s="2"/>
      <c r="G666" s="2"/>
      <c r="J666" s="2"/>
      <c r="L666" s="2"/>
      <c r="M666" s="2"/>
      <c r="N666" s="2"/>
    </row>
    <row r="667" spans="4:14" ht="12.75" x14ac:dyDescent="0.35">
      <c r="D667" s="2"/>
      <c r="E667" s="2"/>
      <c r="F667" s="2"/>
      <c r="G667" s="2"/>
      <c r="J667" s="2"/>
      <c r="L667" s="2"/>
      <c r="M667" s="2"/>
      <c r="N667" s="2"/>
    </row>
    <row r="668" spans="4:14" ht="12.75" x14ac:dyDescent="0.35">
      <c r="D668" s="2"/>
      <c r="E668" s="2"/>
      <c r="F668" s="2"/>
      <c r="G668" s="2"/>
      <c r="J668" s="2"/>
      <c r="L668" s="2"/>
      <c r="M668" s="2"/>
      <c r="N668" s="2"/>
    </row>
    <row r="669" spans="4:14" ht="12.75" x14ac:dyDescent="0.35">
      <c r="D669" s="2"/>
      <c r="E669" s="2"/>
      <c r="F669" s="2"/>
      <c r="G669" s="2"/>
      <c r="J669" s="2"/>
      <c r="L669" s="2"/>
      <c r="M669" s="2"/>
      <c r="N669" s="2"/>
    </row>
    <row r="670" spans="4:14" ht="12.75" x14ac:dyDescent="0.35">
      <c r="D670" s="2"/>
      <c r="E670" s="2"/>
      <c r="F670" s="2"/>
      <c r="G670" s="2"/>
      <c r="J670" s="2"/>
      <c r="L670" s="2"/>
      <c r="M670" s="2"/>
      <c r="N670" s="2"/>
    </row>
    <row r="671" spans="4:14" ht="12.75" x14ac:dyDescent="0.35">
      <c r="D671" s="2"/>
      <c r="E671" s="2"/>
      <c r="F671" s="2"/>
      <c r="G671" s="2"/>
      <c r="J671" s="2"/>
      <c r="L671" s="2"/>
      <c r="M671" s="2"/>
      <c r="N671" s="2"/>
    </row>
    <row r="672" spans="4:14" ht="12.75" x14ac:dyDescent="0.35">
      <c r="D672" s="2"/>
      <c r="E672" s="2"/>
      <c r="F672" s="2"/>
      <c r="G672" s="2"/>
      <c r="J672" s="2"/>
      <c r="L672" s="2"/>
      <c r="M672" s="2"/>
      <c r="N672" s="2"/>
    </row>
    <row r="673" spans="4:14" ht="12.75" x14ac:dyDescent="0.35">
      <c r="D673" s="2"/>
      <c r="E673" s="2"/>
      <c r="F673" s="2"/>
      <c r="G673" s="2"/>
      <c r="J673" s="2"/>
      <c r="L673" s="2"/>
      <c r="M673" s="2"/>
      <c r="N673" s="2"/>
    </row>
    <row r="674" spans="4:14" ht="12.75" x14ac:dyDescent="0.35">
      <c r="D674" s="2"/>
      <c r="E674" s="2"/>
      <c r="F674" s="2"/>
      <c r="G674" s="2"/>
      <c r="J674" s="2"/>
      <c r="L674" s="2"/>
      <c r="M674" s="2"/>
      <c r="N674" s="2"/>
    </row>
    <row r="675" spans="4:14" ht="12.75" x14ac:dyDescent="0.35">
      <c r="D675" s="2"/>
      <c r="E675" s="2"/>
      <c r="F675" s="2"/>
      <c r="G675" s="2"/>
      <c r="J675" s="2"/>
      <c r="L675" s="2"/>
      <c r="M675" s="2"/>
      <c r="N675" s="2"/>
    </row>
    <row r="676" spans="4:14" ht="12.75" x14ac:dyDescent="0.35">
      <c r="D676" s="2"/>
      <c r="E676" s="2"/>
      <c r="F676" s="2"/>
      <c r="G676" s="2"/>
      <c r="J676" s="2"/>
      <c r="L676" s="2"/>
      <c r="M676" s="2"/>
      <c r="N676" s="2"/>
    </row>
    <row r="677" spans="4:14" ht="12.75" x14ac:dyDescent="0.35">
      <c r="D677" s="2"/>
      <c r="E677" s="2"/>
      <c r="F677" s="2"/>
      <c r="G677" s="2"/>
      <c r="J677" s="2"/>
      <c r="L677" s="2"/>
      <c r="M677" s="2"/>
      <c r="N677" s="2"/>
    </row>
    <row r="678" spans="4:14" ht="12.75" x14ac:dyDescent="0.35">
      <c r="D678" s="2"/>
      <c r="E678" s="2"/>
      <c r="F678" s="2"/>
      <c r="G678" s="2"/>
      <c r="J678" s="2"/>
      <c r="L678" s="2"/>
      <c r="M678" s="2"/>
      <c r="N678" s="2"/>
    </row>
    <row r="679" spans="4:14" ht="12.75" x14ac:dyDescent="0.35">
      <c r="D679" s="2"/>
      <c r="E679" s="2"/>
      <c r="F679" s="2"/>
      <c r="G679" s="2"/>
      <c r="J679" s="2"/>
      <c r="L679" s="2"/>
      <c r="M679" s="2"/>
      <c r="N679" s="2"/>
    </row>
    <row r="680" spans="4:14" ht="12.75" x14ac:dyDescent="0.35">
      <c r="D680" s="2"/>
      <c r="E680" s="2"/>
      <c r="F680" s="2"/>
      <c r="G680" s="2"/>
      <c r="J680" s="2"/>
      <c r="L680" s="2"/>
      <c r="M680" s="2"/>
      <c r="N680" s="2"/>
    </row>
    <row r="681" spans="4:14" ht="12.75" x14ac:dyDescent="0.35">
      <c r="D681" s="2"/>
      <c r="E681" s="2"/>
      <c r="F681" s="2"/>
      <c r="G681" s="2"/>
      <c r="J681" s="2"/>
      <c r="L681" s="2"/>
      <c r="M681" s="2"/>
      <c r="N681" s="2"/>
    </row>
    <row r="682" spans="4:14" ht="12.75" x14ac:dyDescent="0.35">
      <c r="D682" s="2"/>
      <c r="E682" s="2"/>
      <c r="F682" s="2"/>
      <c r="G682" s="2"/>
      <c r="J682" s="2"/>
      <c r="L682" s="2"/>
      <c r="M682" s="2"/>
      <c r="N682" s="2"/>
    </row>
    <row r="683" spans="4:14" ht="12.75" x14ac:dyDescent="0.35">
      <c r="D683" s="2"/>
      <c r="E683" s="2"/>
      <c r="F683" s="2"/>
      <c r="G683" s="2"/>
      <c r="J683" s="2"/>
      <c r="L683" s="2"/>
      <c r="M683" s="2"/>
      <c r="N683" s="2"/>
    </row>
    <row r="684" spans="4:14" ht="12.75" x14ac:dyDescent="0.35">
      <c r="D684" s="2"/>
      <c r="E684" s="2"/>
      <c r="F684" s="2"/>
      <c r="G684" s="2"/>
      <c r="J684" s="2"/>
      <c r="L684" s="2"/>
      <c r="M684" s="2"/>
      <c r="N684" s="2"/>
    </row>
    <row r="685" spans="4:14" ht="12.75" x14ac:dyDescent="0.35">
      <c r="D685" s="2"/>
      <c r="E685" s="2"/>
      <c r="F685" s="2"/>
      <c r="G685" s="2"/>
      <c r="J685" s="2"/>
      <c r="L685" s="2"/>
      <c r="M685" s="2"/>
      <c r="N685" s="2"/>
    </row>
    <row r="686" spans="4:14" ht="12.75" x14ac:dyDescent="0.35">
      <c r="D686" s="2"/>
      <c r="E686" s="2"/>
      <c r="F686" s="2"/>
      <c r="G686" s="2"/>
      <c r="J686" s="2"/>
      <c r="L686" s="2"/>
      <c r="M686" s="2"/>
      <c r="N686" s="2"/>
    </row>
    <row r="687" spans="4:14" ht="12.75" x14ac:dyDescent="0.35">
      <c r="D687" s="2"/>
      <c r="E687" s="2"/>
      <c r="F687" s="2"/>
      <c r="G687" s="2"/>
      <c r="J687" s="2"/>
      <c r="L687" s="2"/>
      <c r="M687" s="2"/>
      <c r="N687" s="2"/>
    </row>
    <row r="688" spans="4:14" ht="12.75" x14ac:dyDescent="0.35">
      <c r="D688" s="2"/>
      <c r="E688" s="2"/>
      <c r="F688" s="2"/>
      <c r="G688" s="2"/>
      <c r="J688" s="2"/>
      <c r="L688" s="2"/>
      <c r="M688" s="2"/>
      <c r="N688" s="2"/>
    </row>
    <row r="689" spans="4:14" ht="12.75" x14ac:dyDescent="0.35">
      <c r="D689" s="2"/>
      <c r="E689" s="2"/>
      <c r="F689" s="2"/>
      <c r="G689" s="2"/>
      <c r="J689" s="2"/>
      <c r="L689" s="2"/>
      <c r="M689" s="2"/>
      <c r="N689" s="2"/>
    </row>
    <row r="690" spans="4:14" ht="12.75" x14ac:dyDescent="0.35">
      <c r="D690" s="2"/>
      <c r="E690" s="2"/>
      <c r="F690" s="2"/>
      <c r="G690" s="2"/>
      <c r="J690" s="2"/>
      <c r="L690" s="2"/>
      <c r="M690" s="2"/>
      <c r="N690" s="2"/>
    </row>
    <row r="691" spans="4:14" ht="12.75" x14ac:dyDescent="0.35">
      <c r="D691" s="2"/>
      <c r="E691" s="2"/>
      <c r="F691" s="2"/>
      <c r="G691" s="2"/>
      <c r="J691" s="2"/>
      <c r="L691" s="2"/>
      <c r="M691" s="2"/>
      <c r="N691" s="2"/>
    </row>
    <row r="692" spans="4:14" ht="12.75" x14ac:dyDescent="0.35">
      <c r="D692" s="2"/>
      <c r="E692" s="2"/>
      <c r="F692" s="2"/>
      <c r="G692" s="2"/>
      <c r="J692" s="2"/>
      <c r="L692" s="2"/>
      <c r="M692" s="2"/>
      <c r="N692" s="2"/>
    </row>
    <row r="693" spans="4:14" ht="12.75" x14ac:dyDescent="0.35">
      <c r="D693" s="2"/>
      <c r="E693" s="2"/>
      <c r="F693" s="2"/>
      <c r="G693" s="2"/>
      <c r="J693" s="2"/>
      <c r="L693" s="2"/>
      <c r="M693" s="2"/>
      <c r="N693" s="2"/>
    </row>
    <row r="694" spans="4:14" ht="12.75" x14ac:dyDescent="0.35">
      <c r="D694" s="2"/>
      <c r="E694" s="2"/>
      <c r="F694" s="2"/>
      <c r="G694" s="2"/>
      <c r="J694" s="2"/>
      <c r="L694" s="2"/>
      <c r="M694" s="2"/>
      <c r="N694" s="2"/>
    </row>
    <row r="695" spans="4:14" ht="12.75" x14ac:dyDescent="0.35">
      <c r="D695" s="2"/>
      <c r="E695" s="2"/>
      <c r="F695" s="2"/>
      <c r="G695" s="2"/>
      <c r="J695" s="2"/>
      <c r="L695" s="2"/>
      <c r="M695" s="2"/>
      <c r="N695" s="2"/>
    </row>
    <row r="696" spans="4:14" ht="12.75" x14ac:dyDescent="0.35">
      <c r="D696" s="2"/>
      <c r="E696" s="2"/>
      <c r="F696" s="2"/>
      <c r="G696" s="2"/>
      <c r="J696" s="2"/>
      <c r="L696" s="2"/>
      <c r="M696" s="2"/>
      <c r="N696" s="2"/>
    </row>
    <row r="697" spans="4:14" ht="12.75" x14ac:dyDescent="0.35">
      <c r="D697" s="2"/>
      <c r="E697" s="2"/>
      <c r="F697" s="2"/>
      <c r="G697" s="2"/>
      <c r="J697" s="2"/>
      <c r="L697" s="2"/>
      <c r="M697" s="2"/>
      <c r="N697" s="2"/>
    </row>
    <row r="698" spans="4:14" ht="12.75" x14ac:dyDescent="0.35">
      <c r="D698" s="2"/>
      <c r="E698" s="2"/>
      <c r="F698" s="2"/>
      <c r="G698" s="2"/>
      <c r="J698" s="2"/>
      <c r="L698" s="2"/>
      <c r="M698" s="2"/>
      <c r="N698" s="2"/>
    </row>
    <row r="699" spans="4:14" ht="12.75" x14ac:dyDescent="0.35">
      <c r="D699" s="2"/>
      <c r="E699" s="2"/>
      <c r="F699" s="2"/>
      <c r="G699" s="2"/>
      <c r="J699" s="2"/>
      <c r="L699" s="2"/>
      <c r="M699" s="2"/>
      <c r="N699" s="2"/>
    </row>
    <row r="700" spans="4:14" ht="12.75" x14ac:dyDescent="0.35">
      <c r="D700" s="2"/>
      <c r="E700" s="2"/>
      <c r="F700" s="2"/>
      <c r="G700" s="2"/>
      <c r="J700" s="2"/>
      <c r="L700" s="2"/>
      <c r="M700" s="2"/>
      <c r="N700" s="2"/>
    </row>
    <row r="701" spans="4:14" ht="12.75" x14ac:dyDescent="0.35">
      <c r="D701" s="2"/>
      <c r="E701" s="2"/>
      <c r="F701" s="2"/>
      <c r="G701" s="2"/>
      <c r="J701" s="2"/>
      <c r="L701" s="2"/>
      <c r="M701" s="2"/>
      <c r="N701" s="2"/>
    </row>
    <row r="702" spans="4:14" ht="12.75" x14ac:dyDescent="0.35">
      <c r="D702" s="2"/>
      <c r="E702" s="2"/>
      <c r="F702" s="2"/>
      <c r="G702" s="2"/>
      <c r="J702" s="2"/>
      <c r="L702" s="2"/>
      <c r="M702" s="2"/>
      <c r="N702" s="2"/>
    </row>
    <row r="703" spans="4:14" ht="12.75" x14ac:dyDescent="0.35">
      <c r="D703" s="2"/>
      <c r="E703" s="2"/>
      <c r="F703" s="2"/>
      <c r="G703" s="2"/>
      <c r="J703" s="2"/>
      <c r="L703" s="2"/>
      <c r="M703" s="2"/>
      <c r="N703" s="2"/>
    </row>
    <row r="704" spans="4:14" ht="12.75" x14ac:dyDescent="0.35">
      <c r="D704" s="2"/>
      <c r="E704" s="2"/>
      <c r="F704" s="2"/>
      <c r="G704" s="2"/>
      <c r="J704" s="2"/>
      <c r="L704" s="2"/>
      <c r="M704" s="2"/>
      <c r="N704" s="2"/>
    </row>
    <row r="705" spans="4:14" ht="12.75" x14ac:dyDescent="0.35">
      <c r="D705" s="2"/>
      <c r="E705" s="2"/>
      <c r="F705" s="2"/>
      <c r="G705" s="2"/>
      <c r="J705" s="2"/>
      <c r="L705" s="2"/>
      <c r="M705" s="2"/>
      <c r="N705" s="2"/>
    </row>
    <row r="706" spans="4:14" ht="12.75" x14ac:dyDescent="0.35">
      <c r="D706" s="2"/>
      <c r="E706" s="2"/>
      <c r="F706" s="2"/>
      <c r="G706" s="2"/>
      <c r="J706" s="2"/>
      <c r="L706" s="2"/>
      <c r="M706" s="2"/>
      <c r="N706" s="2"/>
    </row>
    <row r="707" spans="4:14" ht="12.75" x14ac:dyDescent="0.35">
      <c r="D707" s="2"/>
      <c r="E707" s="2"/>
      <c r="F707" s="2"/>
      <c r="G707" s="2"/>
      <c r="J707" s="2"/>
      <c r="L707" s="2"/>
      <c r="M707" s="2"/>
      <c r="N707" s="2"/>
    </row>
    <row r="708" spans="4:14" ht="12.75" x14ac:dyDescent="0.35">
      <c r="D708" s="2"/>
      <c r="E708" s="2"/>
      <c r="F708" s="2"/>
      <c r="G708" s="2"/>
      <c r="J708" s="2"/>
      <c r="L708" s="2"/>
      <c r="M708" s="2"/>
      <c r="N708" s="2"/>
    </row>
    <row r="709" spans="4:14" ht="12.75" x14ac:dyDescent="0.35">
      <c r="D709" s="2"/>
      <c r="E709" s="2"/>
      <c r="F709" s="2"/>
      <c r="G709" s="2"/>
      <c r="J709" s="2"/>
      <c r="L709" s="2"/>
      <c r="M709" s="2"/>
      <c r="N709" s="2"/>
    </row>
    <row r="710" spans="4:14" ht="12.75" x14ac:dyDescent="0.35">
      <c r="D710" s="2"/>
      <c r="E710" s="2"/>
      <c r="F710" s="2"/>
      <c r="G710" s="2"/>
      <c r="J710" s="2"/>
      <c r="L710" s="2"/>
      <c r="M710" s="2"/>
      <c r="N710" s="2"/>
    </row>
    <row r="711" spans="4:14" ht="12.75" x14ac:dyDescent="0.35">
      <c r="D711" s="2"/>
      <c r="E711" s="2"/>
      <c r="F711" s="2"/>
      <c r="G711" s="2"/>
      <c r="J711" s="2"/>
      <c r="L711" s="2"/>
      <c r="M711" s="2"/>
      <c r="N711" s="2"/>
    </row>
    <row r="712" spans="4:14" ht="12.75" x14ac:dyDescent="0.35">
      <c r="D712" s="2"/>
      <c r="E712" s="2"/>
      <c r="F712" s="2"/>
      <c r="G712" s="2"/>
      <c r="J712" s="2"/>
      <c r="L712" s="2"/>
      <c r="M712" s="2"/>
      <c r="N712" s="2"/>
    </row>
    <row r="713" spans="4:14" ht="12.75" x14ac:dyDescent="0.35">
      <c r="D713" s="2"/>
      <c r="E713" s="2"/>
      <c r="F713" s="2"/>
      <c r="G713" s="2"/>
      <c r="J713" s="2"/>
      <c r="L713" s="2"/>
      <c r="M713" s="2"/>
      <c r="N713" s="2"/>
    </row>
    <row r="714" spans="4:14" ht="12.75" x14ac:dyDescent="0.35">
      <c r="D714" s="2"/>
      <c r="E714" s="2"/>
      <c r="F714" s="2"/>
      <c r="G714" s="2"/>
      <c r="J714" s="2"/>
      <c r="L714" s="2"/>
      <c r="M714" s="2"/>
      <c r="N714" s="2"/>
    </row>
    <row r="715" spans="4:14" ht="12.75" x14ac:dyDescent="0.35">
      <c r="D715" s="2"/>
      <c r="E715" s="2"/>
      <c r="F715" s="2"/>
      <c r="G715" s="2"/>
      <c r="J715" s="2"/>
      <c r="L715" s="2"/>
      <c r="M715" s="2"/>
      <c r="N715" s="2"/>
    </row>
    <row r="716" spans="4:14" ht="12.75" x14ac:dyDescent="0.35">
      <c r="D716" s="2"/>
      <c r="E716" s="2"/>
      <c r="F716" s="2"/>
      <c r="G716" s="2"/>
      <c r="J716" s="2"/>
      <c r="L716" s="2"/>
      <c r="M716" s="2"/>
      <c r="N716" s="2"/>
    </row>
    <row r="717" spans="4:14" ht="12.75" x14ac:dyDescent="0.35">
      <c r="D717" s="2"/>
      <c r="E717" s="2"/>
      <c r="F717" s="2"/>
      <c r="G717" s="2"/>
      <c r="J717" s="2"/>
      <c r="L717" s="2"/>
      <c r="M717" s="2"/>
      <c r="N717" s="2"/>
    </row>
    <row r="718" spans="4:14" ht="12.75" x14ac:dyDescent="0.35">
      <c r="D718" s="2"/>
      <c r="E718" s="2"/>
      <c r="F718" s="2"/>
      <c r="G718" s="2"/>
      <c r="J718" s="2"/>
      <c r="L718" s="2"/>
      <c r="M718" s="2"/>
      <c r="N718" s="2"/>
    </row>
    <row r="719" spans="4:14" ht="12.75" x14ac:dyDescent="0.35">
      <c r="D719" s="2"/>
      <c r="E719" s="2"/>
      <c r="F719" s="2"/>
      <c r="G719" s="2"/>
      <c r="J719" s="2"/>
      <c r="L719" s="2"/>
      <c r="M719" s="2"/>
      <c r="N719" s="2"/>
    </row>
    <row r="720" spans="4:14" ht="12.75" x14ac:dyDescent="0.35">
      <c r="D720" s="2"/>
      <c r="E720" s="2"/>
      <c r="F720" s="2"/>
      <c r="G720" s="2"/>
      <c r="J720" s="2"/>
      <c r="L720" s="2"/>
      <c r="M720" s="2"/>
      <c r="N720" s="2"/>
    </row>
    <row r="721" spans="4:14" ht="12.75" x14ac:dyDescent="0.35">
      <c r="D721" s="2"/>
      <c r="E721" s="2"/>
      <c r="F721" s="2"/>
      <c r="G721" s="2"/>
      <c r="J721" s="2"/>
      <c r="L721" s="2"/>
      <c r="M721" s="2"/>
      <c r="N721" s="2"/>
    </row>
    <row r="722" spans="4:14" ht="12.75" x14ac:dyDescent="0.35">
      <c r="D722" s="2"/>
      <c r="E722" s="2"/>
      <c r="F722" s="2"/>
      <c r="G722" s="2"/>
      <c r="J722" s="2"/>
      <c r="L722" s="2"/>
      <c r="M722" s="2"/>
      <c r="N722" s="2"/>
    </row>
    <row r="723" spans="4:14" ht="12.75" x14ac:dyDescent="0.35">
      <c r="D723" s="2"/>
      <c r="E723" s="2"/>
      <c r="F723" s="2"/>
      <c r="G723" s="2"/>
      <c r="J723" s="2"/>
      <c r="L723" s="2"/>
      <c r="M723" s="2"/>
      <c r="N723" s="2"/>
    </row>
    <row r="724" spans="4:14" ht="12.75" x14ac:dyDescent="0.35">
      <c r="D724" s="2"/>
      <c r="E724" s="2"/>
      <c r="F724" s="2"/>
      <c r="G724" s="2"/>
      <c r="J724" s="2"/>
      <c r="L724" s="2"/>
      <c r="M724" s="2"/>
      <c r="N724" s="2"/>
    </row>
    <row r="725" spans="4:14" ht="12.75" x14ac:dyDescent="0.35">
      <c r="D725" s="2"/>
      <c r="E725" s="2"/>
      <c r="F725" s="2"/>
      <c r="G725" s="2"/>
      <c r="J725" s="2"/>
      <c r="L725" s="2"/>
      <c r="M725" s="2"/>
      <c r="N725" s="2"/>
    </row>
    <row r="726" spans="4:14" ht="12.75" x14ac:dyDescent="0.35">
      <c r="D726" s="2"/>
      <c r="E726" s="2"/>
      <c r="F726" s="2"/>
      <c r="G726" s="2"/>
      <c r="J726" s="2"/>
      <c r="L726" s="2"/>
      <c r="M726" s="2"/>
      <c r="N726" s="2"/>
    </row>
    <row r="727" spans="4:14" ht="12.75" x14ac:dyDescent="0.35">
      <c r="D727" s="2"/>
      <c r="E727" s="2"/>
      <c r="F727" s="2"/>
      <c r="G727" s="2"/>
      <c r="J727" s="2"/>
      <c r="L727" s="2"/>
      <c r="M727" s="2"/>
      <c r="N727" s="2"/>
    </row>
    <row r="728" spans="4:14" ht="12.75" x14ac:dyDescent="0.35">
      <c r="D728" s="2"/>
      <c r="E728" s="2"/>
      <c r="F728" s="2"/>
      <c r="G728" s="2"/>
      <c r="J728" s="2"/>
      <c r="L728" s="2"/>
      <c r="M728" s="2"/>
      <c r="N728" s="2"/>
    </row>
    <row r="729" spans="4:14" ht="12.75" x14ac:dyDescent="0.35">
      <c r="D729" s="2"/>
      <c r="E729" s="2"/>
      <c r="F729" s="2"/>
      <c r="G729" s="2"/>
      <c r="J729" s="2"/>
      <c r="L729" s="2"/>
      <c r="M729" s="2"/>
      <c r="N729" s="2"/>
    </row>
    <row r="730" spans="4:14" ht="12.75" x14ac:dyDescent="0.35">
      <c r="D730" s="2"/>
      <c r="E730" s="2"/>
      <c r="F730" s="2"/>
      <c r="G730" s="2"/>
      <c r="J730" s="2"/>
      <c r="L730" s="2"/>
      <c r="M730" s="2"/>
      <c r="N730" s="2"/>
    </row>
    <row r="731" spans="4:14" ht="12.75" x14ac:dyDescent="0.35">
      <c r="D731" s="2"/>
      <c r="E731" s="2"/>
      <c r="F731" s="2"/>
      <c r="G731" s="2"/>
      <c r="J731" s="2"/>
      <c r="L731" s="2"/>
      <c r="M731" s="2"/>
      <c r="N731" s="2"/>
    </row>
    <row r="732" spans="4:14" ht="12.75" x14ac:dyDescent="0.35">
      <c r="D732" s="2"/>
      <c r="E732" s="2"/>
      <c r="F732" s="2"/>
      <c r="G732" s="2"/>
      <c r="J732" s="2"/>
      <c r="L732" s="2"/>
      <c r="M732" s="2"/>
      <c r="N732" s="2"/>
    </row>
    <row r="733" spans="4:14" ht="12.75" x14ac:dyDescent="0.35">
      <c r="D733" s="2"/>
      <c r="E733" s="2"/>
      <c r="F733" s="2"/>
      <c r="G733" s="2"/>
      <c r="J733" s="2"/>
      <c r="L733" s="2"/>
      <c r="M733" s="2"/>
      <c r="N733" s="2"/>
    </row>
    <row r="734" spans="4:14" ht="12.75" x14ac:dyDescent="0.35">
      <c r="D734" s="2"/>
      <c r="E734" s="2"/>
      <c r="F734" s="2"/>
      <c r="G734" s="2"/>
      <c r="J734" s="2"/>
      <c r="L734" s="2"/>
      <c r="M734" s="2"/>
      <c r="N734" s="2"/>
    </row>
    <row r="735" spans="4:14" ht="12.75" x14ac:dyDescent="0.35">
      <c r="D735" s="2"/>
      <c r="E735" s="2"/>
      <c r="F735" s="2"/>
      <c r="G735" s="2"/>
      <c r="J735" s="2"/>
      <c r="L735" s="2"/>
      <c r="M735" s="2"/>
      <c r="N735" s="2"/>
    </row>
    <row r="736" spans="4:14" ht="12.75" x14ac:dyDescent="0.35">
      <c r="D736" s="2"/>
      <c r="E736" s="2"/>
      <c r="F736" s="2"/>
      <c r="G736" s="2"/>
      <c r="J736" s="2"/>
      <c r="L736" s="2"/>
      <c r="M736" s="2"/>
      <c r="N736" s="2"/>
    </row>
    <row r="737" spans="4:14" ht="12.75" x14ac:dyDescent="0.35">
      <c r="D737" s="2"/>
      <c r="E737" s="2"/>
      <c r="F737" s="2"/>
      <c r="G737" s="2"/>
      <c r="J737" s="2"/>
      <c r="L737" s="2"/>
      <c r="M737" s="2"/>
      <c r="N737" s="2"/>
    </row>
    <row r="738" spans="4:14" ht="12.75" x14ac:dyDescent="0.35">
      <c r="D738" s="2"/>
      <c r="E738" s="2"/>
      <c r="F738" s="2"/>
      <c r="G738" s="2"/>
      <c r="J738" s="2"/>
      <c r="L738" s="2"/>
      <c r="M738" s="2"/>
      <c r="N738" s="2"/>
    </row>
    <row r="739" spans="4:14" ht="12.75" x14ac:dyDescent="0.35">
      <c r="D739" s="2"/>
      <c r="E739" s="2"/>
      <c r="F739" s="2"/>
      <c r="G739" s="2"/>
      <c r="J739" s="2"/>
      <c r="L739" s="2"/>
      <c r="M739" s="2"/>
      <c r="N739" s="2"/>
    </row>
    <row r="740" spans="4:14" ht="12.75" x14ac:dyDescent="0.35">
      <c r="D740" s="2"/>
      <c r="E740" s="2"/>
      <c r="F740" s="2"/>
      <c r="G740" s="2"/>
      <c r="J740" s="2"/>
      <c r="L740" s="2"/>
      <c r="M740" s="2"/>
      <c r="N740" s="2"/>
    </row>
    <row r="741" spans="4:14" ht="12.75" x14ac:dyDescent="0.35">
      <c r="D741" s="2"/>
      <c r="E741" s="2"/>
      <c r="F741" s="2"/>
      <c r="G741" s="2"/>
      <c r="J741" s="2"/>
      <c r="L741" s="2"/>
      <c r="M741" s="2"/>
      <c r="N741" s="2"/>
    </row>
    <row r="742" spans="4:14" ht="12.75" x14ac:dyDescent="0.35">
      <c r="D742" s="2"/>
      <c r="E742" s="2"/>
      <c r="F742" s="2"/>
      <c r="G742" s="2"/>
      <c r="J742" s="2"/>
      <c r="L742" s="2"/>
      <c r="M742" s="2"/>
      <c r="N742" s="2"/>
    </row>
    <row r="743" spans="4:14" ht="12.75" x14ac:dyDescent="0.35">
      <c r="D743" s="2"/>
      <c r="E743" s="2"/>
      <c r="F743" s="2"/>
      <c r="G743" s="2"/>
      <c r="J743" s="2"/>
      <c r="L743" s="2"/>
      <c r="M743" s="2"/>
      <c r="N743" s="2"/>
    </row>
    <row r="744" spans="4:14" ht="12.75" x14ac:dyDescent="0.35">
      <c r="D744" s="2"/>
      <c r="E744" s="2"/>
      <c r="F744" s="2"/>
      <c r="G744" s="2"/>
      <c r="J744" s="2"/>
      <c r="L744" s="2"/>
      <c r="M744" s="2"/>
      <c r="N744" s="2"/>
    </row>
    <row r="745" spans="4:14" ht="12.75" x14ac:dyDescent="0.35">
      <c r="D745" s="2"/>
      <c r="E745" s="2"/>
      <c r="F745" s="2"/>
      <c r="G745" s="2"/>
      <c r="J745" s="2"/>
      <c r="L745" s="2"/>
      <c r="M745" s="2"/>
      <c r="N745" s="2"/>
    </row>
    <row r="746" spans="4:14" ht="12.75" x14ac:dyDescent="0.35">
      <c r="D746" s="2"/>
      <c r="E746" s="2"/>
      <c r="F746" s="2"/>
      <c r="G746" s="2"/>
      <c r="J746" s="2"/>
      <c r="L746" s="2"/>
      <c r="M746" s="2"/>
      <c r="N746" s="2"/>
    </row>
    <row r="747" spans="4:14" ht="12.75" x14ac:dyDescent="0.35">
      <c r="D747" s="2"/>
      <c r="E747" s="2"/>
      <c r="F747" s="2"/>
      <c r="G747" s="2"/>
      <c r="J747" s="2"/>
      <c r="L747" s="2"/>
      <c r="M747" s="2"/>
      <c r="N747" s="2"/>
    </row>
    <row r="748" spans="4:14" ht="12.75" x14ac:dyDescent="0.35">
      <c r="D748" s="2"/>
      <c r="E748" s="2"/>
      <c r="F748" s="2"/>
      <c r="G748" s="2"/>
      <c r="J748" s="2"/>
      <c r="L748" s="2"/>
      <c r="M748" s="2"/>
      <c r="N748" s="2"/>
    </row>
    <row r="749" spans="4:14" ht="12.75" x14ac:dyDescent="0.35">
      <c r="D749" s="2"/>
      <c r="E749" s="2"/>
      <c r="F749" s="2"/>
      <c r="G749" s="2"/>
      <c r="J749" s="2"/>
      <c r="L749" s="2"/>
      <c r="M749" s="2"/>
      <c r="N749" s="2"/>
    </row>
    <row r="750" spans="4:14" ht="12.75" x14ac:dyDescent="0.35">
      <c r="D750" s="2"/>
      <c r="E750" s="2"/>
      <c r="F750" s="2"/>
      <c r="G750" s="2"/>
      <c r="J750" s="2"/>
      <c r="L750" s="2"/>
      <c r="M750" s="2"/>
      <c r="N750" s="2"/>
    </row>
    <row r="751" spans="4:14" ht="12.75" x14ac:dyDescent="0.35">
      <c r="D751" s="2"/>
      <c r="E751" s="2"/>
      <c r="F751" s="2"/>
      <c r="G751" s="2"/>
      <c r="J751" s="2"/>
      <c r="L751" s="2"/>
      <c r="M751" s="2"/>
      <c r="N751" s="2"/>
    </row>
    <row r="752" spans="4:14" ht="12.75" x14ac:dyDescent="0.35">
      <c r="D752" s="2"/>
      <c r="E752" s="2"/>
      <c r="F752" s="2"/>
      <c r="G752" s="2"/>
      <c r="J752" s="2"/>
      <c r="L752" s="2"/>
      <c r="M752" s="2"/>
      <c r="N752" s="2"/>
    </row>
    <row r="753" spans="4:14" ht="12.75" x14ac:dyDescent="0.35">
      <c r="D753" s="2"/>
      <c r="E753" s="2"/>
      <c r="F753" s="2"/>
      <c r="G753" s="2"/>
      <c r="J753" s="2"/>
      <c r="L753" s="2"/>
      <c r="M753" s="2"/>
      <c r="N753" s="2"/>
    </row>
    <row r="754" spans="4:14" ht="12.75" x14ac:dyDescent="0.35">
      <c r="D754" s="2"/>
      <c r="E754" s="2"/>
      <c r="F754" s="2"/>
      <c r="G754" s="2"/>
      <c r="J754" s="2"/>
      <c r="L754" s="2"/>
      <c r="M754" s="2"/>
      <c r="N754" s="2"/>
    </row>
    <row r="755" spans="4:14" ht="12.75" x14ac:dyDescent="0.35">
      <c r="D755" s="2"/>
      <c r="E755" s="2"/>
      <c r="F755" s="2"/>
      <c r="G755" s="2"/>
      <c r="J755" s="2"/>
      <c r="L755" s="2"/>
      <c r="M755" s="2"/>
      <c r="N755" s="2"/>
    </row>
    <row r="756" spans="4:14" ht="12.75" x14ac:dyDescent="0.35">
      <c r="D756" s="2"/>
      <c r="E756" s="2"/>
      <c r="F756" s="2"/>
      <c r="G756" s="2"/>
      <c r="J756" s="2"/>
      <c r="L756" s="2"/>
      <c r="M756" s="2"/>
      <c r="N756" s="2"/>
    </row>
    <row r="757" spans="4:14" ht="12.75" x14ac:dyDescent="0.35">
      <c r="D757" s="2"/>
      <c r="E757" s="2"/>
      <c r="F757" s="2"/>
      <c r="G757" s="2"/>
      <c r="J757" s="2"/>
      <c r="L757" s="2"/>
      <c r="M757" s="2"/>
      <c r="N757" s="2"/>
    </row>
    <row r="758" spans="4:14" ht="12.75" x14ac:dyDescent="0.35">
      <c r="D758" s="2"/>
      <c r="E758" s="2"/>
      <c r="F758" s="2"/>
      <c r="G758" s="2"/>
      <c r="J758" s="2"/>
      <c r="L758" s="2"/>
      <c r="M758" s="2"/>
      <c r="N758" s="2"/>
    </row>
    <row r="759" spans="4:14" ht="12.75" x14ac:dyDescent="0.35">
      <c r="D759" s="2"/>
      <c r="E759" s="2"/>
      <c r="F759" s="2"/>
      <c r="G759" s="2"/>
      <c r="J759" s="2"/>
      <c r="L759" s="2"/>
      <c r="M759" s="2"/>
      <c r="N759" s="2"/>
    </row>
    <row r="760" spans="4:14" ht="12.75" x14ac:dyDescent="0.35">
      <c r="D760" s="2"/>
      <c r="E760" s="2"/>
      <c r="F760" s="2"/>
      <c r="G760" s="2"/>
      <c r="J760" s="2"/>
      <c r="L760" s="2"/>
      <c r="M760" s="2"/>
      <c r="N760" s="2"/>
    </row>
    <row r="761" spans="4:14" ht="12.75" x14ac:dyDescent="0.35">
      <c r="D761" s="2"/>
      <c r="E761" s="2"/>
      <c r="F761" s="2"/>
      <c r="G761" s="2"/>
      <c r="J761" s="2"/>
      <c r="L761" s="2"/>
      <c r="M761" s="2"/>
      <c r="N761" s="2"/>
    </row>
    <row r="762" spans="4:14" ht="12.75" x14ac:dyDescent="0.35">
      <c r="D762" s="2"/>
      <c r="E762" s="2"/>
      <c r="F762" s="2"/>
      <c r="G762" s="2"/>
      <c r="J762" s="2"/>
      <c r="L762" s="2"/>
      <c r="M762" s="2"/>
      <c r="N762" s="2"/>
    </row>
    <row r="763" spans="4:14" ht="12.75" x14ac:dyDescent="0.35">
      <c r="D763" s="2"/>
      <c r="E763" s="2"/>
      <c r="F763" s="2"/>
      <c r="G763" s="2"/>
      <c r="J763" s="2"/>
      <c r="L763" s="2"/>
      <c r="M763" s="2"/>
      <c r="N763" s="2"/>
    </row>
    <row r="764" spans="4:14" ht="12.75" x14ac:dyDescent="0.35">
      <c r="D764" s="2"/>
      <c r="E764" s="2"/>
      <c r="F764" s="2"/>
      <c r="G764" s="2"/>
      <c r="J764" s="2"/>
      <c r="L764" s="2"/>
      <c r="M764" s="2"/>
      <c r="N764" s="2"/>
    </row>
    <row r="765" spans="4:14" ht="12.75" x14ac:dyDescent="0.35">
      <c r="D765" s="2"/>
      <c r="E765" s="2"/>
      <c r="F765" s="2"/>
      <c r="G765" s="2"/>
      <c r="J765" s="2"/>
      <c r="L765" s="2"/>
      <c r="M765" s="2"/>
      <c r="N765" s="2"/>
    </row>
    <row r="766" spans="4:14" ht="12.75" x14ac:dyDescent="0.35">
      <c r="D766" s="2"/>
      <c r="E766" s="2"/>
      <c r="F766" s="2"/>
      <c r="G766" s="2"/>
      <c r="J766" s="2"/>
      <c r="L766" s="2"/>
      <c r="M766" s="2"/>
      <c r="N766" s="2"/>
    </row>
    <row r="767" spans="4:14" ht="12.75" x14ac:dyDescent="0.35">
      <c r="D767" s="2"/>
      <c r="E767" s="2"/>
      <c r="F767" s="2"/>
      <c r="G767" s="2"/>
      <c r="J767" s="2"/>
      <c r="L767" s="2"/>
      <c r="M767" s="2"/>
      <c r="N767" s="2"/>
    </row>
    <row r="768" spans="4:14" ht="12.75" x14ac:dyDescent="0.35">
      <c r="D768" s="2"/>
      <c r="E768" s="2"/>
      <c r="F768" s="2"/>
      <c r="G768" s="2"/>
      <c r="J768" s="2"/>
      <c r="L768" s="2"/>
      <c r="M768" s="2"/>
      <c r="N768" s="2"/>
    </row>
    <row r="769" spans="4:14" ht="12.75" x14ac:dyDescent="0.35">
      <c r="D769" s="2"/>
      <c r="E769" s="2"/>
      <c r="F769" s="2"/>
      <c r="G769" s="2"/>
      <c r="J769" s="2"/>
      <c r="L769" s="2"/>
      <c r="M769" s="2"/>
      <c r="N769" s="2"/>
    </row>
    <row r="770" spans="4:14" ht="12.75" x14ac:dyDescent="0.35">
      <c r="D770" s="2"/>
      <c r="E770" s="2"/>
      <c r="F770" s="2"/>
      <c r="G770" s="2"/>
      <c r="J770" s="2"/>
      <c r="L770" s="2"/>
      <c r="M770" s="2"/>
      <c r="N770" s="2"/>
    </row>
    <row r="771" spans="4:14" ht="12.75" x14ac:dyDescent="0.35">
      <c r="D771" s="2"/>
      <c r="E771" s="2"/>
      <c r="F771" s="2"/>
      <c r="G771" s="2"/>
      <c r="J771" s="2"/>
      <c r="L771" s="2"/>
      <c r="M771" s="2"/>
      <c r="N771" s="2"/>
    </row>
    <row r="772" spans="4:14" ht="12.75" x14ac:dyDescent="0.35">
      <c r="D772" s="2"/>
      <c r="E772" s="2"/>
      <c r="F772" s="2"/>
      <c r="G772" s="2"/>
      <c r="J772" s="2"/>
      <c r="L772" s="2"/>
      <c r="M772" s="2"/>
      <c r="N772" s="2"/>
    </row>
    <row r="773" spans="4:14" ht="12.75" x14ac:dyDescent="0.35">
      <c r="D773" s="2"/>
      <c r="E773" s="2"/>
      <c r="F773" s="2"/>
      <c r="G773" s="2"/>
      <c r="J773" s="2"/>
      <c r="L773" s="2"/>
      <c r="M773" s="2"/>
      <c r="N773" s="2"/>
    </row>
    <row r="774" spans="4:14" ht="12.75" x14ac:dyDescent="0.35">
      <c r="D774" s="2"/>
      <c r="E774" s="2"/>
      <c r="F774" s="2"/>
      <c r="G774" s="2"/>
      <c r="J774" s="2"/>
      <c r="L774" s="2"/>
      <c r="M774" s="2"/>
      <c r="N774" s="2"/>
    </row>
    <row r="775" spans="4:14" ht="12.75" x14ac:dyDescent="0.35">
      <c r="D775" s="2"/>
      <c r="E775" s="2"/>
      <c r="F775" s="2"/>
      <c r="G775" s="2"/>
      <c r="J775" s="2"/>
      <c r="L775" s="2"/>
      <c r="M775" s="2"/>
      <c r="N775" s="2"/>
    </row>
    <row r="776" spans="4:14" ht="12.75" x14ac:dyDescent="0.35">
      <c r="D776" s="2"/>
      <c r="E776" s="2"/>
      <c r="F776" s="2"/>
      <c r="G776" s="2"/>
      <c r="J776" s="2"/>
      <c r="L776" s="2"/>
      <c r="M776" s="2"/>
      <c r="N776" s="2"/>
    </row>
    <row r="777" spans="4:14" ht="12.75" x14ac:dyDescent="0.35">
      <c r="D777" s="2"/>
      <c r="E777" s="2"/>
      <c r="F777" s="2"/>
      <c r="G777" s="2"/>
      <c r="J777" s="2"/>
      <c r="L777" s="2"/>
      <c r="M777" s="2"/>
      <c r="N777" s="2"/>
    </row>
    <row r="778" spans="4:14" ht="12.75" x14ac:dyDescent="0.35">
      <c r="D778" s="2"/>
      <c r="E778" s="2"/>
      <c r="F778" s="2"/>
      <c r="G778" s="2"/>
      <c r="J778" s="2"/>
      <c r="L778" s="2"/>
      <c r="M778" s="2"/>
      <c r="N778" s="2"/>
    </row>
    <row r="779" spans="4:14" ht="12.75" x14ac:dyDescent="0.35">
      <c r="D779" s="2"/>
      <c r="E779" s="2"/>
      <c r="F779" s="2"/>
      <c r="G779" s="2"/>
      <c r="J779" s="2"/>
      <c r="L779" s="2"/>
      <c r="M779" s="2"/>
      <c r="N779" s="2"/>
    </row>
    <row r="780" spans="4:14" ht="12.75" x14ac:dyDescent="0.35">
      <c r="D780" s="2"/>
      <c r="E780" s="2"/>
      <c r="F780" s="2"/>
      <c r="G780" s="2"/>
      <c r="J780" s="2"/>
      <c r="L780" s="2"/>
      <c r="M780" s="2"/>
      <c r="N780" s="2"/>
    </row>
    <row r="781" spans="4:14" ht="12.75" x14ac:dyDescent="0.35">
      <c r="D781" s="2"/>
      <c r="E781" s="2"/>
      <c r="F781" s="2"/>
      <c r="G781" s="2"/>
      <c r="J781" s="2"/>
      <c r="L781" s="2"/>
      <c r="M781" s="2"/>
      <c r="N781" s="2"/>
    </row>
    <row r="782" spans="4:14" ht="12.75" x14ac:dyDescent="0.35">
      <c r="D782" s="2"/>
      <c r="E782" s="2"/>
      <c r="F782" s="2"/>
      <c r="G782" s="2"/>
      <c r="J782" s="2"/>
      <c r="L782" s="2"/>
      <c r="M782" s="2"/>
      <c r="N782" s="2"/>
    </row>
    <row r="783" spans="4:14" ht="12.75" x14ac:dyDescent="0.35">
      <c r="D783" s="2"/>
      <c r="E783" s="2"/>
      <c r="F783" s="2"/>
      <c r="G783" s="2"/>
      <c r="J783" s="2"/>
      <c r="L783" s="2"/>
      <c r="M783" s="2"/>
      <c r="N783" s="2"/>
    </row>
    <row r="784" spans="4:14" ht="12.75" x14ac:dyDescent="0.35">
      <c r="D784" s="2"/>
      <c r="E784" s="2"/>
      <c r="F784" s="2"/>
      <c r="G784" s="2"/>
      <c r="J784" s="2"/>
      <c r="L784" s="2"/>
      <c r="M784" s="2"/>
      <c r="N784" s="2"/>
    </row>
    <row r="785" spans="4:14" ht="12.75" x14ac:dyDescent="0.35">
      <c r="D785" s="2"/>
      <c r="E785" s="2"/>
      <c r="F785" s="2"/>
      <c r="G785" s="2"/>
      <c r="J785" s="2"/>
      <c r="L785" s="2"/>
      <c r="M785" s="2"/>
      <c r="N785" s="2"/>
    </row>
    <row r="786" spans="4:14" ht="12.75" x14ac:dyDescent="0.35">
      <c r="D786" s="2"/>
      <c r="E786" s="2"/>
      <c r="F786" s="2"/>
      <c r="G786" s="2"/>
      <c r="J786" s="2"/>
      <c r="L786" s="2"/>
      <c r="M786" s="2"/>
      <c r="N786" s="2"/>
    </row>
    <row r="787" spans="4:14" ht="12.75" x14ac:dyDescent="0.35">
      <c r="D787" s="2"/>
      <c r="E787" s="2"/>
      <c r="F787" s="2"/>
      <c r="G787" s="2"/>
      <c r="J787" s="2"/>
      <c r="L787" s="2"/>
      <c r="M787" s="2"/>
      <c r="N787" s="2"/>
    </row>
    <row r="788" spans="4:14" ht="12.75" x14ac:dyDescent="0.35">
      <c r="D788" s="2"/>
      <c r="E788" s="2"/>
      <c r="F788" s="2"/>
      <c r="G788" s="2"/>
      <c r="J788" s="2"/>
      <c r="L788" s="2"/>
      <c r="M788" s="2"/>
      <c r="N788" s="2"/>
    </row>
    <row r="789" spans="4:14" ht="12.75" x14ac:dyDescent="0.35">
      <c r="D789" s="2"/>
      <c r="E789" s="2"/>
      <c r="F789" s="2"/>
      <c r="G789" s="2"/>
      <c r="J789" s="2"/>
      <c r="L789" s="2"/>
      <c r="M789" s="2"/>
      <c r="N789" s="2"/>
    </row>
    <row r="790" spans="4:14" ht="12.75" x14ac:dyDescent="0.35">
      <c r="D790" s="2"/>
      <c r="E790" s="2"/>
      <c r="F790" s="2"/>
      <c r="G790" s="2"/>
      <c r="J790" s="2"/>
      <c r="L790" s="2"/>
      <c r="M790" s="2"/>
      <c r="N790" s="2"/>
    </row>
    <row r="791" spans="4:14" ht="12.75" x14ac:dyDescent="0.35">
      <c r="D791" s="2"/>
      <c r="E791" s="2"/>
      <c r="F791" s="2"/>
      <c r="G791" s="2"/>
      <c r="J791" s="2"/>
      <c r="L791" s="2"/>
      <c r="M791" s="2"/>
      <c r="N791" s="2"/>
    </row>
    <row r="792" spans="4:14" ht="12.75" x14ac:dyDescent="0.35">
      <c r="D792" s="2"/>
      <c r="E792" s="2"/>
      <c r="F792" s="2"/>
      <c r="G792" s="2"/>
      <c r="J792" s="2"/>
      <c r="L792" s="2"/>
      <c r="M792" s="2"/>
      <c r="N792" s="2"/>
    </row>
    <row r="793" spans="4:14" ht="12.75" x14ac:dyDescent="0.35">
      <c r="D793" s="2"/>
      <c r="E793" s="2"/>
      <c r="F793" s="2"/>
      <c r="G793" s="2"/>
      <c r="J793" s="2"/>
      <c r="L793" s="2"/>
      <c r="M793" s="2"/>
      <c r="N793" s="2"/>
    </row>
    <row r="794" spans="4:14" ht="12.75" x14ac:dyDescent="0.35">
      <c r="D794" s="2"/>
      <c r="E794" s="2"/>
      <c r="F794" s="2"/>
      <c r="G794" s="2"/>
      <c r="J794" s="2"/>
      <c r="L794" s="2"/>
      <c r="M794" s="2"/>
      <c r="N794" s="2"/>
    </row>
    <row r="795" spans="4:14" ht="12.75" x14ac:dyDescent="0.35">
      <c r="D795" s="2"/>
      <c r="E795" s="2"/>
      <c r="F795" s="2"/>
      <c r="G795" s="2"/>
      <c r="J795" s="2"/>
      <c r="L795" s="2"/>
      <c r="M795" s="2"/>
      <c r="N795" s="2"/>
    </row>
    <row r="796" spans="4:14" ht="12.75" x14ac:dyDescent="0.35">
      <c r="D796" s="2"/>
      <c r="E796" s="2"/>
      <c r="F796" s="2"/>
      <c r="G796" s="2"/>
      <c r="J796" s="2"/>
      <c r="L796" s="2"/>
      <c r="M796" s="2"/>
      <c r="N796" s="2"/>
    </row>
    <row r="797" spans="4:14" ht="12.75" x14ac:dyDescent="0.35">
      <c r="D797" s="2"/>
      <c r="E797" s="2"/>
      <c r="F797" s="2"/>
      <c r="G797" s="2"/>
      <c r="J797" s="2"/>
      <c r="L797" s="2"/>
      <c r="M797" s="2"/>
      <c r="N797" s="2"/>
    </row>
    <row r="798" spans="4:14" ht="12.75" x14ac:dyDescent="0.35">
      <c r="D798" s="2"/>
      <c r="E798" s="2"/>
      <c r="F798" s="2"/>
      <c r="G798" s="2"/>
      <c r="J798" s="2"/>
      <c r="L798" s="2"/>
      <c r="M798" s="2"/>
      <c r="N798" s="2"/>
    </row>
    <row r="799" spans="4:14" ht="12.75" x14ac:dyDescent="0.35">
      <c r="D799" s="2"/>
      <c r="E799" s="2"/>
      <c r="F799" s="2"/>
      <c r="G799" s="2"/>
      <c r="J799" s="2"/>
      <c r="L799" s="2"/>
      <c r="M799" s="2"/>
      <c r="N799" s="2"/>
    </row>
    <row r="800" spans="4:14" ht="12.75" x14ac:dyDescent="0.35">
      <c r="D800" s="2"/>
      <c r="E800" s="2"/>
      <c r="F800" s="2"/>
      <c r="G800" s="2"/>
      <c r="J800" s="2"/>
      <c r="L800" s="2"/>
      <c r="M800" s="2"/>
      <c r="N800" s="2"/>
    </row>
    <row r="801" spans="4:14" ht="12.75" x14ac:dyDescent="0.35">
      <c r="D801" s="2"/>
      <c r="E801" s="2"/>
      <c r="F801" s="2"/>
      <c r="G801" s="2"/>
      <c r="J801" s="2"/>
      <c r="L801" s="2"/>
      <c r="M801" s="2"/>
      <c r="N801" s="2"/>
    </row>
    <row r="802" spans="4:14" ht="12.75" x14ac:dyDescent="0.35">
      <c r="D802" s="2"/>
      <c r="E802" s="2"/>
      <c r="F802" s="2"/>
      <c r="G802" s="2"/>
      <c r="J802" s="2"/>
      <c r="L802" s="2"/>
      <c r="M802" s="2"/>
      <c r="N802" s="2"/>
    </row>
    <row r="803" spans="4:14" ht="12.75" x14ac:dyDescent="0.35">
      <c r="D803" s="2"/>
      <c r="E803" s="2"/>
      <c r="F803" s="2"/>
      <c r="G803" s="2"/>
      <c r="J803" s="2"/>
      <c r="L803" s="2"/>
      <c r="M803" s="2"/>
      <c r="N803" s="2"/>
    </row>
    <row r="804" spans="4:14" ht="12.75" x14ac:dyDescent="0.35">
      <c r="D804" s="2"/>
      <c r="E804" s="2"/>
      <c r="F804" s="2"/>
      <c r="G804" s="2"/>
      <c r="J804" s="2"/>
      <c r="L804" s="2"/>
      <c r="M804" s="2"/>
      <c r="N804" s="2"/>
    </row>
    <row r="805" spans="4:14" ht="12.75" x14ac:dyDescent="0.35">
      <c r="D805" s="2"/>
      <c r="E805" s="2"/>
      <c r="F805" s="2"/>
      <c r="G805" s="2"/>
      <c r="J805" s="2"/>
      <c r="L805" s="2"/>
      <c r="M805" s="2"/>
      <c r="N805" s="2"/>
    </row>
    <row r="806" spans="4:14" ht="12.75" x14ac:dyDescent="0.35">
      <c r="D806" s="2"/>
      <c r="E806" s="2"/>
      <c r="F806" s="2"/>
      <c r="G806" s="2"/>
      <c r="J806" s="2"/>
      <c r="L806" s="2"/>
      <c r="M806" s="2"/>
      <c r="N806" s="2"/>
    </row>
    <row r="807" spans="4:14" ht="12.75" x14ac:dyDescent="0.35">
      <c r="D807" s="2"/>
      <c r="E807" s="2"/>
      <c r="F807" s="2"/>
      <c r="G807" s="2"/>
      <c r="J807" s="2"/>
      <c r="L807" s="2"/>
      <c r="M807" s="2"/>
      <c r="N807" s="2"/>
    </row>
    <row r="808" spans="4:14" ht="12.75" x14ac:dyDescent="0.35">
      <c r="D808" s="2"/>
      <c r="E808" s="2"/>
      <c r="F808" s="2"/>
      <c r="G808" s="2"/>
      <c r="J808" s="2"/>
      <c r="L808" s="2"/>
      <c r="M808" s="2"/>
      <c r="N808" s="2"/>
    </row>
    <row r="809" spans="4:14" ht="12.75" x14ac:dyDescent="0.35">
      <c r="D809" s="2"/>
      <c r="E809" s="2"/>
      <c r="F809" s="2"/>
      <c r="G809" s="2"/>
      <c r="J809" s="2"/>
      <c r="L809" s="2"/>
      <c r="M809" s="2"/>
      <c r="N809" s="2"/>
    </row>
    <row r="810" spans="4:14" ht="12.75" x14ac:dyDescent="0.35">
      <c r="D810" s="2"/>
      <c r="E810" s="2"/>
      <c r="F810" s="2"/>
      <c r="G810" s="2"/>
      <c r="J810" s="2"/>
      <c r="L810" s="2"/>
      <c r="M810" s="2"/>
      <c r="N810" s="2"/>
    </row>
    <row r="811" spans="4:14" ht="12.75" x14ac:dyDescent="0.35">
      <c r="D811" s="2"/>
      <c r="E811" s="2"/>
      <c r="F811" s="2"/>
      <c r="G811" s="2"/>
      <c r="J811" s="2"/>
      <c r="L811" s="2"/>
      <c r="M811" s="2"/>
      <c r="N811" s="2"/>
    </row>
    <row r="812" spans="4:14" ht="12.75" x14ac:dyDescent="0.35">
      <c r="D812" s="2"/>
      <c r="E812" s="2"/>
      <c r="F812" s="2"/>
      <c r="G812" s="2"/>
      <c r="J812" s="2"/>
      <c r="L812" s="2"/>
      <c r="M812" s="2"/>
      <c r="N812" s="2"/>
    </row>
    <row r="813" spans="4:14" ht="12.75" x14ac:dyDescent="0.35">
      <c r="D813" s="2"/>
      <c r="E813" s="2"/>
      <c r="F813" s="2"/>
      <c r="G813" s="2"/>
      <c r="J813" s="2"/>
      <c r="L813" s="2"/>
      <c r="M813" s="2"/>
      <c r="N813" s="2"/>
    </row>
    <row r="814" spans="4:14" ht="12.75" x14ac:dyDescent="0.35">
      <c r="D814" s="2"/>
      <c r="E814" s="2"/>
      <c r="F814" s="2"/>
      <c r="G814" s="2"/>
      <c r="J814" s="2"/>
      <c r="L814" s="2"/>
      <c r="M814" s="2"/>
      <c r="N814" s="2"/>
    </row>
    <row r="815" spans="4:14" ht="12.75" x14ac:dyDescent="0.35">
      <c r="D815" s="2"/>
      <c r="E815" s="2"/>
      <c r="F815" s="2"/>
      <c r="G815" s="2"/>
      <c r="J815" s="2"/>
      <c r="L815" s="2"/>
      <c r="M815" s="2"/>
      <c r="N815" s="2"/>
    </row>
    <row r="816" spans="4:14" ht="12.75" x14ac:dyDescent="0.35">
      <c r="D816" s="2"/>
      <c r="E816" s="2"/>
      <c r="F816" s="2"/>
      <c r="G816" s="2"/>
      <c r="J816" s="2"/>
      <c r="L816" s="2"/>
      <c r="M816" s="2"/>
      <c r="N816" s="2"/>
    </row>
    <row r="817" spans="4:14" ht="12.75" x14ac:dyDescent="0.35">
      <c r="D817" s="2"/>
      <c r="E817" s="2"/>
      <c r="F817" s="2"/>
      <c r="G817" s="2"/>
      <c r="J817" s="2"/>
      <c r="L817" s="2"/>
      <c r="M817" s="2"/>
      <c r="N817" s="2"/>
    </row>
    <row r="818" spans="4:14" ht="12.75" x14ac:dyDescent="0.35">
      <c r="D818" s="2"/>
      <c r="E818" s="2"/>
      <c r="F818" s="2"/>
      <c r="G818" s="2"/>
      <c r="J818" s="2"/>
      <c r="L818" s="2"/>
      <c r="M818" s="2"/>
      <c r="N818" s="2"/>
    </row>
    <row r="819" spans="4:14" ht="12.75" x14ac:dyDescent="0.35">
      <c r="D819" s="2"/>
      <c r="E819" s="2"/>
      <c r="F819" s="2"/>
      <c r="G819" s="2"/>
      <c r="J819" s="2"/>
      <c r="L819" s="2"/>
      <c r="M819" s="2"/>
      <c r="N819" s="2"/>
    </row>
    <row r="820" spans="4:14" ht="12.75" x14ac:dyDescent="0.35">
      <c r="D820" s="2"/>
      <c r="E820" s="2"/>
      <c r="F820" s="2"/>
      <c r="G820" s="2"/>
      <c r="J820" s="2"/>
      <c r="L820" s="2"/>
      <c r="M820" s="2"/>
      <c r="N820" s="2"/>
    </row>
    <row r="821" spans="4:14" ht="12.75" x14ac:dyDescent="0.35">
      <c r="D821" s="2"/>
      <c r="E821" s="2"/>
      <c r="F821" s="2"/>
      <c r="G821" s="2"/>
      <c r="J821" s="2"/>
      <c r="L821" s="2"/>
      <c r="M821" s="2"/>
      <c r="N821" s="2"/>
    </row>
    <row r="822" spans="4:14" ht="12.75" x14ac:dyDescent="0.35">
      <c r="D822" s="2"/>
      <c r="E822" s="2"/>
      <c r="F822" s="2"/>
      <c r="G822" s="2"/>
      <c r="J822" s="2"/>
      <c r="L822" s="2"/>
      <c r="M822" s="2"/>
      <c r="N822" s="2"/>
    </row>
    <row r="823" spans="4:14" ht="12.75" x14ac:dyDescent="0.35">
      <c r="D823" s="2"/>
      <c r="E823" s="2"/>
      <c r="F823" s="2"/>
      <c r="G823" s="2"/>
      <c r="J823" s="2"/>
      <c r="L823" s="2"/>
      <c r="M823" s="2"/>
      <c r="N823" s="2"/>
    </row>
    <row r="824" spans="4:14" ht="12.75" x14ac:dyDescent="0.35">
      <c r="D824" s="2"/>
      <c r="E824" s="2"/>
      <c r="F824" s="2"/>
      <c r="G824" s="2"/>
      <c r="J824" s="2"/>
      <c r="L824" s="2"/>
      <c r="M824" s="2"/>
      <c r="N824" s="2"/>
    </row>
    <row r="825" spans="4:14" ht="12.75" x14ac:dyDescent="0.35">
      <c r="D825" s="2"/>
      <c r="E825" s="2"/>
      <c r="F825" s="2"/>
      <c r="G825" s="2"/>
      <c r="J825" s="2"/>
      <c r="L825" s="2"/>
      <c r="M825" s="2"/>
      <c r="N825" s="2"/>
    </row>
    <row r="826" spans="4:14" ht="12.75" x14ac:dyDescent="0.35">
      <c r="D826" s="2"/>
      <c r="E826" s="2"/>
      <c r="F826" s="2"/>
      <c r="G826" s="2"/>
      <c r="J826" s="2"/>
      <c r="L826" s="2"/>
      <c r="M826" s="2"/>
      <c r="N826" s="2"/>
    </row>
    <row r="827" spans="4:14" ht="12.75" x14ac:dyDescent="0.35">
      <c r="D827" s="2"/>
      <c r="E827" s="2"/>
      <c r="F827" s="2"/>
      <c r="G827" s="2"/>
      <c r="J827" s="2"/>
      <c r="L827" s="2"/>
      <c r="M827" s="2"/>
      <c r="N827" s="2"/>
    </row>
    <row r="828" spans="4:14" ht="12.75" x14ac:dyDescent="0.35">
      <c r="D828" s="2"/>
      <c r="E828" s="2"/>
      <c r="F828" s="2"/>
      <c r="G828" s="2"/>
      <c r="J828" s="2"/>
      <c r="L828" s="2"/>
      <c r="M828" s="2"/>
      <c r="N828" s="2"/>
    </row>
    <row r="829" spans="4:14" ht="12.75" x14ac:dyDescent="0.35">
      <c r="D829" s="2"/>
      <c r="E829" s="2"/>
      <c r="F829" s="2"/>
      <c r="G829" s="2"/>
      <c r="J829" s="2"/>
      <c r="L829" s="2"/>
      <c r="M829" s="2"/>
      <c r="N829" s="2"/>
    </row>
    <row r="830" spans="4:14" ht="12.75" x14ac:dyDescent="0.35">
      <c r="D830" s="2"/>
      <c r="E830" s="2"/>
      <c r="F830" s="2"/>
      <c r="G830" s="2"/>
      <c r="J830" s="2"/>
      <c r="L830" s="2"/>
      <c r="M830" s="2"/>
      <c r="N830" s="2"/>
    </row>
    <row r="831" spans="4:14" ht="12.75" x14ac:dyDescent="0.35">
      <c r="D831" s="2"/>
      <c r="E831" s="2"/>
      <c r="F831" s="2"/>
      <c r="G831" s="2"/>
      <c r="J831" s="2"/>
      <c r="L831" s="2"/>
      <c r="M831" s="2"/>
      <c r="N831" s="2"/>
    </row>
    <row r="832" spans="4:14" ht="12.75" x14ac:dyDescent="0.35">
      <c r="D832" s="2"/>
      <c r="E832" s="2"/>
      <c r="F832" s="2"/>
      <c r="G832" s="2"/>
      <c r="J832" s="2"/>
      <c r="L832" s="2"/>
      <c r="M832" s="2"/>
      <c r="N832" s="2"/>
    </row>
    <row r="833" spans="4:14" ht="12.75" x14ac:dyDescent="0.35">
      <c r="D833" s="2"/>
      <c r="E833" s="2"/>
      <c r="F833" s="2"/>
      <c r="G833" s="2"/>
      <c r="J833" s="2"/>
      <c r="L833" s="2"/>
      <c r="M833" s="2"/>
      <c r="N833" s="2"/>
    </row>
    <row r="834" spans="4:14" ht="12.75" x14ac:dyDescent="0.35">
      <c r="D834" s="2"/>
      <c r="E834" s="2"/>
      <c r="F834" s="2"/>
      <c r="G834" s="2"/>
      <c r="J834" s="2"/>
      <c r="L834" s="2"/>
      <c r="M834" s="2"/>
      <c r="N834" s="2"/>
    </row>
    <row r="835" spans="4:14" ht="12.75" x14ac:dyDescent="0.35">
      <c r="D835" s="2"/>
      <c r="E835" s="2"/>
      <c r="F835" s="2"/>
      <c r="G835" s="2"/>
      <c r="J835" s="2"/>
      <c r="L835" s="2"/>
      <c r="M835" s="2"/>
      <c r="N835" s="2"/>
    </row>
    <row r="836" spans="4:14" ht="12.75" x14ac:dyDescent="0.35">
      <c r="D836" s="2"/>
      <c r="E836" s="2"/>
      <c r="F836" s="2"/>
      <c r="G836" s="2"/>
      <c r="J836" s="2"/>
      <c r="L836" s="2"/>
      <c r="M836" s="2"/>
      <c r="N836" s="2"/>
    </row>
    <row r="837" spans="4:14" ht="12.75" x14ac:dyDescent="0.35">
      <c r="D837" s="2"/>
      <c r="E837" s="2"/>
      <c r="F837" s="2"/>
      <c r="G837" s="2"/>
      <c r="J837" s="2"/>
      <c r="L837" s="2"/>
      <c r="M837" s="2"/>
      <c r="N837" s="2"/>
    </row>
    <row r="838" spans="4:14" ht="12.75" x14ac:dyDescent="0.35">
      <c r="D838" s="2"/>
      <c r="E838" s="2"/>
      <c r="F838" s="2"/>
      <c r="G838" s="2"/>
      <c r="J838" s="2"/>
      <c r="L838" s="2"/>
      <c r="M838" s="2"/>
      <c r="N838" s="2"/>
    </row>
    <row r="839" spans="4:14" ht="12.75" x14ac:dyDescent="0.35">
      <c r="D839" s="2"/>
      <c r="E839" s="2"/>
      <c r="F839" s="2"/>
      <c r="G839" s="2"/>
      <c r="J839" s="2"/>
      <c r="L839" s="2"/>
      <c r="M839" s="2"/>
      <c r="N839" s="2"/>
    </row>
    <row r="840" spans="4:14" ht="12.75" x14ac:dyDescent="0.35">
      <c r="D840" s="2"/>
      <c r="E840" s="2"/>
      <c r="F840" s="2"/>
      <c r="G840" s="2"/>
      <c r="J840" s="2"/>
      <c r="L840" s="2"/>
      <c r="M840" s="2"/>
      <c r="N840" s="2"/>
    </row>
    <row r="841" spans="4:14" ht="12.75" x14ac:dyDescent="0.35">
      <c r="D841" s="2"/>
      <c r="E841" s="2"/>
      <c r="F841" s="2"/>
      <c r="G841" s="2"/>
      <c r="J841" s="2"/>
      <c r="L841" s="2"/>
      <c r="M841" s="2"/>
      <c r="N841" s="2"/>
    </row>
    <row r="842" spans="4:14" ht="12.75" x14ac:dyDescent="0.35">
      <c r="D842" s="2"/>
      <c r="E842" s="2"/>
      <c r="F842" s="2"/>
      <c r="G842" s="2"/>
      <c r="J842" s="2"/>
      <c r="L842" s="2"/>
      <c r="M842" s="2"/>
      <c r="N842" s="2"/>
    </row>
    <row r="843" spans="4:14" ht="12.75" x14ac:dyDescent="0.35">
      <c r="D843" s="2"/>
      <c r="E843" s="2"/>
      <c r="F843" s="2"/>
      <c r="G843" s="2"/>
      <c r="J843" s="2"/>
      <c r="L843" s="2"/>
      <c r="M843" s="2"/>
      <c r="N843" s="2"/>
    </row>
    <row r="844" spans="4:14" ht="12.75" x14ac:dyDescent="0.35">
      <c r="D844" s="2"/>
      <c r="E844" s="2"/>
      <c r="F844" s="2"/>
      <c r="G844" s="2"/>
      <c r="J844" s="2"/>
      <c r="L844" s="2"/>
      <c r="M844" s="2"/>
      <c r="N844" s="2"/>
    </row>
    <row r="845" spans="4:14" ht="12.75" x14ac:dyDescent="0.35">
      <c r="D845" s="2"/>
      <c r="E845" s="2"/>
      <c r="F845" s="2"/>
      <c r="G845" s="2"/>
      <c r="J845" s="2"/>
      <c r="L845" s="2"/>
      <c r="M845" s="2"/>
      <c r="N845" s="2"/>
    </row>
    <row r="846" spans="4:14" ht="12.75" x14ac:dyDescent="0.35">
      <c r="D846" s="2"/>
      <c r="E846" s="2"/>
      <c r="F846" s="2"/>
      <c r="G846" s="2"/>
      <c r="J846" s="2"/>
      <c r="L846" s="2"/>
      <c r="M846" s="2"/>
      <c r="N846" s="2"/>
    </row>
    <row r="847" spans="4:14" ht="12.75" x14ac:dyDescent="0.35">
      <c r="D847" s="2"/>
      <c r="E847" s="2"/>
      <c r="F847" s="2"/>
      <c r="G847" s="2"/>
      <c r="J847" s="2"/>
      <c r="L847" s="2"/>
      <c r="M847" s="2"/>
      <c r="N847" s="2"/>
    </row>
    <row r="848" spans="4:14" ht="12.75" x14ac:dyDescent="0.35">
      <c r="D848" s="2"/>
      <c r="E848" s="2"/>
      <c r="F848" s="2"/>
      <c r="G848" s="2"/>
      <c r="J848" s="2"/>
      <c r="L848" s="2"/>
      <c r="M848" s="2"/>
      <c r="N848" s="2"/>
    </row>
    <row r="849" spans="4:14" ht="12.75" x14ac:dyDescent="0.35">
      <c r="D849" s="2"/>
      <c r="E849" s="2"/>
      <c r="F849" s="2"/>
      <c r="G849" s="2"/>
      <c r="J849" s="2"/>
      <c r="L849" s="2"/>
      <c r="M849" s="2"/>
      <c r="N849" s="2"/>
    </row>
    <row r="850" spans="4:14" ht="12.75" x14ac:dyDescent="0.35">
      <c r="D850" s="2"/>
      <c r="E850" s="2"/>
      <c r="F850" s="2"/>
      <c r="G850" s="2"/>
      <c r="J850" s="2"/>
      <c r="L850" s="2"/>
      <c r="M850" s="2"/>
      <c r="N850" s="2"/>
    </row>
    <row r="851" spans="4:14" ht="12.75" x14ac:dyDescent="0.35">
      <c r="D851" s="2"/>
      <c r="E851" s="2"/>
      <c r="F851" s="2"/>
      <c r="G851" s="2"/>
      <c r="J851" s="2"/>
      <c r="L851" s="2"/>
      <c r="M851" s="2"/>
      <c r="N851" s="2"/>
    </row>
    <row r="852" spans="4:14" ht="12.75" x14ac:dyDescent="0.35">
      <c r="D852" s="2"/>
      <c r="E852" s="2"/>
      <c r="F852" s="2"/>
      <c r="G852" s="2"/>
      <c r="J852" s="2"/>
      <c r="L852" s="2"/>
      <c r="M852" s="2"/>
      <c r="N852" s="2"/>
    </row>
    <row r="853" spans="4:14" ht="12.75" x14ac:dyDescent="0.35">
      <c r="D853" s="2"/>
      <c r="E853" s="2"/>
      <c r="F853" s="2"/>
      <c r="G853" s="2"/>
      <c r="J853" s="2"/>
      <c r="L853" s="2"/>
      <c r="M853" s="2"/>
      <c r="N853" s="2"/>
    </row>
    <row r="854" spans="4:14" ht="12.75" x14ac:dyDescent="0.35">
      <c r="D854" s="2"/>
      <c r="E854" s="2"/>
      <c r="F854" s="2"/>
      <c r="G854" s="2"/>
      <c r="J854" s="2"/>
      <c r="L854" s="2"/>
      <c r="M854" s="2"/>
      <c r="N854" s="2"/>
    </row>
    <row r="855" spans="4:14" ht="12.75" x14ac:dyDescent="0.35">
      <c r="D855" s="2"/>
      <c r="E855" s="2"/>
      <c r="F855" s="2"/>
      <c r="G855" s="2"/>
      <c r="J855" s="2"/>
      <c r="L855" s="2"/>
      <c r="M855" s="2"/>
      <c r="N855" s="2"/>
    </row>
    <row r="856" spans="4:14" ht="12.75" x14ac:dyDescent="0.35">
      <c r="D856" s="2"/>
      <c r="E856" s="2"/>
      <c r="F856" s="2"/>
      <c r="G856" s="2"/>
      <c r="J856" s="2"/>
      <c r="L856" s="2"/>
      <c r="M856" s="2"/>
      <c r="N856" s="2"/>
    </row>
    <row r="857" spans="4:14" ht="12.75" x14ac:dyDescent="0.35">
      <c r="D857" s="2"/>
      <c r="E857" s="2"/>
      <c r="F857" s="2"/>
      <c r="G857" s="2"/>
      <c r="J857" s="2"/>
      <c r="L857" s="2"/>
      <c r="M857" s="2"/>
      <c r="N857" s="2"/>
    </row>
    <row r="858" spans="4:14" ht="12.75" x14ac:dyDescent="0.35">
      <c r="D858" s="2"/>
      <c r="E858" s="2"/>
      <c r="F858" s="2"/>
      <c r="G858" s="2"/>
      <c r="J858" s="2"/>
      <c r="L858" s="2"/>
      <c r="M858" s="2"/>
      <c r="N858" s="2"/>
    </row>
    <row r="859" spans="4:14" ht="12.75" x14ac:dyDescent="0.35">
      <c r="D859" s="2"/>
      <c r="E859" s="2"/>
      <c r="F859" s="2"/>
      <c r="G859" s="2"/>
      <c r="J859" s="2"/>
      <c r="L859" s="2"/>
      <c r="M859" s="2"/>
      <c r="N859" s="2"/>
    </row>
    <row r="860" spans="4:14" ht="12.75" x14ac:dyDescent="0.35">
      <c r="D860" s="2"/>
      <c r="E860" s="2"/>
      <c r="F860" s="2"/>
      <c r="G860" s="2"/>
      <c r="J860" s="2"/>
      <c r="L860" s="2"/>
      <c r="M860" s="2"/>
      <c r="N860" s="2"/>
    </row>
    <row r="861" spans="4:14" ht="12.75" x14ac:dyDescent="0.35">
      <c r="D861" s="2"/>
      <c r="E861" s="2"/>
      <c r="F861" s="2"/>
      <c r="G861" s="2"/>
      <c r="J861" s="2"/>
      <c r="L861" s="2"/>
      <c r="M861" s="2"/>
      <c r="N861" s="2"/>
    </row>
    <row r="862" spans="4:14" ht="12.75" x14ac:dyDescent="0.35">
      <c r="D862" s="2"/>
      <c r="E862" s="2"/>
      <c r="F862" s="2"/>
      <c r="G862" s="2"/>
      <c r="J862" s="2"/>
      <c r="L862" s="2"/>
      <c r="M862" s="2"/>
      <c r="N862" s="2"/>
    </row>
    <row r="863" spans="4:14" ht="12.75" x14ac:dyDescent="0.35">
      <c r="D863" s="2"/>
      <c r="E863" s="2"/>
      <c r="F863" s="2"/>
      <c r="G863" s="2"/>
      <c r="J863" s="2"/>
      <c r="L863" s="2"/>
      <c r="M863" s="2"/>
      <c r="N863" s="2"/>
    </row>
    <row r="864" spans="4:14" ht="12.75" x14ac:dyDescent="0.35">
      <c r="D864" s="2"/>
      <c r="E864" s="2"/>
      <c r="F864" s="2"/>
      <c r="G864" s="2"/>
      <c r="J864" s="2"/>
      <c r="L864" s="2"/>
      <c r="M864" s="2"/>
      <c r="N864" s="2"/>
    </row>
    <row r="865" spans="4:14" ht="12.75" x14ac:dyDescent="0.35">
      <c r="D865" s="2"/>
      <c r="E865" s="2"/>
      <c r="F865" s="2"/>
      <c r="G865" s="2"/>
      <c r="J865" s="2"/>
      <c r="L865" s="2"/>
      <c r="M865" s="2"/>
      <c r="N865" s="2"/>
    </row>
    <row r="866" spans="4:14" ht="12.75" x14ac:dyDescent="0.35">
      <c r="D866" s="2"/>
      <c r="E866" s="2"/>
      <c r="F866" s="2"/>
      <c r="G866" s="2"/>
      <c r="J866" s="2"/>
      <c r="L866" s="2"/>
      <c r="M866" s="2"/>
      <c r="N866" s="2"/>
    </row>
    <row r="867" spans="4:14" ht="12.75" x14ac:dyDescent="0.35">
      <c r="D867" s="2"/>
      <c r="E867" s="2"/>
      <c r="F867" s="2"/>
      <c r="G867" s="2"/>
      <c r="J867" s="2"/>
      <c r="L867" s="2"/>
      <c r="M867" s="2"/>
      <c r="N867" s="2"/>
    </row>
    <row r="868" spans="4:14" ht="12.75" x14ac:dyDescent="0.35">
      <c r="D868" s="2"/>
      <c r="E868" s="2"/>
      <c r="F868" s="2"/>
      <c r="G868" s="2"/>
      <c r="J868" s="2"/>
      <c r="L868" s="2"/>
      <c r="M868" s="2"/>
      <c r="N868" s="2"/>
    </row>
    <row r="869" spans="4:14" ht="12.75" x14ac:dyDescent="0.35">
      <c r="D869" s="2"/>
      <c r="E869" s="2"/>
      <c r="F869" s="2"/>
      <c r="G869" s="2"/>
      <c r="J869" s="2"/>
      <c r="L869" s="2"/>
      <c r="M869" s="2"/>
      <c r="N869" s="2"/>
    </row>
    <row r="870" spans="4:14" ht="12.75" x14ac:dyDescent="0.35">
      <c r="D870" s="2"/>
      <c r="E870" s="2"/>
      <c r="F870" s="2"/>
      <c r="G870" s="2"/>
      <c r="J870" s="2"/>
      <c r="L870" s="2"/>
      <c r="M870" s="2"/>
      <c r="N870" s="2"/>
    </row>
    <row r="871" spans="4:14" ht="12.75" x14ac:dyDescent="0.35">
      <c r="D871" s="2"/>
      <c r="E871" s="2"/>
      <c r="F871" s="2"/>
      <c r="G871" s="2"/>
      <c r="J871" s="2"/>
      <c r="L871" s="2"/>
      <c r="M871" s="2"/>
      <c r="N871" s="2"/>
    </row>
    <row r="872" spans="4:14" ht="12.75" x14ac:dyDescent="0.35">
      <c r="D872" s="2"/>
      <c r="E872" s="2"/>
      <c r="F872" s="2"/>
      <c r="G872" s="2"/>
      <c r="J872" s="2"/>
      <c r="L872" s="2"/>
      <c r="M872" s="2"/>
      <c r="N872" s="2"/>
    </row>
    <row r="873" spans="4:14" ht="12.75" x14ac:dyDescent="0.35">
      <c r="D873" s="2"/>
      <c r="E873" s="2"/>
      <c r="F873" s="2"/>
      <c r="G873" s="2"/>
      <c r="J873" s="2"/>
      <c r="L873" s="2"/>
      <c r="M873" s="2"/>
      <c r="N873" s="2"/>
    </row>
    <row r="874" spans="4:14" ht="12.75" x14ac:dyDescent="0.35">
      <c r="D874" s="2"/>
      <c r="E874" s="2"/>
      <c r="F874" s="2"/>
      <c r="G874" s="2"/>
      <c r="J874" s="2"/>
      <c r="L874" s="2"/>
      <c r="M874" s="2"/>
      <c r="N874" s="2"/>
    </row>
    <row r="875" spans="4:14" ht="12.75" x14ac:dyDescent="0.35">
      <c r="D875" s="2"/>
      <c r="E875" s="2"/>
      <c r="F875" s="2"/>
      <c r="G875" s="2"/>
      <c r="J875" s="2"/>
      <c r="L875" s="2"/>
      <c r="M875" s="2"/>
      <c r="N875" s="2"/>
    </row>
    <row r="876" spans="4:14" ht="12.75" x14ac:dyDescent="0.35">
      <c r="D876" s="2"/>
      <c r="E876" s="2"/>
      <c r="F876" s="2"/>
      <c r="G876" s="2"/>
      <c r="J876" s="2"/>
      <c r="L876" s="2"/>
      <c r="M876" s="2"/>
      <c r="N876" s="2"/>
    </row>
    <row r="877" spans="4:14" ht="12.75" x14ac:dyDescent="0.35">
      <c r="D877" s="2"/>
      <c r="E877" s="2"/>
      <c r="F877" s="2"/>
      <c r="G877" s="2"/>
      <c r="J877" s="2"/>
      <c r="L877" s="2"/>
      <c r="M877" s="2"/>
      <c r="N877" s="2"/>
    </row>
    <row r="878" spans="4:14" ht="12.75" x14ac:dyDescent="0.35">
      <c r="D878" s="2"/>
      <c r="E878" s="2"/>
      <c r="F878" s="2"/>
      <c r="G878" s="2"/>
      <c r="J878" s="2"/>
      <c r="L878" s="2"/>
      <c r="M878" s="2"/>
      <c r="N878" s="2"/>
    </row>
    <row r="879" spans="4:14" ht="12.75" x14ac:dyDescent="0.35">
      <c r="D879" s="2"/>
      <c r="E879" s="2"/>
      <c r="F879" s="2"/>
      <c r="G879" s="2"/>
      <c r="J879" s="2"/>
      <c r="L879" s="2"/>
      <c r="M879" s="2"/>
      <c r="N879" s="2"/>
    </row>
    <row r="880" spans="4:14" ht="12.75" x14ac:dyDescent="0.35">
      <c r="D880" s="2"/>
      <c r="E880" s="2"/>
      <c r="F880" s="2"/>
      <c r="G880" s="2"/>
      <c r="J880" s="2"/>
      <c r="L880" s="2"/>
      <c r="M880" s="2"/>
      <c r="N880" s="2"/>
    </row>
    <row r="881" spans="4:14" ht="12.75" x14ac:dyDescent="0.35">
      <c r="D881" s="2"/>
      <c r="E881" s="2"/>
      <c r="F881" s="2"/>
      <c r="G881" s="2"/>
      <c r="J881" s="2"/>
      <c r="L881" s="2"/>
      <c r="M881" s="2"/>
      <c r="N881" s="2"/>
    </row>
    <row r="882" spans="4:14" ht="12.75" x14ac:dyDescent="0.35">
      <c r="D882" s="2"/>
      <c r="E882" s="2"/>
      <c r="F882" s="2"/>
      <c r="G882" s="2"/>
      <c r="J882" s="2"/>
      <c r="L882" s="2"/>
      <c r="M882" s="2"/>
      <c r="N882" s="2"/>
    </row>
    <row r="883" spans="4:14" ht="12.75" x14ac:dyDescent="0.35">
      <c r="D883" s="2"/>
      <c r="E883" s="2"/>
      <c r="F883" s="2"/>
      <c r="G883" s="2"/>
      <c r="J883" s="2"/>
      <c r="L883" s="2"/>
      <c r="M883" s="2"/>
      <c r="N883" s="2"/>
    </row>
    <row r="884" spans="4:14" ht="12.75" x14ac:dyDescent="0.35">
      <c r="D884" s="2"/>
      <c r="E884" s="2"/>
      <c r="F884" s="2"/>
      <c r="G884" s="2"/>
      <c r="J884" s="2"/>
      <c r="L884" s="2"/>
      <c r="M884" s="2"/>
      <c r="N884" s="2"/>
    </row>
    <row r="885" spans="4:14" ht="12.75" x14ac:dyDescent="0.35">
      <c r="D885" s="2"/>
      <c r="E885" s="2"/>
      <c r="F885" s="2"/>
      <c r="G885" s="2"/>
      <c r="J885" s="2"/>
      <c r="L885" s="2"/>
      <c r="M885" s="2"/>
      <c r="N885" s="2"/>
    </row>
    <row r="886" spans="4:14" ht="12.75" x14ac:dyDescent="0.35">
      <c r="D886" s="2"/>
      <c r="E886" s="2"/>
      <c r="F886" s="2"/>
      <c r="G886" s="2"/>
      <c r="J886" s="2"/>
      <c r="L886" s="2"/>
      <c r="M886" s="2"/>
      <c r="N886" s="2"/>
    </row>
    <row r="887" spans="4:14" ht="12.75" x14ac:dyDescent="0.35">
      <c r="D887" s="2"/>
      <c r="E887" s="2"/>
      <c r="F887" s="2"/>
      <c r="G887" s="2"/>
      <c r="J887" s="2"/>
      <c r="L887" s="2"/>
      <c r="M887" s="2"/>
      <c r="N887" s="2"/>
    </row>
    <row r="888" spans="4:14" ht="12.75" x14ac:dyDescent="0.35">
      <c r="D888" s="2"/>
      <c r="E888" s="2"/>
      <c r="F888" s="2"/>
      <c r="G888" s="2"/>
      <c r="J888" s="2"/>
      <c r="L888" s="2"/>
      <c r="M888" s="2"/>
      <c r="N888" s="2"/>
    </row>
    <row r="889" spans="4:14" ht="12.75" x14ac:dyDescent="0.35">
      <c r="D889" s="2"/>
      <c r="E889" s="2"/>
      <c r="F889" s="2"/>
      <c r="G889" s="2"/>
      <c r="J889" s="2"/>
      <c r="L889" s="2"/>
      <c r="M889" s="2"/>
      <c r="N889" s="2"/>
    </row>
    <row r="890" spans="4:14" ht="12.75" x14ac:dyDescent="0.35">
      <c r="D890" s="2"/>
      <c r="E890" s="2"/>
      <c r="F890" s="2"/>
      <c r="G890" s="2"/>
      <c r="J890" s="2"/>
      <c r="L890" s="2"/>
      <c r="M890" s="2"/>
      <c r="N890" s="2"/>
    </row>
    <row r="891" spans="4:14" ht="12.75" x14ac:dyDescent="0.35">
      <c r="D891" s="2"/>
      <c r="E891" s="2"/>
      <c r="F891" s="2"/>
      <c r="G891" s="2"/>
      <c r="J891" s="2"/>
      <c r="L891" s="2"/>
      <c r="M891" s="2"/>
      <c r="N891" s="2"/>
    </row>
    <row r="892" spans="4:14" ht="12.75" x14ac:dyDescent="0.35">
      <c r="D892" s="2"/>
      <c r="E892" s="2"/>
      <c r="F892" s="2"/>
      <c r="G892" s="2"/>
      <c r="J892" s="2"/>
      <c r="L892" s="2"/>
      <c r="M892" s="2"/>
      <c r="N892" s="2"/>
    </row>
    <row r="893" spans="4:14" ht="12.75" x14ac:dyDescent="0.35">
      <c r="D893" s="2"/>
      <c r="E893" s="2"/>
      <c r="F893" s="2"/>
      <c r="G893" s="2"/>
      <c r="J893" s="2"/>
      <c r="L893" s="2"/>
      <c r="M893" s="2"/>
      <c r="N893" s="2"/>
    </row>
    <row r="894" spans="4:14" ht="12.75" x14ac:dyDescent="0.35">
      <c r="D894" s="2"/>
      <c r="E894" s="2"/>
      <c r="F894" s="2"/>
      <c r="G894" s="2"/>
      <c r="J894" s="2"/>
      <c r="L894" s="2"/>
      <c r="M894" s="2"/>
      <c r="N894" s="2"/>
    </row>
    <row r="895" spans="4:14" ht="12.75" x14ac:dyDescent="0.35">
      <c r="D895" s="2"/>
      <c r="E895" s="2"/>
      <c r="F895" s="2"/>
      <c r="G895" s="2"/>
      <c r="J895" s="2"/>
      <c r="L895" s="2"/>
      <c r="M895" s="2"/>
      <c r="N895" s="2"/>
    </row>
    <row r="896" spans="4:14" ht="12.75" x14ac:dyDescent="0.35">
      <c r="D896" s="2"/>
      <c r="E896" s="2"/>
      <c r="F896" s="2"/>
      <c r="G896" s="2"/>
      <c r="J896" s="2"/>
      <c r="L896" s="2"/>
      <c r="M896" s="2"/>
      <c r="N896" s="2"/>
    </row>
    <row r="897" spans="4:14" ht="12.75" x14ac:dyDescent="0.35">
      <c r="D897" s="2"/>
      <c r="E897" s="2"/>
      <c r="F897" s="2"/>
      <c r="G897" s="2"/>
      <c r="J897" s="2"/>
      <c r="L897" s="2"/>
      <c r="M897" s="2"/>
      <c r="N897" s="2"/>
    </row>
    <row r="898" spans="4:14" ht="12.75" x14ac:dyDescent="0.35">
      <c r="D898" s="2"/>
      <c r="E898" s="2"/>
      <c r="F898" s="2"/>
      <c r="G898" s="2"/>
      <c r="J898" s="2"/>
      <c r="L898" s="2"/>
      <c r="M898" s="2"/>
      <c r="N898" s="2"/>
    </row>
    <row r="899" spans="4:14" ht="12.75" x14ac:dyDescent="0.35">
      <c r="D899" s="2"/>
      <c r="E899" s="2"/>
      <c r="F899" s="2"/>
      <c r="G899" s="2"/>
      <c r="J899" s="2"/>
      <c r="L899" s="2"/>
      <c r="M899" s="2"/>
      <c r="N899" s="2"/>
    </row>
    <row r="900" spans="4:14" ht="12.75" x14ac:dyDescent="0.35">
      <c r="D900" s="2"/>
      <c r="E900" s="2"/>
      <c r="F900" s="2"/>
      <c r="G900" s="2"/>
      <c r="J900" s="2"/>
      <c r="L900" s="2"/>
      <c r="M900" s="2"/>
      <c r="N900" s="2"/>
    </row>
    <row r="901" spans="4:14" ht="12.75" x14ac:dyDescent="0.35">
      <c r="D901" s="2"/>
      <c r="E901" s="2"/>
      <c r="F901" s="2"/>
      <c r="G901" s="2"/>
      <c r="J901" s="2"/>
      <c r="L901" s="2"/>
      <c r="M901" s="2"/>
      <c r="N901" s="2"/>
    </row>
    <row r="902" spans="4:14" ht="12.75" x14ac:dyDescent="0.35">
      <c r="D902" s="2"/>
      <c r="E902" s="2"/>
      <c r="F902" s="2"/>
      <c r="G902" s="2"/>
      <c r="J902" s="2"/>
      <c r="L902" s="2"/>
      <c r="M902" s="2"/>
      <c r="N902" s="2"/>
    </row>
    <row r="903" spans="4:14" ht="12.75" x14ac:dyDescent="0.35">
      <c r="D903" s="2"/>
      <c r="E903" s="2"/>
      <c r="F903" s="2"/>
      <c r="G903" s="2"/>
      <c r="J903" s="2"/>
      <c r="L903" s="2"/>
      <c r="M903" s="2"/>
      <c r="N903" s="2"/>
    </row>
    <row r="904" spans="4:14" ht="12.75" x14ac:dyDescent="0.35">
      <c r="D904" s="2"/>
      <c r="E904" s="2"/>
      <c r="F904" s="2"/>
      <c r="G904" s="2"/>
      <c r="J904" s="2"/>
      <c r="L904" s="2"/>
      <c r="M904" s="2"/>
      <c r="N904" s="2"/>
    </row>
    <row r="905" spans="4:14" ht="12.75" x14ac:dyDescent="0.35">
      <c r="D905" s="2"/>
      <c r="E905" s="2"/>
      <c r="F905" s="2"/>
      <c r="G905" s="2"/>
      <c r="J905" s="2"/>
      <c r="L905" s="2"/>
      <c r="M905" s="2"/>
      <c r="N905" s="2"/>
    </row>
    <row r="906" spans="4:14" ht="12.75" x14ac:dyDescent="0.35">
      <c r="D906" s="2"/>
      <c r="E906" s="2"/>
      <c r="F906" s="2"/>
      <c r="G906" s="2"/>
      <c r="J906" s="2"/>
      <c r="L906" s="2"/>
      <c r="M906" s="2"/>
      <c r="N906" s="2"/>
    </row>
    <row r="907" spans="4:14" ht="12.75" x14ac:dyDescent="0.35">
      <c r="D907" s="2"/>
      <c r="E907" s="2"/>
      <c r="F907" s="2"/>
      <c r="G907" s="2"/>
      <c r="J907" s="2"/>
      <c r="L907" s="2"/>
      <c r="M907" s="2"/>
      <c r="N907" s="2"/>
    </row>
    <row r="908" spans="4:14" ht="12.75" x14ac:dyDescent="0.35">
      <c r="D908" s="2"/>
      <c r="E908" s="2"/>
      <c r="F908" s="2"/>
      <c r="G908" s="2"/>
      <c r="J908" s="2"/>
      <c r="L908" s="2"/>
      <c r="M908" s="2"/>
      <c r="N908" s="2"/>
    </row>
    <row r="909" spans="4:14" ht="12.75" x14ac:dyDescent="0.35">
      <c r="D909" s="2"/>
      <c r="E909" s="2"/>
      <c r="F909" s="2"/>
      <c r="G909" s="2"/>
      <c r="J909" s="2"/>
      <c r="L909" s="2"/>
      <c r="M909" s="2"/>
      <c r="N909" s="2"/>
    </row>
    <row r="910" spans="4:14" ht="12.75" x14ac:dyDescent="0.35">
      <c r="D910" s="2"/>
      <c r="E910" s="2"/>
      <c r="F910" s="2"/>
      <c r="G910" s="2"/>
      <c r="J910" s="2"/>
      <c r="L910" s="2"/>
      <c r="M910" s="2"/>
      <c r="N910" s="2"/>
    </row>
    <row r="911" spans="4:14" ht="12.75" x14ac:dyDescent="0.35">
      <c r="D911" s="2"/>
      <c r="E911" s="2"/>
      <c r="F911" s="2"/>
      <c r="G911" s="2"/>
      <c r="J911" s="2"/>
      <c r="L911" s="2"/>
      <c r="M911" s="2"/>
      <c r="N911" s="2"/>
    </row>
    <row r="912" spans="4:14" ht="12.75" x14ac:dyDescent="0.35">
      <c r="D912" s="2"/>
      <c r="E912" s="2"/>
      <c r="F912" s="2"/>
      <c r="G912" s="2"/>
      <c r="J912" s="2"/>
      <c r="L912" s="2"/>
      <c r="M912" s="2"/>
      <c r="N912" s="2"/>
    </row>
    <row r="913" spans="4:14" ht="12.75" x14ac:dyDescent="0.35">
      <c r="D913" s="2"/>
      <c r="E913" s="2"/>
      <c r="F913" s="2"/>
      <c r="G913" s="2"/>
      <c r="J913" s="2"/>
      <c r="L913" s="2"/>
      <c r="M913" s="2"/>
      <c r="N913" s="2"/>
    </row>
    <row r="914" spans="4:14" ht="12.75" x14ac:dyDescent="0.35">
      <c r="D914" s="2"/>
      <c r="E914" s="2"/>
      <c r="F914" s="2"/>
      <c r="G914" s="2"/>
      <c r="J914" s="2"/>
      <c r="L914" s="2"/>
      <c r="M914" s="2"/>
      <c r="N914" s="2"/>
    </row>
    <row r="915" spans="4:14" ht="12.75" x14ac:dyDescent="0.35">
      <c r="D915" s="2"/>
      <c r="E915" s="2"/>
      <c r="F915" s="2"/>
      <c r="G915" s="2"/>
      <c r="J915" s="2"/>
      <c r="L915" s="2"/>
      <c r="M915" s="2"/>
      <c r="N915" s="2"/>
    </row>
    <row r="916" spans="4:14" ht="12.75" x14ac:dyDescent="0.35">
      <c r="D916" s="2"/>
      <c r="E916" s="2"/>
      <c r="F916" s="2"/>
      <c r="G916" s="2"/>
      <c r="J916" s="2"/>
      <c r="L916" s="2"/>
      <c r="M916" s="2"/>
      <c r="N916" s="2"/>
    </row>
    <row r="917" spans="4:14" ht="12.75" x14ac:dyDescent="0.35">
      <c r="D917" s="2"/>
      <c r="E917" s="2"/>
      <c r="F917" s="2"/>
      <c r="G917" s="2"/>
      <c r="J917" s="2"/>
      <c r="L917" s="2"/>
      <c r="M917" s="2"/>
      <c r="N917" s="2"/>
    </row>
    <row r="918" spans="4:14" ht="12.75" x14ac:dyDescent="0.35">
      <c r="D918" s="2"/>
      <c r="E918" s="2"/>
      <c r="F918" s="2"/>
      <c r="G918" s="2"/>
      <c r="J918" s="2"/>
      <c r="L918" s="2"/>
      <c r="M918" s="2"/>
      <c r="N918" s="2"/>
    </row>
    <row r="919" spans="4:14" ht="12.75" x14ac:dyDescent="0.35">
      <c r="D919" s="2"/>
      <c r="E919" s="2"/>
      <c r="F919" s="2"/>
      <c r="G919" s="2"/>
      <c r="J919" s="2"/>
      <c r="L919" s="2"/>
      <c r="M919" s="2"/>
      <c r="N919" s="2"/>
    </row>
    <row r="920" spans="4:14" ht="12.75" x14ac:dyDescent="0.35">
      <c r="D920" s="2"/>
      <c r="E920" s="2"/>
      <c r="F920" s="2"/>
      <c r="G920" s="2"/>
      <c r="J920" s="2"/>
      <c r="L920" s="2"/>
      <c r="M920" s="2"/>
      <c r="N920" s="2"/>
    </row>
    <row r="921" spans="4:14" ht="12.75" x14ac:dyDescent="0.35">
      <c r="D921" s="2"/>
      <c r="E921" s="2"/>
      <c r="F921" s="2"/>
      <c r="G921" s="2"/>
      <c r="J921" s="2"/>
      <c r="L921" s="2"/>
      <c r="M921" s="2"/>
      <c r="N921" s="2"/>
    </row>
    <row r="922" spans="4:14" ht="12.75" x14ac:dyDescent="0.35">
      <c r="D922" s="2"/>
      <c r="E922" s="2"/>
      <c r="F922" s="2"/>
      <c r="G922" s="2"/>
      <c r="J922" s="2"/>
      <c r="L922" s="2"/>
      <c r="M922" s="2"/>
      <c r="N922" s="2"/>
    </row>
    <row r="923" spans="4:14" ht="12.75" x14ac:dyDescent="0.35">
      <c r="D923" s="2"/>
      <c r="E923" s="2"/>
      <c r="F923" s="2"/>
      <c r="G923" s="2"/>
      <c r="J923" s="2"/>
      <c r="L923" s="2"/>
      <c r="M923" s="2"/>
      <c r="N923" s="2"/>
    </row>
    <row r="924" spans="4:14" ht="12.75" x14ac:dyDescent="0.35">
      <c r="D924" s="2"/>
      <c r="E924" s="2"/>
      <c r="F924" s="2"/>
      <c r="G924" s="2"/>
      <c r="J924" s="2"/>
      <c r="L924" s="2"/>
      <c r="M924" s="2"/>
      <c r="N924" s="2"/>
    </row>
    <row r="925" spans="4:14" ht="12.75" x14ac:dyDescent="0.35">
      <c r="D925" s="2"/>
      <c r="E925" s="2"/>
      <c r="F925" s="2"/>
      <c r="G925" s="2"/>
      <c r="J925" s="2"/>
      <c r="L925" s="2"/>
      <c r="M925" s="2"/>
      <c r="N925" s="2"/>
    </row>
    <row r="926" spans="4:14" ht="12.75" x14ac:dyDescent="0.35">
      <c r="D926" s="2"/>
      <c r="E926" s="2"/>
      <c r="F926" s="2"/>
      <c r="G926" s="2"/>
      <c r="J926" s="2"/>
      <c r="L926" s="2"/>
      <c r="M926" s="2"/>
      <c r="N926" s="2"/>
    </row>
    <row r="927" spans="4:14" ht="12.75" x14ac:dyDescent="0.35">
      <c r="D927" s="2"/>
      <c r="E927" s="2"/>
      <c r="F927" s="2"/>
      <c r="G927" s="2"/>
      <c r="J927" s="2"/>
      <c r="L927" s="2"/>
      <c r="M927" s="2"/>
      <c r="N927" s="2"/>
    </row>
    <row r="928" spans="4:14" ht="12.75" x14ac:dyDescent="0.35">
      <c r="D928" s="2"/>
      <c r="E928" s="2"/>
      <c r="F928" s="2"/>
      <c r="G928" s="2"/>
      <c r="J928" s="2"/>
      <c r="L928" s="2"/>
      <c r="M928" s="2"/>
      <c r="N928" s="2"/>
    </row>
    <row r="929" spans="4:14" ht="12.75" x14ac:dyDescent="0.35">
      <c r="D929" s="2"/>
      <c r="E929" s="2"/>
      <c r="F929" s="2"/>
      <c r="G929" s="2"/>
      <c r="J929" s="2"/>
      <c r="L929" s="2"/>
      <c r="M929" s="2"/>
      <c r="N929" s="2"/>
    </row>
    <row r="930" spans="4:14" ht="12.75" x14ac:dyDescent="0.35">
      <c r="D930" s="2"/>
      <c r="E930" s="2"/>
      <c r="F930" s="2"/>
      <c r="G930" s="2"/>
      <c r="J930" s="2"/>
      <c r="L930" s="2"/>
      <c r="M930" s="2"/>
      <c r="N930" s="2"/>
    </row>
    <row r="931" spans="4:14" ht="12.75" x14ac:dyDescent="0.35">
      <c r="D931" s="2"/>
      <c r="E931" s="2"/>
      <c r="F931" s="2"/>
      <c r="G931" s="2"/>
      <c r="J931" s="2"/>
      <c r="L931" s="2"/>
      <c r="M931" s="2"/>
      <c r="N931" s="2"/>
    </row>
    <row r="932" spans="4:14" ht="12.75" x14ac:dyDescent="0.35">
      <c r="D932" s="2"/>
      <c r="E932" s="2"/>
      <c r="F932" s="2"/>
      <c r="G932" s="2"/>
      <c r="J932" s="2"/>
      <c r="L932" s="2"/>
      <c r="M932" s="2"/>
      <c r="N932" s="2"/>
    </row>
    <row r="933" spans="4:14" ht="12.75" x14ac:dyDescent="0.35">
      <c r="D933" s="2"/>
      <c r="E933" s="2"/>
      <c r="F933" s="2"/>
      <c r="G933" s="2"/>
      <c r="J933" s="2"/>
      <c r="L933" s="2"/>
      <c r="M933" s="2"/>
      <c r="N933" s="2"/>
    </row>
    <row r="934" spans="4:14" ht="12.75" x14ac:dyDescent="0.35">
      <c r="D934" s="2"/>
      <c r="E934" s="2"/>
      <c r="F934" s="2"/>
      <c r="G934" s="2"/>
      <c r="J934" s="2"/>
      <c r="L934" s="2"/>
      <c r="M934" s="2"/>
      <c r="N934" s="2"/>
    </row>
    <row r="935" spans="4:14" ht="12.75" x14ac:dyDescent="0.35">
      <c r="D935" s="2"/>
      <c r="E935" s="2"/>
      <c r="F935" s="2"/>
      <c r="G935" s="2"/>
      <c r="J935" s="2"/>
      <c r="L935" s="2"/>
      <c r="M935" s="2"/>
      <c r="N935" s="2"/>
    </row>
    <row r="936" spans="4:14" ht="12.75" x14ac:dyDescent="0.35">
      <c r="D936" s="2"/>
      <c r="E936" s="2"/>
      <c r="F936" s="2"/>
      <c r="G936" s="2"/>
      <c r="J936" s="2"/>
      <c r="L936" s="2"/>
      <c r="M936" s="2"/>
      <c r="N936" s="2"/>
    </row>
    <row r="937" spans="4:14" ht="12.75" x14ac:dyDescent="0.35">
      <c r="D937" s="2"/>
      <c r="E937" s="2"/>
      <c r="F937" s="2"/>
      <c r="G937" s="2"/>
      <c r="J937" s="2"/>
      <c r="L937" s="2"/>
      <c r="M937" s="2"/>
      <c r="N937" s="2"/>
    </row>
    <row r="938" spans="4:14" ht="12.75" x14ac:dyDescent="0.35">
      <c r="D938" s="2"/>
      <c r="E938" s="2"/>
      <c r="F938" s="2"/>
      <c r="G938" s="2"/>
      <c r="J938" s="2"/>
      <c r="L938" s="2"/>
      <c r="M938" s="2"/>
      <c r="N938" s="2"/>
    </row>
    <row r="939" spans="4:14" ht="12.75" x14ac:dyDescent="0.35">
      <c r="D939" s="2"/>
      <c r="E939" s="2"/>
      <c r="F939" s="2"/>
      <c r="G939" s="2"/>
      <c r="J939" s="2"/>
      <c r="L939" s="2"/>
      <c r="M939" s="2"/>
      <c r="N939" s="2"/>
    </row>
    <row r="940" spans="4:14" ht="12.75" x14ac:dyDescent="0.35">
      <c r="D940" s="2"/>
      <c r="E940" s="2"/>
      <c r="F940" s="2"/>
      <c r="G940" s="2"/>
      <c r="J940" s="2"/>
      <c r="L940" s="2"/>
      <c r="M940" s="2"/>
      <c r="N940" s="2"/>
    </row>
    <row r="941" spans="4:14" ht="12.75" x14ac:dyDescent="0.35">
      <c r="D941" s="2"/>
      <c r="E941" s="2"/>
      <c r="F941" s="2"/>
      <c r="G941" s="2"/>
      <c r="J941" s="2"/>
      <c r="L941" s="2"/>
      <c r="M941" s="2"/>
      <c r="N941" s="2"/>
    </row>
    <row r="942" spans="4:14" ht="12.75" x14ac:dyDescent="0.35">
      <c r="D942" s="2"/>
      <c r="E942" s="2"/>
      <c r="F942" s="2"/>
      <c r="G942" s="2"/>
      <c r="J942" s="2"/>
      <c r="L942" s="2"/>
      <c r="M942" s="2"/>
      <c r="N942" s="2"/>
    </row>
    <row r="943" spans="4:14" ht="12.75" x14ac:dyDescent="0.35">
      <c r="D943" s="2"/>
      <c r="E943" s="2"/>
      <c r="F943" s="2"/>
      <c r="G943" s="2"/>
      <c r="J943" s="2"/>
      <c r="L943" s="2"/>
      <c r="M943" s="2"/>
      <c r="N943" s="2"/>
    </row>
    <row r="944" spans="4:14" ht="12.75" x14ac:dyDescent="0.35">
      <c r="D944" s="2"/>
      <c r="E944" s="2"/>
      <c r="F944" s="2"/>
      <c r="G944" s="2"/>
      <c r="J944" s="2"/>
      <c r="L944" s="2"/>
      <c r="M944" s="2"/>
      <c r="N944" s="2"/>
    </row>
    <row r="945" spans="4:14" ht="12.75" x14ac:dyDescent="0.35">
      <c r="D945" s="2"/>
      <c r="E945" s="2"/>
      <c r="F945" s="2"/>
      <c r="G945" s="2"/>
      <c r="J945" s="2"/>
      <c r="L945" s="2"/>
      <c r="M945" s="2"/>
      <c r="N945" s="2"/>
    </row>
    <row r="946" spans="4:14" ht="12.75" x14ac:dyDescent="0.35">
      <c r="D946" s="2"/>
      <c r="E946" s="2"/>
      <c r="F946" s="2"/>
      <c r="G946" s="2"/>
      <c r="J946" s="2"/>
      <c r="L946" s="2"/>
      <c r="M946" s="2"/>
      <c r="N946" s="2"/>
    </row>
    <row r="947" spans="4:14" ht="12.75" x14ac:dyDescent="0.35">
      <c r="D947" s="2"/>
      <c r="E947" s="2"/>
      <c r="F947" s="2"/>
      <c r="G947" s="2"/>
      <c r="J947" s="2"/>
      <c r="L947" s="2"/>
      <c r="M947" s="2"/>
      <c r="N947" s="2"/>
    </row>
    <row r="948" spans="4:14" ht="12.75" x14ac:dyDescent="0.35">
      <c r="D948" s="2"/>
      <c r="E948" s="2"/>
      <c r="F948" s="2"/>
      <c r="G948" s="2"/>
      <c r="J948" s="2"/>
      <c r="L948" s="2"/>
      <c r="M948" s="2"/>
      <c r="N948" s="2"/>
    </row>
    <row r="949" spans="4:14" ht="12.75" x14ac:dyDescent="0.35">
      <c r="D949" s="2"/>
      <c r="E949" s="2"/>
      <c r="F949" s="2"/>
      <c r="G949" s="2"/>
      <c r="J949" s="2"/>
      <c r="L949" s="2"/>
      <c r="M949" s="2"/>
      <c r="N949" s="2"/>
    </row>
    <row r="950" spans="4:14" ht="12.75" x14ac:dyDescent="0.35">
      <c r="D950" s="2"/>
      <c r="E950" s="2"/>
      <c r="F950" s="2"/>
      <c r="G950" s="2"/>
      <c r="J950" s="2"/>
      <c r="L950" s="2"/>
      <c r="M950" s="2"/>
      <c r="N950" s="2"/>
    </row>
    <row r="951" spans="4:14" ht="12.75" x14ac:dyDescent="0.35">
      <c r="D951" s="2"/>
      <c r="E951" s="2"/>
      <c r="F951" s="2"/>
      <c r="G951" s="2"/>
      <c r="J951" s="2"/>
      <c r="L951" s="2"/>
      <c r="M951" s="2"/>
      <c r="N951" s="2"/>
    </row>
    <row r="952" spans="4:14" ht="12.75" x14ac:dyDescent="0.35">
      <c r="D952" s="2"/>
      <c r="E952" s="2"/>
      <c r="F952" s="2"/>
      <c r="G952" s="2"/>
      <c r="J952" s="2"/>
      <c r="L952" s="2"/>
      <c r="M952" s="2"/>
      <c r="N952" s="2"/>
    </row>
    <row r="953" spans="4:14" ht="12.75" x14ac:dyDescent="0.35">
      <c r="D953" s="2"/>
      <c r="E953" s="2"/>
      <c r="F953" s="2"/>
      <c r="G953" s="2"/>
      <c r="J953" s="2"/>
      <c r="L953" s="2"/>
      <c r="M953" s="2"/>
      <c r="N953" s="2"/>
    </row>
    <row r="954" spans="4:14" ht="12.75" x14ac:dyDescent="0.35">
      <c r="D954" s="2"/>
      <c r="E954" s="2"/>
      <c r="F954" s="2"/>
      <c r="G954" s="2"/>
      <c r="J954" s="2"/>
      <c r="L954" s="2"/>
      <c r="M954" s="2"/>
      <c r="N954" s="2"/>
    </row>
    <row r="955" spans="4:14" ht="12.75" x14ac:dyDescent="0.35">
      <c r="D955" s="2"/>
      <c r="E955" s="2"/>
      <c r="F955" s="2"/>
      <c r="G955" s="2"/>
      <c r="J955" s="2"/>
      <c r="L955" s="2"/>
      <c r="M955" s="2"/>
      <c r="N955" s="2"/>
    </row>
    <row r="956" spans="4:14" ht="12.75" x14ac:dyDescent="0.35">
      <c r="D956" s="2"/>
      <c r="E956" s="2"/>
      <c r="F956" s="2"/>
      <c r="G956" s="2"/>
      <c r="J956" s="2"/>
      <c r="L956" s="2"/>
      <c r="M956" s="2"/>
      <c r="N956" s="2"/>
    </row>
    <row r="957" spans="4:14" ht="12.75" x14ac:dyDescent="0.35">
      <c r="D957" s="2"/>
      <c r="E957" s="2"/>
      <c r="F957" s="2"/>
      <c r="G957" s="2"/>
      <c r="J957" s="2"/>
      <c r="L957" s="2"/>
      <c r="M957" s="2"/>
      <c r="N957" s="2"/>
    </row>
    <row r="958" spans="4:14" ht="12.75" x14ac:dyDescent="0.35">
      <c r="D958" s="2"/>
      <c r="E958" s="2"/>
      <c r="F958" s="2"/>
      <c r="G958" s="2"/>
      <c r="J958" s="2"/>
      <c r="L958" s="2"/>
      <c r="M958" s="2"/>
      <c r="N958" s="2"/>
    </row>
    <row r="959" spans="4:14" ht="12.75" x14ac:dyDescent="0.35">
      <c r="D959" s="2"/>
      <c r="E959" s="2"/>
      <c r="F959" s="2"/>
      <c r="G959" s="2"/>
      <c r="J959" s="2"/>
      <c r="L959" s="2"/>
      <c r="M959" s="2"/>
      <c r="N959" s="2"/>
    </row>
    <row r="960" spans="4:14" ht="12.75" x14ac:dyDescent="0.35">
      <c r="D960" s="2"/>
      <c r="E960" s="2"/>
      <c r="F960" s="2"/>
      <c r="G960" s="2"/>
      <c r="J960" s="2"/>
      <c r="L960" s="2"/>
      <c r="M960" s="2"/>
      <c r="N960" s="2"/>
    </row>
    <row r="961" spans="4:14" ht="12.75" x14ac:dyDescent="0.35">
      <c r="D961" s="2"/>
      <c r="E961" s="2"/>
      <c r="F961" s="2"/>
      <c r="G961" s="2"/>
      <c r="J961" s="2"/>
      <c r="L961" s="2"/>
      <c r="M961" s="2"/>
      <c r="N961" s="2"/>
    </row>
    <row r="962" spans="4:14" ht="12.75" x14ac:dyDescent="0.35">
      <c r="D962" s="2"/>
      <c r="E962" s="2"/>
      <c r="F962" s="2"/>
      <c r="G962" s="2"/>
      <c r="J962" s="2"/>
      <c r="L962" s="2"/>
      <c r="M962" s="2"/>
      <c r="N962" s="2"/>
    </row>
    <row r="963" spans="4:14" ht="12.75" x14ac:dyDescent="0.35">
      <c r="D963" s="2"/>
      <c r="E963" s="2"/>
      <c r="F963" s="2"/>
      <c r="G963" s="2"/>
      <c r="J963" s="2"/>
      <c r="L963" s="2"/>
      <c r="M963" s="2"/>
      <c r="N963" s="2"/>
    </row>
    <row r="964" spans="4:14" ht="12.75" x14ac:dyDescent="0.35">
      <c r="D964" s="2"/>
      <c r="E964" s="2"/>
      <c r="F964" s="2"/>
      <c r="G964" s="2"/>
      <c r="J964" s="2"/>
      <c r="L964" s="2"/>
      <c r="M964" s="2"/>
      <c r="N964" s="2"/>
    </row>
    <row r="965" spans="4:14" ht="12.75" x14ac:dyDescent="0.35">
      <c r="D965" s="2"/>
      <c r="E965" s="2"/>
      <c r="F965" s="2"/>
      <c r="G965" s="2"/>
      <c r="J965" s="2"/>
      <c r="L965" s="2"/>
      <c r="M965" s="2"/>
      <c r="N965" s="2"/>
    </row>
    <row r="966" spans="4:14" ht="12.75" x14ac:dyDescent="0.35">
      <c r="D966" s="2"/>
      <c r="E966" s="2"/>
      <c r="F966" s="2"/>
      <c r="G966" s="2"/>
      <c r="J966" s="2"/>
      <c r="L966" s="2"/>
      <c r="M966" s="2"/>
      <c r="N966" s="2"/>
    </row>
    <row r="967" spans="4:14" ht="12.75" x14ac:dyDescent="0.35">
      <c r="D967" s="2"/>
      <c r="E967" s="2"/>
      <c r="F967" s="2"/>
      <c r="G967" s="2"/>
      <c r="J967" s="2"/>
      <c r="L967" s="2"/>
      <c r="M967" s="2"/>
      <c r="N967" s="2"/>
    </row>
    <row r="968" spans="4:14" ht="12.75" x14ac:dyDescent="0.35">
      <c r="D968" s="2"/>
      <c r="E968" s="2"/>
      <c r="F968" s="2"/>
      <c r="G968" s="2"/>
      <c r="J968" s="2"/>
      <c r="L968" s="2"/>
      <c r="M968" s="2"/>
      <c r="N968" s="2"/>
    </row>
    <row r="969" spans="4:14" ht="12.75" x14ac:dyDescent="0.35">
      <c r="D969" s="2"/>
      <c r="E969" s="2"/>
      <c r="F969" s="2"/>
      <c r="G969" s="2"/>
      <c r="J969" s="2"/>
      <c r="L969" s="2"/>
      <c r="M969" s="2"/>
      <c r="N969" s="2"/>
    </row>
    <row r="970" spans="4:14" ht="12.75" x14ac:dyDescent="0.35">
      <c r="D970" s="2"/>
      <c r="E970" s="2"/>
      <c r="F970" s="2"/>
      <c r="G970" s="2"/>
      <c r="J970" s="2"/>
      <c r="L970" s="2"/>
      <c r="M970" s="2"/>
      <c r="N970" s="2"/>
    </row>
    <row r="971" spans="4:14" ht="12.75" x14ac:dyDescent="0.35">
      <c r="D971" s="2"/>
      <c r="E971" s="2"/>
      <c r="F971" s="2"/>
      <c r="G971" s="2"/>
      <c r="J971" s="2"/>
      <c r="L971" s="2"/>
      <c r="M971" s="2"/>
      <c r="N971" s="2"/>
    </row>
    <row r="972" spans="4:14" ht="12.75" x14ac:dyDescent="0.35">
      <c r="D972" s="2"/>
      <c r="E972" s="2"/>
      <c r="F972" s="2"/>
      <c r="G972" s="2"/>
      <c r="J972" s="2"/>
      <c r="L972" s="2"/>
      <c r="M972" s="2"/>
      <c r="N972" s="2"/>
    </row>
    <row r="973" spans="4:14" ht="12.75" x14ac:dyDescent="0.35">
      <c r="D973" s="2"/>
      <c r="E973" s="2"/>
      <c r="F973" s="2"/>
      <c r="G973" s="2"/>
      <c r="J973" s="2"/>
      <c r="L973" s="2"/>
      <c r="M973" s="2"/>
      <c r="N973" s="2"/>
    </row>
    <row r="974" spans="4:14" ht="12.75" x14ac:dyDescent="0.35">
      <c r="D974" s="2"/>
      <c r="E974" s="2"/>
      <c r="F974" s="2"/>
      <c r="G974" s="2"/>
      <c r="J974" s="2"/>
      <c r="L974" s="2"/>
      <c r="M974" s="2"/>
      <c r="N974" s="2"/>
    </row>
    <row r="975" spans="4:14" ht="12.75" x14ac:dyDescent="0.35">
      <c r="D975" s="2"/>
      <c r="E975" s="2"/>
      <c r="F975" s="2"/>
      <c r="G975" s="2"/>
      <c r="J975" s="2"/>
      <c r="L975" s="2"/>
      <c r="M975" s="2"/>
      <c r="N975" s="2"/>
    </row>
    <row r="976" spans="4:14" ht="12.75" x14ac:dyDescent="0.35">
      <c r="D976" s="2"/>
      <c r="E976" s="2"/>
      <c r="F976" s="2"/>
      <c r="G976" s="2"/>
      <c r="J976" s="2"/>
      <c r="L976" s="2"/>
      <c r="M976" s="2"/>
      <c r="N976" s="2"/>
    </row>
    <row r="977" spans="4:14" ht="12.75" x14ac:dyDescent="0.35">
      <c r="D977" s="2"/>
      <c r="E977" s="2"/>
      <c r="F977" s="2"/>
      <c r="G977" s="2"/>
      <c r="J977" s="2"/>
      <c r="L977" s="2"/>
      <c r="M977" s="2"/>
      <c r="N977" s="2"/>
    </row>
    <row r="978" spans="4:14" ht="12.75" x14ac:dyDescent="0.35">
      <c r="D978" s="2"/>
      <c r="E978" s="2"/>
      <c r="F978" s="2"/>
      <c r="G978" s="2"/>
      <c r="J978" s="2"/>
      <c r="L978" s="2"/>
      <c r="M978" s="2"/>
      <c r="N978" s="2"/>
    </row>
    <row r="979" spans="4:14" ht="12.75" x14ac:dyDescent="0.35">
      <c r="D979" s="2"/>
      <c r="E979" s="2"/>
      <c r="F979" s="2"/>
      <c r="G979" s="2"/>
      <c r="J979" s="2"/>
      <c r="L979" s="2"/>
      <c r="M979" s="2"/>
      <c r="N979" s="2"/>
    </row>
    <row r="980" spans="4:14" ht="12.75" x14ac:dyDescent="0.35">
      <c r="D980" s="2"/>
      <c r="E980" s="2"/>
      <c r="F980" s="2"/>
      <c r="G980" s="2"/>
      <c r="J980" s="2"/>
      <c r="L980" s="2"/>
      <c r="M980" s="2"/>
      <c r="N980" s="2"/>
    </row>
    <row r="981" spans="4:14" ht="12.75" x14ac:dyDescent="0.35">
      <c r="D981" s="2"/>
      <c r="E981" s="2"/>
      <c r="F981" s="2"/>
      <c r="G981" s="2"/>
      <c r="J981" s="2"/>
      <c r="L981" s="2"/>
      <c r="M981" s="2"/>
      <c r="N981" s="2"/>
    </row>
    <row r="982" spans="4:14" ht="12.75" x14ac:dyDescent="0.35">
      <c r="D982" s="2"/>
      <c r="E982" s="2"/>
      <c r="F982" s="2"/>
      <c r="G982" s="2"/>
      <c r="J982" s="2"/>
      <c r="L982" s="2"/>
      <c r="M982" s="2"/>
      <c r="N982" s="2"/>
    </row>
    <row r="983" spans="4:14" ht="12.75" x14ac:dyDescent="0.35">
      <c r="D983" s="2"/>
      <c r="E983" s="2"/>
      <c r="F983" s="2"/>
      <c r="G983" s="2"/>
      <c r="J983" s="2"/>
      <c r="L983" s="2"/>
      <c r="M983" s="2"/>
      <c r="N983" s="2"/>
    </row>
    <row r="984" spans="4:14" ht="12.75" x14ac:dyDescent="0.35">
      <c r="D984" s="2"/>
      <c r="E984" s="2"/>
      <c r="F984" s="2"/>
      <c r="G984" s="2"/>
      <c r="J984" s="2"/>
      <c r="L984" s="2"/>
      <c r="M984" s="2"/>
      <c r="N984" s="2"/>
    </row>
    <row r="985" spans="4:14" ht="12.75" x14ac:dyDescent="0.35">
      <c r="D985" s="2"/>
      <c r="E985" s="2"/>
      <c r="F985" s="2"/>
      <c r="G985" s="2"/>
      <c r="J985" s="2"/>
      <c r="L985" s="2"/>
      <c r="M985" s="2"/>
      <c r="N985" s="2"/>
    </row>
    <row r="986" spans="4:14" ht="12.75" x14ac:dyDescent="0.35">
      <c r="D986" s="2"/>
      <c r="E986" s="2"/>
      <c r="F986" s="2"/>
      <c r="G986" s="2"/>
      <c r="J986" s="2"/>
      <c r="L986" s="2"/>
      <c r="M986" s="2"/>
      <c r="N986" s="2"/>
    </row>
    <row r="987" spans="4:14" ht="12.75" x14ac:dyDescent="0.35">
      <c r="D987" s="2"/>
      <c r="E987" s="2"/>
      <c r="F987" s="2"/>
      <c r="G987" s="2"/>
      <c r="J987" s="2"/>
      <c r="L987" s="2"/>
      <c r="M987" s="2"/>
      <c r="N987" s="2"/>
    </row>
    <row r="988" spans="4:14" ht="12.75" x14ac:dyDescent="0.35">
      <c r="D988" s="2"/>
      <c r="E988" s="2"/>
      <c r="F988" s="2"/>
      <c r="G988" s="2"/>
      <c r="J988" s="2"/>
      <c r="L988" s="2"/>
      <c r="M988" s="2"/>
      <c r="N988" s="2"/>
    </row>
    <row r="989" spans="4:14" ht="12.75" x14ac:dyDescent="0.35">
      <c r="D989" s="2"/>
      <c r="E989" s="2"/>
      <c r="F989" s="2"/>
      <c r="G989" s="2"/>
      <c r="J989" s="2"/>
      <c r="L989" s="2"/>
      <c r="M989" s="2"/>
      <c r="N989" s="2"/>
    </row>
    <row r="990" spans="4:14" ht="12.75" x14ac:dyDescent="0.35">
      <c r="D990" s="2"/>
      <c r="E990" s="2"/>
      <c r="F990" s="2"/>
      <c r="G990" s="2"/>
      <c r="J990" s="2"/>
      <c r="L990" s="2"/>
      <c r="M990" s="2"/>
      <c r="N990" s="2"/>
    </row>
    <row r="991" spans="4:14" ht="12.75" x14ac:dyDescent="0.35">
      <c r="D991" s="2"/>
      <c r="E991" s="2"/>
      <c r="F991" s="2"/>
      <c r="G991" s="2"/>
      <c r="J991" s="2"/>
      <c r="L991" s="2"/>
      <c r="M991" s="2"/>
      <c r="N991" s="2"/>
    </row>
    <row r="992" spans="4:14" ht="12.75" x14ac:dyDescent="0.35">
      <c r="D992" s="2"/>
      <c r="E992" s="2"/>
      <c r="F992" s="2"/>
      <c r="G992" s="2"/>
      <c r="J992" s="2"/>
      <c r="L992" s="2"/>
      <c r="M992" s="2"/>
      <c r="N992" s="2"/>
    </row>
    <row r="993" spans="4:14" ht="12.75" x14ac:dyDescent="0.35">
      <c r="D993" s="2"/>
      <c r="E993" s="2"/>
      <c r="F993" s="2"/>
      <c r="G993" s="2"/>
      <c r="J993" s="2"/>
      <c r="L993" s="2"/>
      <c r="M993" s="2"/>
      <c r="N993" s="2"/>
    </row>
    <row r="994" spans="4:14" ht="12.75" x14ac:dyDescent="0.35">
      <c r="D994" s="2"/>
      <c r="E994" s="2"/>
      <c r="F994" s="2"/>
      <c r="G994" s="2"/>
      <c r="J994" s="2"/>
      <c r="L994" s="2"/>
      <c r="M994" s="2"/>
      <c r="N994" s="2"/>
    </row>
    <row r="995" spans="4:14" ht="12.75" x14ac:dyDescent="0.35">
      <c r="D995" s="2"/>
      <c r="E995" s="2"/>
      <c r="F995" s="2"/>
      <c r="G995" s="2"/>
      <c r="J995" s="2"/>
      <c r="L995" s="2"/>
      <c r="M995" s="2"/>
      <c r="N995" s="2"/>
    </row>
  </sheetData>
  <autoFilter ref="B5:Y5" xr:uid="{BE1ECC1C-BA48-4379-A22C-790030484C00}">
    <sortState xmlns:xlrd2="http://schemas.microsoft.com/office/spreadsheetml/2017/richdata2" ref="B6:Y29">
      <sortCondition ref="B5"/>
    </sortState>
  </autoFilter>
  <mergeCells count="1">
    <mergeCell ref="U4:Y4"/>
  </mergeCells>
  <conditionalFormatting sqref="D6:D29">
    <cfRule type="top10" dxfId="13" priority="16" percent="1" bottom="1" rank="33"/>
    <cfRule type="top10" priority="17" percent="1" bottom="1" rank="33"/>
    <cfRule type="top10" dxfId="12" priority="18" percent="1" rank="33"/>
  </conditionalFormatting>
  <conditionalFormatting sqref="E6:E29">
    <cfRule type="top10" dxfId="11" priority="13" percent="1" bottom="1" rank="33"/>
    <cfRule type="top10" priority="14" percent="1" bottom="1" rank="33"/>
    <cfRule type="top10" dxfId="10" priority="15" percent="1" rank="33"/>
  </conditionalFormatting>
  <conditionalFormatting sqref="F6:F29">
    <cfRule type="top10" dxfId="9" priority="10" percent="1" bottom="1" rank="33"/>
    <cfRule type="top10" priority="11" percent="1" bottom="1" rank="33"/>
    <cfRule type="top10" dxfId="8" priority="12" percent="1" rank="33"/>
  </conditionalFormatting>
  <conditionalFormatting sqref="G6:G29">
    <cfRule type="top10" dxfId="7" priority="7" percent="1" bottom="1" rank="33"/>
    <cfRule type="top10" priority="8" percent="1" bottom="1" rank="33"/>
    <cfRule type="top10" dxfId="6" priority="9" percent="1" rank="33"/>
  </conditionalFormatting>
  <conditionalFormatting sqref="I6:L29">
    <cfRule type="cellIs" dxfId="5" priority="4" operator="equal">
      <formula>"Sedang"</formula>
    </cfRule>
    <cfRule type="cellIs" dxfId="4" priority="5" operator="equal">
      <formula>"Rendah"</formula>
    </cfRule>
    <cfRule type="cellIs" dxfId="3" priority="6" operator="equal">
      <formula>"Tinggi"</formula>
    </cfRule>
  </conditionalFormatting>
  <conditionalFormatting sqref="S6:S29">
    <cfRule type="cellIs" dxfId="2" priority="1" operator="equal">
      <formula>"Sedang"</formula>
    </cfRule>
    <cfRule type="cellIs" dxfId="1" priority="2" operator="equal">
      <formula>"Rendah"</formula>
    </cfRule>
    <cfRule type="cellIs" dxfId="0" priority="3" operator="equal">
      <formula>"Tinggi"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E1659-128B-4760-B155-DB449DD46A5F}">
  <dimension ref="X1:AN131"/>
  <sheetViews>
    <sheetView zoomScale="64" zoomScaleNormal="70" workbookViewId="0">
      <selection activeCell="P35" sqref="P35"/>
    </sheetView>
  </sheetViews>
  <sheetFormatPr defaultColWidth="11.265625" defaultRowHeight="12.75" x14ac:dyDescent="0.35"/>
  <cols>
    <col min="23" max="23" width="11.265625" customWidth="1"/>
    <col min="24" max="24" width="5.3984375" style="48" customWidth="1"/>
    <col min="25" max="25" width="47" customWidth="1"/>
    <col min="26" max="26" width="15.265625" style="48" customWidth="1"/>
    <col min="27" max="27" width="13.1328125" style="48" bestFit="1" customWidth="1"/>
    <col min="28" max="28" width="13.1328125" style="48" customWidth="1"/>
    <col min="33" max="33" width="7.3984375" customWidth="1"/>
    <col min="34" max="34" width="36.73046875" customWidth="1"/>
  </cols>
  <sheetData>
    <row r="1" spans="24:40" ht="13.15" x14ac:dyDescent="0.4">
      <c r="Y1" s="157" t="s">
        <v>48</v>
      </c>
      <c r="Z1" s="157"/>
      <c r="AA1" s="157"/>
      <c r="AB1" s="114"/>
      <c r="AD1" s="66"/>
      <c r="AE1" s="66"/>
      <c r="AF1" s="152"/>
      <c r="AH1" s="157" t="s">
        <v>48</v>
      </c>
      <c r="AI1" s="157"/>
      <c r="AJ1" s="157"/>
      <c r="AK1" s="114"/>
      <c r="AM1" s="66"/>
      <c r="AN1" s="66"/>
    </row>
    <row r="2" spans="24:40" ht="13.15" x14ac:dyDescent="0.4">
      <c r="Y2" s="66" t="s">
        <v>49</v>
      </c>
      <c r="Z2" s="66" t="s">
        <v>7</v>
      </c>
      <c r="AA2" s="66" t="s">
        <v>50</v>
      </c>
      <c r="AB2" s="66"/>
      <c r="AD2" s="66" t="s">
        <v>51</v>
      </c>
      <c r="AE2" s="66" t="s">
        <v>52</v>
      </c>
      <c r="AF2" s="152"/>
      <c r="AH2" s="66" t="s">
        <v>53</v>
      </c>
      <c r="AI2" s="66" t="s">
        <v>7</v>
      </c>
      <c r="AJ2" s="66" t="s">
        <v>50</v>
      </c>
      <c r="AK2" s="66"/>
      <c r="AM2" s="66" t="s">
        <v>51</v>
      </c>
      <c r="AN2" s="66" t="s">
        <v>52</v>
      </c>
    </row>
    <row r="3" spans="24:40" ht="14.25" x14ac:dyDescent="0.45">
      <c r="X3" s="48">
        <v>10</v>
      </c>
      <c r="Y3" s="61" t="s">
        <v>13</v>
      </c>
      <c r="Z3" s="62">
        <v>2.8762540817260742</v>
      </c>
      <c r="AA3" s="62">
        <v>7.3043479919433594</v>
      </c>
      <c r="AB3" s="62" t="str">
        <f t="shared" ref="AB3:AB26" si="0">IF(AND(Z3&gt;=$AD$3,AA3&gt;=$AE$3),"K1",IF(AND(Z3&lt;$AD$3,AA3&gt;=$AE$3),"K2",IF(AND(Z3&lt;$AD$3,AA3&lt;$AE$3),"K3","K4")))</f>
        <v>K3</v>
      </c>
      <c r="AD3" s="71">
        <f>AVERAGE(Z3:Z26)</f>
        <v>8.9126523633797969</v>
      </c>
      <c r="AE3" s="71">
        <f>AVERAGE(AA3:AA26)</f>
        <v>11.345506921410561</v>
      </c>
      <c r="AF3" s="153"/>
      <c r="AG3" s="54">
        <v>11</v>
      </c>
      <c r="AH3" s="58" t="s">
        <v>54</v>
      </c>
      <c r="AI3" s="64">
        <v>1.1494252681732178</v>
      </c>
      <c r="AJ3" s="64">
        <v>4.5977010726928711</v>
      </c>
      <c r="AK3" s="64" t="str">
        <f t="shared" ref="AK3:AK36" si="1">IF(AND(AI3&gt;=$AM$3,AJ3&gt;=$AN$3),"K1",IF(AND(AI3&lt;$AM$3,AJ3&gt;=$AN$3),"K2",IF(AND(AI3&lt;$AM$3,AJ3&lt;$AN$3),"K3","K4")))</f>
        <v>K3</v>
      </c>
      <c r="AM3" s="71">
        <f>AVERAGE(AI3:AI36)</f>
        <v>4.2970574778669022</v>
      </c>
      <c r="AN3" s="71">
        <f>AVERAGE(AJ3:AJ36)</f>
        <v>11.943857427905588</v>
      </c>
    </row>
    <row r="4" spans="24:40" ht="14.25" x14ac:dyDescent="0.45">
      <c r="X4" s="48">
        <v>11</v>
      </c>
      <c r="Y4" s="55" t="s">
        <v>19</v>
      </c>
      <c r="Z4" s="62">
        <v>3.0997304916381836</v>
      </c>
      <c r="AA4" s="62">
        <v>3.3692722320556641</v>
      </c>
      <c r="AB4" s="62" t="str">
        <f t="shared" si="0"/>
        <v>K3</v>
      </c>
      <c r="AG4" s="54">
        <v>12</v>
      </c>
      <c r="AH4" s="58" t="s">
        <v>17</v>
      </c>
      <c r="AI4" s="64">
        <v>8.7816457748413086</v>
      </c>
      <c r="AJ4" s="64">
        <v>11.708860397338867</v>
      </c>
      <c r="AK4" s="64" t="str">
        <f t="shared" si="1"/>
        <v>K4</v>
      </c>
    </row>
    <row r="5" spans="24:40" ht="14.25" x14ac:dyDescent="0.45">
      <c r="X5" s="48">
        <v>12</v>
      </c>
      <c r="Y5" s="55" t="s">
        <v>21</v>
      </c>
      <c r="Z5" s="62">
        <v>3.4013607501983643</v>
      </c>
      <c r="AA5" s="62">
        <v>6.6666669845581055</v>
      </c>
      <c r="AB5" s="62" t="str">
        <f t="shared" si="0"/>
        <v>K3</v>
      </c>
      <c r="AD5" s="67" t="s">
        <v>55</v>
      </c>
      <c r="AE5" s="69"/>
      <c r="AF5" s="69"/>
      <c r="AG5" s="54">
        <v>13</v>
      </c>
      <c r="AH5" s="58" t="s">
        <v>56</v>
      </c>
      <c r="AI5" s="64">
        <v>3.0612244606018066</v>
      </c>
      <c r="AJ5" s="64">
        <v>9.1836738586425781</v>
      </c>
      <c r="AK5" s="64" t="str">
        <f t="shared" si="1"/>
        <v>K3</v>
      </c>
      <c r="AM5" s="67" t="s">
        <v>55</v>
      </c>
      <c r="AN5" s="69"/>
    </row>
    <row r="6" spans="24:40" ht="14.25" x14ac:dyDescent="0.45">
      <c r="X6" s="48">
        <v>13</v>
      </c>
      <c r="Y6" s="55" t="s">
        <v>24</v>
      </c>
      <c r="Z6" s="62">
        <v>8.0907745361328125</v>
      </c>
      <c r="AA6" s="62">
        <v>9.0281200408935547</v>
      </c>
      <c r="AB6" s="62" t="str">
        <f t="shared" si="0"/>
        <v>K3</v>
      </c>
      <c r="AD6" s="69">
        <f>$AD$3</f>
        <v>8.9126523633797969</v>
      </c>
      <c r="AE6" s="68">
        <v>0</v>
      </c>
      <c r="AF6" s="68"/>
      <c r="AG6" s="54">
        <v>14</v>
      </c>
      <c r="AH6" s="58" t="s">
        <v>57</v>
      </c>
      <c r="AI6" s="64">
        <v>0.5181347131729126</v>
      </c>
      <c r="AJ6" s="64">
        <v>5.1813473701477051</v>
      </c>
      <c r="AK6" s="64" t="str">
        <f t="shared" si="1"/>
        <v>K3</v>
      </c>
      <c r="AM6" s="69">
        <f>$AM$3</f>
        <v>4.2970574778669022</v>
      </c>
      <c r="AN6" s="68">
        <v>0</v>
      </c>
    </row>
    <row r="7" spans="24:40" ht="14.25" x14ac:dyDescent="0.45">
      <c r="X7" s="48">
        <v>14</v>
      </c>
      <c r="Y7" s="55" t="s">
        <v>26</v>
      </c>
      <c r="Z7" s="62">
        <v>8.5138540267944336</v>
      </c>
      <c r="AA7" s="62">
        <v>14.105793952941895</v>
      </c>
      <c r="AB7" s="62" t="str">
        <f t="shared" si="0"/>
        <v>K2</v>
      </c>
      <c r="AD7" s="69">
        <f>$AD$3</f>
        <v>8.9126523633797969</v>
      </c>
      <c r="AE7" s="68">
        <f>MAX(AA3:AA26)*1.1</f>
        <v>39.285715484619146</v>
      </c>
      <c r="AF7" s="68"/>
      <c r="AG7" s="54">
        <v>17</v>
      </c>
      <c r="AH7" s="58" t="s">
        <v>58</v>
      </c>
      <c r="AI7" s="64">
        <v>1.0362694263458252</v>
      </c>
      <c r="AJ7" s="64">
        <v>10.36269474029541</v>
      </c>
      <c r="AK7" s="64" t="str">
        <f t="shared" si="1"/>
        <v>K3</v>
      </c>
      <c r="AM7" s="69">
        <f>$AM$3</f>
        <v>4.2970574778669022</v>
      </c>
      <c r="AN7" s="68">
        <f>MAX(AJ3:AJ36)*1.1</f>
        <v>35.159817504882817</v>
      </c>
    </row>
    <row r="8" spans="24:40" ht="14.25" x14ac:dyDescent="0.45">
      <c r="X8" s="48">
        <v>15</v>
      </c>
      <c r="Y8" s="55" t="s">
        <v>27</v>
      </c>
      <c r="Z8" s="62">
        <v>11.973684310913086</v>
      </c>
      <c r="AA8" s="62">
        <v>15.000000953674316</v>
      </c>
      <c r="AB8" s="62" t="str">
        <f t="shared" si="0"/>
        <v>K1</v>
      </c>
      <c r="AD8" s="67"/>
      <c r="AE8" s="68"/>
      <c r="AF8" s="68"/>
      <c r="AG8" s="54">
        <v>16</v>
      </c>
      <c r="AH8" s="58" t="s">
        <v>59</v>
      </c>
      <c r="AI8" s="64">
        <v>4.5016074180603027</v>
      </c>
      <c r="AJ8" s="64">
        <v>8.0385847091674805</v>
      </c>
      <c r="AK8" s="64" t="str">
        <f t="shared" si="1"/>
        <v>K4</v>
      </c>
      <c r="AM8" s="67"/>
      <c r="AN8" s="68"/>
    </row>
    <row r="9" spans="24:40" ht="14.25" x14ac:dyDescent="0.45">
      <c r="X9" s="48">
        <v>16</v>
      </c>
      <c r="Y9" s="58" t="s">
        <v>29</v>
      </c>
      <c r="Z9" s="62">
        <v>3.7390611171722412</v>
      </c>
      <c r="AA9" s="62">
        <v>35.640411376953125</v>
      </c>
      <c r="AB9" s="62" t="str">
        <f t="shared" si="0"/>
        <v>K2</v>
      </c>
      <c r="AD9" s="67" t="s">
        <v>60</v>
      </c>
      <c r="AE9" s="68"/>
      <c r="AF9" s="68"/>
      <c r="AG9" s="54">
        <v>17</v>
      </c>
      <c r="AH9" s="58" t="s">
        <v>61</v>
      </c>
      <c r="AI9" s="64">
        <v>0</v>
      </c>
      <c r="AJ9" s="64">
        <v>8.1081075668334961</v>
      </c>
      <c r="AK9" s="64" t="str">
        <f t="shared" si="1"/>
        <v>K3</v>
      </c>
      <c r="AM9" s="67" t="s">
        <v>60</v>
      </c>
      <c r="AN9" s="68"/>
    </row>
    <row r="10" spans="24:40" ht="14.25" x14ac:dyDescent="0.45">
      <c r="X10" s="48">
        <v>17</v>
      </c>
      <c r="Y10" s="55" t="s">
        <v>30</v>
      </c>
      <c r="Z10" s="62">
        <v>9.7271652221679688</v>
      </c>
      <c r="AA10" s="62">
        <v>7.4733095169067383</v>
      </c>
      <c r="AB10" s="62" t="str">
        <f t="shared" si="0"/>
        <v>K4</v>
      </c>
      <c r="AD10" s="67">
        <v>0</v>
      </c>
      <c r="AE10" s="68">
        <f>$AE$3</f>
        <v>11.345506921410561</v>
      </c>
      <c r="AF10" s="68"/>
      <c r="AG10" s="54">
        <v>18</v>
      </c>
      <c r="AH10" s="58" t="s">
        <v>62</v>
      </c>
      <c r="AI10" s="64">
        <v>2.403846263885498</v>
      </c>
      <c r="AJ10" s="64">
        <v>7.9326920509338379</v>
      </c>
      <c r="AK10" s="64" t="str">
        <f t="shared" si="1"/>
        <v>K3</v>
      </c>
      <c r="AM10" s="67">
        <v>0</v>
      </c>
      <c r="AN10" s="68">
        <f>$AN$3</f>
        <v>11.943857427905588</v>
      </c>
    </row>
    <row r="11" spans="24:40" ht="14.25" x14ac:dyDescent="0.45">
      <c r="X11" s="48">
        <v>18</v>
      </c>
      <c r="Y11" s="55" t="s">
        <v>31</v>
      </c>
      <c r="Z11" s="62">
        <v>2.8538811206817627</v>
      </c>
      <c r="AA11" s="62">
        <v>1.7123287916183472</v>
      </c>
      <c r="AB11" s="62" t="str">
        <f t="shared" si="0"/>
        <v>K3</v>
      </c>
      <c r="AD11" s="65">
        <f>MAX(Z3:Z26)*1.1</f>
        <v>19.999999809265137</v>
      </c>
      <c r="AE11" s="68">
        <f>$AE$3</f>
        <v>11.345506921410561</v>
      </c>
      <c r="AF11" s="68"/>
      <c r="AG11" s="54">
        <v>19</v>
      </c>
      <c r="AH11" s="58" t="s">
        <v>63</v>
      </c>
      <c r="AI11" s="64">
        <v>3.6363635063171387</v>
      </c>
      <c r="AJ11" s="64">
        <v>23.636363983154297</v>
      </c>
      <c r="AK11" s="64" t="str">
        <f t="shared" si="1"/>
        <v>K2</v>
      </c>
      <c r="AM11" s="65">
        <f>MAX(AI3:AI36)*1.1</f>
        <v>38.675798416137695</v>
      </c>
      <c r="AN11" s="68">
        <f>$AN$3</f>
        <v>11.943857427905588</v>
      </c>
    </row>
    <row r="12" spans="24:40" ht="14.25" x14ac:dyDescent="0.45">
      <c r="X12" s="48">
        <v>19</v>
      </c>
      <c r="Y12" s="55" t="s">
        <v>32</v>
      </c>
      <c r="Z12" s="62">
        <v>4.9382715225219727</v>
      </c>
      <c r="AA12" s="62">
        <v>4.3209877014160156</v>
      </c>
      <c r="AB12" s="62" t="str">
        <f t="shared" si="0"/>
        <v>K3</v>
      </c>
      <c r="AG12" s="54">
        <v>21</v>
      </c>
      <c r="AH12" s="58" t="s">
        <v>23</v>
      </c>
      <c r="AI12" s="64">
        <v>35.159816741943359</v>
      </c>
      <c r="AJ12" s="64">
        <v>31.963470458984375</v>
      </c>
      <c r="AK12" s="64" t="str">
        <f t="shared" si="1"/>
        <v>K1</v>
      </c>
    </row>
    <row r="13" spans="24:40" ht="14.25" x14ac:dyDescent="0.45">
      <c r="X13" s="48">
        <v>20</v>
      </c>
      <c r="Y13" s="55" t="s">
        <v>33</v>
      </c>
      <c r="Z13" s="62">
        <v>10.813542366027832</v>
      </c>
      <c r="AA13" s="62">
        <v>12.63264274597168</v>
      </c>
      <c r="AB13" s="62" t="str">
        <f t="shared" si="0"/>
        <v>K1</v>
      </c>
      <c r="AG13" s="54">
        <v>31</v>
      </c>
      <c r="AH13" s="58" t="s">
        <v>64</v>
      </c>
      <c r="AI13" s="64">
        <v>5.0963330268859863</v>
      </c>
      <c r="AJ13" s="64">
        <v>5.3449349403381348</v>
      </c>
      <c r="AK13" s="64" t="str">
        <f t="shared" si="1"/>
        <v>K4</v>
      </c>
    </row>
    <row r="14" spans="24:40" ht="14.25" x14ac:dyDescent="0.45">
      <c r="X14" s="48">
        <v>21</v>
      </c>
      <c r="Y14" s="55" t="s">
        <v>34</v>
      </c>
      <c r="Z14" s="62">
        <v>16.546762466430664</v>
      </c>
      <c r="AA14" s="62">
        <v>7.1942448616027832</v>
      </c>
      <c r="AB14" s="62" t="str">
        <f t="shared" si="0"/>
        <v>K4</v>
      </c>
      <c r="AG14" s="54">
        <v>32</v>
      </c>
      <c r="AH14" s="58" t="s">
        <v>15</v>
      </c>
      <c r="AI14" s="64">
        <v>7.1264634132385254</v>
      </c>
      <c r="AJ14" s="64">
        <v>8.2510900497436523</v>
      </c>
      <c r="AK14" s="64" t="str">
        <f t="shared" si="1"/>
        <v>K4</v>
      </c>
    </row>
    <row r="15" spans="24:40" ht="14.25" x14ac:dyDescent="0.45">
      <c r="X15" s="48">
        <v>22</v>
      </c>
      <c r="Y15" s="55" t="s">
        <v>35</v>
      </c>
      <c r="Z15" s="62">
        <v>9.9927330017089844</v>
      </c>
      <c r="AA15" s="62">
        <v>9.9927330017089844</v>
      </c>
      <c r="AB15" s="62" t="str">
        <f t="shared" si="0"/>
        <v>K4</v>
      </c>
      <c r="AG15" s="54">
        <v>33</v>
      </c>
      <c r="AH15" s="58" t="s">
        <v>16</v>
      </c>
      <c r="AI15" s="64">
        <v>8.0108623504638672</v>
      </c>
      <c r="AJ15" s="64">
        <v>19.370899200439453</v>
      </c>
      <c r="AK15" s="64" t="str">
        <f t="shared" si="1"/>
        <v>K1</v>
      </c>
    </row>
    <row r="16" spans="24:40" ht="14.25" x14ac:dyDescent="0.45">
      <c r="X16" s="48">
        <v>23</v>
      </c>
      <c r="Y16" s="55" t="s">
        <v>36</v>
      </c>
      <c r="Z16" s="62">
        <v>4.0067720413208008</v>
      </c>
      <c r="AA16" s="62">
        <v>4.57110595703125</v>
      </c>
      <c r="AB16" s="62" t="str">
        <f t="shared" si="0"/>
        <v>K3</v>
      </c>
      <c r="AG16" s="54">
        <v>34</v>
      </c>
      <c r="AH16" s="58" t="s">
        <v>65</v>
      </c>
      <c r="AI16" s="64">
        <v>6.8222618103027344</v>
      </c>
      <c r="AJ16" s="64">
        <v>24.057451248168945</v>
      </c>
      <c r="AK16" s="64" t="str">
        <f t="shared" si="1"/>
        <v>K1</v>
      </c>
    </row>
    <row r="17" spans="24:37" ht="14.25" x14ac:dyDescent="0.45">
      <c r="X17" s="48">
        <v>24</v>
      </c>
      <c r="Y17" s="55" t="s">
        <v>37</v>
      </c>
      <c r="Z17" s="62">
        <v>14.681892395019531</v>
      </c>
      <c r="AA17" s="62">
        <v>14.845024108886719</v>
      </c>
      <c r="AB17" s="62" t="str">
        <f t="shared" si="0"/>
        <v>K1</v>
      </c>
      <c r="AG17" s="54">
        <v>35</v>
      </c>
      <c r="AH17" s="58" t="s">
        <v>14</v>
      </c>
      <c r="AI17" s="64">
        <v>8.1613216400146484</v>
      </c>
      <c r="AJ17" s="64">
        <v>11.495713233947754</v>
      </c>
      <c r="AK17" s="64" t="str">
        <f t="shared" si="1"/>
        <v>K4</v>
      </c>
    </row>
    <row r="18" spans="24:37" ht="14.25" x14ac:dyDescent="0.45">
      <c r="X18" s="48">
        <v>25</v>
      </c>
      <c r="Y18" s="55" t="s">
        <v>38</v>
      </c>
      <c r="Z18" s="62">
        <v>9.3230400085449219</v>
      </c>
      <c r="AA18" s="62">
        <v>5.6413302421569824</v>
      </c>
      <c r="AB18" s="62" t="str">
        <f t="shared" si="0"/>
        <v>K4</v>
      </c>
      <c r="AG18" s="54">
        <v>36</v>
      </c>
      <c r="AH18" s="58" t="s">
        <v>18</v>
      </c>
      <c r="AI18" s="64">
        <v>6.2205958366394043</v>
      </c>
      <c r="AJ18" s="64">
        <v>5.0967068672180176</v>
      </c>
      <c r="AK18" s="64" t="str">
        <f t="shared" si="1"/>
        <v>K4</v>
      </c>
    </row>
    <row r="19" spans="24:37" ht="14.25" x14ac:dyDescent="0.45">
      <c r="X19" s="48">
        <v>26</v>
      </c>
      <c r="Y19" s="55" t="s">
        <v>39</v>
      </c>
      <c r="Z19" s="62">
        <v>18.181818008422852</v>
      </c>
      <c r="AA19" s="62">
        <v>22.038566589355469</v>
      </c>
      <c r="AB19" s="62" t="str">
        <f t="shared" si="0"/>
        <v>K1</v>
      </c>
      <c r="AG19" s="54">
        <v>51</v>
      </c>
      <c r="AH19" s="58" t="s">
        <v>20</v>
      </c>
      <c r="AI19" s="64">
        <v>10.823529243469238</v>
      </c>
      <c r="AJ19" s="64">
        <v>31.529411315917969</v>
      </c>
      <c r="AK19" s="64" t="str">
        <f t="shared" si="1"/>
        <v>K1</v>
      </c>
    </row>
    <row r="20" spans="24:37" ht="14.25" x14ac:dyDescent="0.45">
      <c r="X20" s="48">
        <v>27</v>
      </c>
      <c r="Y20" s="55" t="s">
        <v>40</v>
      </c>
      <c r="Z20" s="62">
        <v>15.242880821228027</v>
      </c>
      <c r="AA20" s="62">
        <v>9.7152423858642578</v>
      </c>
      <c r="AB20" s="62" t="str">
        <f t="shared" si="0"/>
        <v>K4</v>
      </c>
      <c r="AG20" s="54">
        <v>52</v>
      </c>
      <c r="AH20" s="58" t="s">
        <v>22</v>
      </c>
      <c r="AI20" s="64">
        <v>0</v>
      </c>
      <c r="AJ20" s="64">
        <v>0.94339621067047119</v>
      </c>
      <c r="AK20" s="64" t="str">
        <f t="shared" si="1"/>
        <v>K3</v>
      </c>
    </row>
    <row r="21" spans="24:37" ht="14.25" x14ac:dyDescent="0.45">
      <c r="X21" s="48">
        <v>28</v>
      </c>
      <c r="Y21" s="55" t="s">
        <v>41</v>
      </c>
      <c r="Z21" s="62">
        <v>10.8875732421875</v>
      </c>
      <c r="AA21" s="62">
        <v>8.1656808853149414</v>
      </c>
      <c r="AB21" s="62" t="str">
        <f t="shared" si="0"/>
        <v>K4</v>
      </c>
      <c r="AG21" s="54">
        <v>53</v>
      </c>
      <c r="AH21" s="58" t="s">
        <v>66</v>
      </c>
      <c r="AI21" s="64">
        <v>1.3157894611358643</v>
      </c>
      <c r="AJ21" s="64">
        <v>1.3157894611358643</v>
      </c>
      <c r="AK21" s="64" t="str">
        <f t="shared" si="1"/>
        <v>K3</v>
      </c>
    </row>
    <row r="22" spans="24:37" ht="14.25" x14ac:dyDescent="0.45">
      <c r="X22" s="48">
        <v>29</v>
      </c>
      <c r="Y22" s="55" t="s">
        <v>42</v>
      </c>
      <c r="Z22" s="62">
        <v>7.4358978271484375</v>
      </c>
      <c r="AA22" s="62">
        <v>7.5641026496887207</v>
      </c>
      <c r="AB22" s="62" t="str">
        <f t="shared" si="0"/>
        <v>K3</v>
      </c>
      <c r="AG22" s="54">
        <v>61</v>
      </c>
      <c r="AH22" s="58" t="s">
        <v>67</v>
      </c>
      <c r="AI22" s="64">
        <v>6.0606060028076172</v>
      </c>
      <c r="AJ22" s="64">
        <v>9.0909090042114258</v>
      </c>
      <c r="AK22" s="64" t="str">
        <f t="shared" si="1"/>
        <v>K4</v>
      </c>
    </row>
    <row r="23" spans="24:37" ht="14.25" x14ac:dyDescent="0.45">
      <c r="X23" s="48">
        <v>30</v>
      </c>
      <c r="Y23" s="55" t="s">
        <v>43</v>
      </c>
      <c r="Z23" s="62">
        <v>10.126582145690918</v>
      </c>
      <c r="AA23" s="62">
        <v>6.1181435585021973</v>
      </c>
      <c r="AB23" s="62" t="str">
        <f t="shared" si="0"/>
        <v>K4</v>
      </c>
      <c r="AG23" s="54">
        <v>62</v>
      </c>
      <c r="AH23" s="58" t="s">
        <v>68</v>
      </c>
      <c r="AI23" s="64">
        <v>0</v>
      </c>
      <c r="AJ23" s="64">
        <v>6.6265063285827637</v>
      </c>
      <c r="AK23" s="64" t="str">
        <f t="shared" si="1"/>
        <v>K3</v>
      </c>
    </row>
    <row r="24" spans="24:37" ht="14.25" x14ac:dyDescent="0.45">
      <c r="X24" s="48">
        <v>31</v>
      </c>
      <c r="Y24" s="55" t="s">
        <v>44</v>
      </c>
      <c r="Z24" s="62">
        <v>5.2142858505249023</v>
      </c>
      <c r="AA24" s="62">
        <v>35.714286804199219</v>
      </c>
      <c r="AB24" s="62" t="str">
        <f t="shared" si="0"/>
        <v>K2</v>
      </c>
      <c r="AG24" s="54">
        <v>63</v>
      </c>
      <c r="AH24" s="58" t="s">
        <v>69</v>
      </c>
      <c r="AI24" s="64">
        <v>1.8099548816680908</v>
      </c>
      <c r="AJ24" s="64">
        <v>12.217194557189941</v>
      </c>
      <c r="AK24" s="64" t="str">
        <f t="shared" si="1"/>
        <v>K2</v>
      </c>
    </row>
    <row r="25" spans="24:37" ht="14.25" x14ac:dyDescent="0.45">
      <c r="X25" s="48">
        <v>32</v>
      </c>
      <c r="Y25" s="55" t="s">
        <v>45</v>
      </c>
      <c r="Z25" s="62">
        <v>17.146018981933594</v>
      </c>
      <c r="AA25" s="62">
        <v>21.681415557861328</v>
      </c>
      <c r="AB25" s="62" t="str">
        <f t="shared" si="0"/>
        <v>K1</v>
      </c>
      <c r="AG25" s="54">
        <v>64</v>
      </c>
      <c r="AH25" s="58" t="s">
        <v>47</v>
      </c>
      <c r="AI25" s="64">
        <v>1.7730497121810913</v>
      </c>
      <c r="AJ25" s="64">
        <v>3.5460994243621826</v>
      </c>
      <c r="AK25" s="64" t="str">
        <f t="shared" si="1"/>
        <v>K3</v>
      </c>
    </row>
    <row r="26" spans="24:37" ht="14.25" x14ac:dyDescent="0.45">
      <c r="X26" s="48">
        <v>33</v>
      </c>
      <c r="Y26" s="55" t="s">
        <v>46</v>
      </c>
      <c r="Z26" s="62">
        <v>5.089820384979248</v>
      </c>
      <c r="AA26" s="62">
        <v>1.7964072227478027</v>
      </c>
      <c r="AB26" s="62" t="str">
        <f t="shared" si="0"/>
        <v>K3</v>
      </c>
      <c r="AG26" s="54">
        <v>65</v>
      </c>
      <c r="AH26" s="58" t="s">
        <v>70</v>
      </c>
      <c r="AI26" s="64">
        <v>0</v>
      </c>
      <c r="AJ26" s="64">
        <v>21.052631378173828</v>
      </c>
      <c r="AK26" s="64" t="str">
        <f t="shared" si="1"/>
        <v>K2</v>
      </c>
    </row>
    <row r="27" spans="24:37" ht="14.25" x14ac:dyDescent="0.45">
      <c r="AG27" s="54">
        <v>71</v>
      </c>
      <c r="AH27" s="58" t="s">
        <v>71</v>
      </c>
      <c r="AI27" s="64">
        <v>7.407407283782959</v>
      </c>
      <c r="AJ27" s="64">
        <v>21.296297073364258</v>
      </c>
      <c r="AK27" s="64" t="str">
        <f t="shared" si="1"/>
        <v>K1</v>
      </c>
    </row>
    <row r="28" spans="24:37" ht="14.25" x14ac:dyDescent="0.45">
      <c r="AG28" s="54">
        <v>72</v>
      </c>
      <c r="AH28" s="58" t="s">
        <v>72</v>
      </c>
      <c r="AI28" s="64">
        <v>6.3829789161682129</v>
      </c>
      <c r="AJ28" s="64">
        <v>18.085105895996094</v>
      </c>
      <c r="AK28" s="64" t="str">
        <f t="shared" si="1"/>
        <v>K1</v>
      </c>
    </row>
    <row r="29" spans="24:37" ht="14.25" x14ac:dyDescent="0.45">
      <c r="AG29" s="54">
        <v>73</v>
      </c>
      <c r="AH29" s="58" t="s">
        <v>73</v>
      </c>
      <c r="AI29" s="64">
        <v>2.1459226608276367</v>
      </c>
      <c r="AJ29" s="64">
        <v>8.5836906433105469</v>
      </c>
      <c r="AK29" s="64" t="str">
        <f t="shared" si="1"/>
        <v>K3</v>
      </c>
    </row>
    <row r="30" spans="24:37" ht="14.25" x14ac:dyDescent="0.45">
      <c r="AG30" s="54">
        <v>74</v>
      </c>
      <c r="AH30" s="58" t="s">
        <v>74</v>
      </c>
      <c r="AI30" s="64">
        <v>0.746268630027771</v>
      </c>
      <c r="AJ30" s="64">
        <v>5.2238807678222656</v>
      </c>
      <c r="AK30" s="64" t="str">
        <f t="shared" si="1"/>
        <v>K3</v>
      </c>
    </row>
    <row r="31" spans="24:37" ht="14.25" x14ac:dyDescent="0.45">
      <c r="AG31" s="54">
        <v>75</v>
      </c>
      <c r="AH31" s="58" t="s">
        <v>75</v>
      </c>
      <c r="AI31" s="64">
        <v>3.4482758045196533</v>
      </c>
      <c r="AJ31" s="64">
        <v>3.4482758045196533</v>
      </c>
      <c r="AK31" s="64" t="str">
        <f t="shared" si="1"/>
        <v>K3</v>
      </c>
    </row>
    <row r="32" spans="24:37" ht="14.25" x14ac:dyDescent="0.45">
      <c r="AG32" s="54">
        <v>76</v>
      </c>
      <c r="AH32" s="58" t="s">
        <v>76</v>
      </c>
      <c r="AI32" s="64">
        <v>0</v>
      </c>
      <c r="AJ32" s="64">
        <v>11.111111640930176</v>
      </c>
      <c r="AK32" s="64" t="str">
        <f t="shared" si="1"/>
        <v>K3</v>
      </c>
    </row>
    <row r="33" spans="24:40" ht="14.25" x14ac:dyDescent="0.45">
      <c r="AG33" s="54">
        <v>81</v>
      </c>
      <c r="AH33" s="58" t="s">
        <v>77</v>
      </c>
      <c r="AI33" s="64">
        <v>0</v>
      </c>
      <c r="AJ33" s="64">
        <v>21.052631378173828</v>
      </c>
      <c r="AK33" s="64" t="str">
        <f t="shared" si="1"/>
        <v>K2</v>
      </c>
    </row>
    <row r="34" spans="24:40" ht="14.25" x14ac:dyDescent="0.45">
      <c r="AG34" s="54">
        <v>82</v>
      </c>
      <c r="AH34" s="58" t="s">
        <v>78</v>
      </c>
      <c r="AI34" s="64">
        <v>0</v>
      </c>
      <c r="AJ34" s="64">
        <v>24.137929916381836</v>
      </c>
      <c r="AK34" s="64" t="str">
        <f t="shared" si="1"/>
        <v>K2</v>
      </c>
    </row>
    <row r="35" spans="24:40" ht="14.25" x14ac:dyDescent="0.45">
      <c r="AG35" s="54">
        <v>91</v>
      </c>
      <c r="AH35" s="58" t="s">
        <v>79</v>
      </c>
      <c r="AI35" s="64">
        <v>2.5</v>
      </c>
      <c r="AJ35" s="64">
        <v>12.5</v>
      </c>
      <c r="AK35" s="64" t="str">
        <f t="shared" si="1"/>
        <v>K2</v>
      </c>
    </row>
    <row r="36" spans="24:40" ht="14.25" x14ac:dyDescent="0.45">
      <c r="AG36" s="54">
        <v>94</v>
      </c>
      <c r="AH36" s="58" t="s">
        <v>80</v>
      </c>
      <c r="AI36" s="64">
        <v>0</v>
      </c>
      <c r="AJ36" s="64">
        <v>0</v>
      </c>
      <c r="AK36" s="64" t="str">
        <f t="shared" si="1"/>
        <v>K3</v>
      </c>
    </row>
    <row r="37" spans="24:40" ht="14.25" x14ac:dyDescent="0.45">
      <c r="AG37" s="54"/>
    </row>
    <row r="38" spans="24:40" ht="14.25" x14ac:dyDescent="0.45">
      <c r="AG38" s="54"/>
    </row>
    <row r="39" spans="24:40" ht="14.25" x14ac:dyDescent="0.45">
      <c r="AG39" s="54"/>
    </row>
    <row r="40" spans="24:40" ht="13.15" x14ac:dyDescent="0.4">
      <c r="Y40" s="160" t="s">
        <v>81</v>
      </c>
      <c r="Z40" s="160"/>
      <c r="AA40" s="160"/>
      <c r="AB40" s="115"/>
      <c r="AD40" s="158" t="s">
        <v>51</v>
      </c>
      <c r="AE40" s="158" t="s">
        <v>52</v>
      </c>
      <c r="AF40" s="154"/>
      <c r="AH40" s="160" t="s">
        <v>81</v>
      </c>
      <c r="AI40" s="160"/>
      <c r="AJ40" s="160"/>
      <c r="AK40" s="115"/>
      <c r="AM40" s="158" t="s">
        <v>51</v>
      </c>
      <c r="AN40" s="158" t="s">
        <v>52</v>
      </c>
    </row>
    <row r="41" spans="24:40" ht="13.15" x14ac:dyDescent="0.4">
      <c r="Y41" s="63" t="s">
        <v>49</v>
      </c>
      <c r="Z41" s="63" t="s">
        <v>7</v>
      </c>
      <c r="AA41" s="63" t="s">
        <v>50</v>
      </c>
      <c r="AB41" s="63"/>
      <c r="AD41" s="159"/>
      <c r="AE41" s="159"/>
      <c r="AF41" s="154"/>
      <c r="AH41" s="63" t="s">
        <v>53</v>
      </c>
      <c r="AI41" s="63" t="s">
        <v>7</v>
      </c>
      <c r="AJ41" s="63" t="s">
        <v>50</v>
      </c>
      <c r="AK41" s="63"/>
      <c r="AM41" s="159"/>
      <c r="AN41" s="159"/>
    </row>
    <row r="42" spans="24:40" ht="14.25" x14ac:dyDescent="0.45">
      <c r="X42" s="48">
        <v>10</v>
      </c>
      <c r="Y42" s="61" t="s">
        <v>13</v>
      </c>
      <c r="Z42" s="62">
        <v>10.286594567680474</v>
      </c>
      <c r="AA42" s="62">
        <v>57.763515033079017</v>
      </c>
      <c r="AB42" s="62" t="str">
        <f t="shared" ref="AB42:AB65" si="2">IF(AND(Z42&gt;=$AD$42,AA42&gt;=$AE$42),"K1",IF(AND(Z42&lt;$AD$42,AA42&gt;=$AE$42),"K2",IF(AND(Z42&lt;$AD$42,AA42&lt;$AE$42),"K3","K4")))</f>
        <v>K2</v>
      </c>
      <c r="AC42" s="59"/>
      <c r="AD42" s="71">
        <f>AVERAGE(Z42:Z65)</f>
        <v>27.317000559774954</v>
      </c>
      <c r="AE42" s="71">
        <f>AVERAGE(AA42:AA65)</f>
        <v>39.456601878176897</v>
      </c>
      <c r="AF42" s="153"/>
      <c r="AG42" s="54">
        <v>11</v>
      </c>
      <c r="AH42" s="58" t="s">
        <v>54</v>
      </c>
      <c r="AI42" s="64">
        <v>1.929859925632146</v>
      </c>
      <c r="AJ42" s="64">
        <v>52.56</v>
      </c>
      <c r="AK42" s="62" t="str">
        <f t="shared" ref="AK42:AK75" si="3">IF(AND(AI42&gt;=$AM$42,AJ42&gt;=$AN$42),"K1",IF(AND(AI42&lt;$AM$42,AJ42&gt;=$AN$42),"K2",IF(AND(AI42&lt;$AM$42,AJ42&lt;$AN$42),"K3","K4")))</f>
        <v>K3</v>
      </c>
      <c r="AM42" s="71">
        <f>AVERAGE(AI42:AI75)</f>
        <v>8.3122502594966114</v>
      </c>
      <c r="AN42" s="71">
        <f>AVERAGE(AJ42:AJ75)</f>
        <v>67.936142272474839</v>
      </c>
    </row>
    <row r="43" spans="24:40" ht="14.25" x14ac:dyDescent="0.45">
      <c r="X43" s="48">
        <v>11</v>
      </c>
      <c r="Y43" s="55" t="s">
        <v>19</v>
      </c>
      <c r="Z43" s="62">
        <v>18.341960735669293</v>
      </c>
      <c r="AA43" s="62">
        <v>12.082776770613844</v>
      </c>
      <c r="AB43" s="62" t="str">
        <f t="shared" si="2"/>
        <v>K3</v>
      </c>
      <c r="AC43" s="59"/>
      <c r="AD43" s="70"/>
      <c r="AG43" s="54">
        <v>12</v>
      </c>
      <c r="AH43" s="58" t="s">
        <v>17</v>
      </c>
      <c r="AI43" s="64">
        <v>6.7991339115504994</v>
      </c>
      <c r="AJ43" s="64">
        <v>73.708539000253751</v>
      </c>
      <c r="AK43" s="62" t="str">
        <f t="shared" si="3"/>
        <v>K2</v>
      </c>
      <c r="AM43" s="70"/>
    </row>
    <row r="44" spans="24:40" ht="14.25" x14ac:dyDescent="0.45">
      <c r="X44" s="48">
        <v>12</v>
      </c>
      <c r="Y44" s="55" t="s">
        <v>21</v>
      </c>
      <c r="Z44" s="62">
        <v>5.2597780739413693</v>
      </c>
      <c r="AA44" s="62">
        <v>49.946392170674486</v>
      </c>
      <c r="AB44" s="62" t="str">
        <f t="shared" si="2"/>
        <v>K2</v>
      </c>
      <c r="AC44" s="59"/>
      <c r="AD44" s="67" t="s">
        <v>55</v>
      </c>
      <c r="AE44" s="69"/>
      <c r="AF44" s="69"/>
      <c r="AG44" s="54">
        <v>13</v>
      </c>
      <c r="AH44" s="58" t="s">
        <v>56</v>
      </c>
      <c r="AI44" s="64">
        <v>0.73298033006151431</v>
      </c>
      <c r="AJ44" s="64">
        <v>62.238102947337218</v>
      </c>
      <c r="AK44" s="62" t="str">
        <f t="shared" si="3"/>
        <v>K3</v>
      </c>
      <c r="AM44" s="67" t="s">
        <v>55</v>
      </c>
      <c r="AN44" s="69"/>
    </row>
    <row r="45" spans="24:40" ht="14.25" x14ac:dyDescent="0.45">
      <c r="X45" s="48">
        <v>13</v>
      </c>
      <c r="Y45" s="55" t="s">
        <v>24</v>
      </c>
      <c r="Z45" s="62">
        <v>26.924796416960699</v>
      </c>
      <c r="AA45" s="62">
        <v>40.829237215215286</v>
      </c>
      <c r="AB45" s="62" t="str">
        <f t="shared" si="2"/>
        <v>K2</v>
      </c>
      <c r="AC45" s="59"/>
      <c r="AD45" s="69">
        <f>$AD$42</f>
        <v>27.317000559774954</v>
      </c>
      <c r="AE45" s="68">
        <v>0</v>
      </c>
      <c r="AF45" s="68"/>
      <c r="AG45" s="54">
        <v>14</v>
      </c>
      <c r="AH45" s="58" t="s">
        <v>57</v>
      </c>
      <c r="AI45" s="64">
        <v>0.47011442011741605</v>
      </c>
      <c r="AJ45" s="64">
        <v>63.854099692619748</v>
      </c>
      <c r="AK45" s="62" t="str">
        <f t="shared" si="3"/>
        <v>K3</v>
      </c>
      <c r="AM45" s="69">
        <f>$AM$42</f>
        <v>8.3122502594966114</v>
      </c>
      <c r="AN45" s="68">
        <v>0</v>
      </c>
    </row>
    <row r="46" spans="24:40" ht="14.25" x14ac:dyDescent="0.45">
      <c r="X46" s="48">
        <v>14</v>
      </c>
      <c r="Y46" s="55" t="s">
        <v>26</v>
      </c>
      <c r="Z46" s="62">
        <v>40.379094559229671</v>
      </c>
      <c r="AA46" s="62">
        <v>62.028479521786934</v>
      </c>
      <c r="AB46" s="62" t="str">
        <f t="shared" si="2"/>
        <v>K1</v>
      </c>
      <c r="AC46" s="59"/>
      <c r="AD46" s="69">
        <f>$AD$42</f>
        <v>27.317000559774954</v>
      </c>
      <c r="AE46" s="68">
        <f>MAX(AA42:AA65)*1.1</f>
        <v>85.600600803403282</v>
      </c>
      <c r="AF46" s="68"/>
      <c r="AG46" s="54">
        <v>17</v>
      </c>
      <c r="AH46" s="58" t="s">
        <v>58</v>
      </c>
      <c r="AI46" s="64">
        <v>0.46810596147328976</v>
      </c>
      <c r="AJ46" s="64">
        <v>71.364534034398872</v>
      </c>
      <c r="AK46" s="62" t="str">
        <f t="shared" si="3"/>
        <v>K2</v>
      </c>
      <c r="AM46" s="69">
        <f>$AM$42</f>
        <v>8.3122502594966114</v>
      </c>
      <c r="AN46" s="68">
        <f>MAX(AJ42:AJ75)*1.1</f>
        <v>110.00000000000001</v>
      </c>
    </row>
    <row r="47" spans="24:40" ht="14.25" x14ac:dyDescent="0.45">
      <c r="X47" s="48">
        <v>15</v>
      </c>
      <c r="Y47" s="55" t="s">
        <v>27</v>
      </c>
      <c r="Z47" s="62">
        <v>27.327824570038771</v>
      </c>
      <c r="AA47" s="62">
        <v>43.646983080702526</v>
      </c>
      <c r="AB47" s="62" t="str">
        <f t="shared" si="2"/>
        <v>K1</v>
      </c>
      <c r="AC47" s="59"/>
      <c r="AD47" s="67"/>
      <c r="AE47" s="68"/>
      <c r="AF47" s="68"/>
      <c r="AG47" s="54">
        <v>16</v>
      </c>
      <c r="AH47" s="58" t="s">
        <v>59</v>
      </c>
      <c r="AI47" s="64">
        <v>0.98438137574698803</v>
      </c>
      <c r="AJ47" s="64">
        <v>82.283255813953488</v>
      </c>
      <c r="AK47" s="62" t="str">
        <f t="shared" si="3"/>
        <v>K2</v>
      </c>
      <c r="AM47" s="67"/>
      <c r="AN47" s="68"/>
    </row>
    <row r="48" spans="24:40" ht="14.25" x14ac:dyDescent="0.45">
      <c r="X48" s="48">
        <v>16</v>
      </c>
      <c r="Y48" s="58" t="s">
        <v>29</v>
      </c>
      <c r="Z48" s="62">
        <v>6.8987478009938261</v>
      </c>
      <c r="AA48" s="62">
        <v>69.815778400619052</v>
      </c>
      <c r="AB48" s="62" t="str">
        <f t="shared" si="2"/>
        <v>K2</v>
      </c>
      <c r="AC48" s="59"/>
      <c r="AD48" s="67" t="s">
        <v>60</v>
      </c>
      <c r="AE48" s="68"/>
      <c r="AF48" s="68"/>
      <c r="AG48" s="54">
        <v>17</v>
      </c>
      <c r="AH48" s="58" t="s">
        <v>61</v>
      </c>
      <c r="AI48" s="64">
        <v>7.7126132794589066E-3</v>
      </c>
      <c r="AJ48" s="64">
        <v>86.891999999999996</v>
      </c>
      <c r="AK48" s="62" t="str">
        <f t="shared" si="3"/>
        <v>K2</v>
      </c>
      <c r="AM48" s="67" t="s">
        <v>60</v>
      </c>
      <c r="AN48" s="68"/>
    </row>
    <row r="49" spans="24:40" ht="14.25" x14ac:dyDescent="0.45">
      <c r="X49" s="48">
        <v>17</v>
      </c>
      <c r="Y49" s="55" t="s">
        <v>30</v>
      </c>
      <c r="Z49" s="62">
        <v>14.748203875864254</v>
      </c>
      <c r="AA49" s="62">
        <v>26.222460083614525</v>
      </c>
      <c r="AB49" s="62" t="str">
        <f t="shared" si="2"/>
        <v>K3</v>
      </c>
      <c r="AC49" s="59"/>
      <c r="AD49" s="67">
        <v>0</v>
      </c>
      <c r="AE49" s="68">
        <f>$AE$42</f>
        <v>39.456601878176897</v>
      </c>
      <c r="AF49" s="68"/>
      <c r="AG49" s="54">
        <v>18</v>
      </c>
      <c r="AH49" s="58" t="s">
        <v>62</v>
      </c>
      <c r="AI49" s="64">
        <v>13.294370087488325</v>
      </c>
      <c r="AJ49" s="64">
        <v>66.907638888888883</v>
      </c>
      <c r="AK49" s="62" t="str">
        <f t="shared" si="3"/>
        <v>K4</v>
      </c>
      <c r="AM49" s="67">
        <v>0</v>
      </c>
      <c r="AN49" s="68">
        <f>$AN$42</f>
        <v>67.936142272474839</v>
      </c>
    </row>
    <row r="50" spans="24:40" ht="14.25" x14ac:dyDescent="0.45">
      <c r="X50" s="48">
        <v>18</v>
      </c>
      <c r="Y50" s="55" t="s">
        <v>31</v>
      </c>
      <c r="Z50" s="62">
        <v>8.0606693583710864</v>
      </c>
      <c r="AA50" s="62">
        <v>22.251555555555555</v>
      </c>
      <c r="AB50" s="62" t="str">
        <f t="shared" si="2"/>
        <v>K3</v>
      </c>
      <c r="AC50" s="59"/>
      <c r="AD50" s="65">
        <f>MAX(Z42:Z65)*1.1</f>
        <v>71.855899602880257</v>
      </c>
      <c r="AE50" s="68">
        <f>$AE$42</f>
        <v>39.456601878176897</v>
      </c>
      <c r="AF50" s="68"/>
      <c r="AG50" s="54">
        <v>19</v>
      </c>
      <c r="AH50" s="58" t="s">
        <v>63</v>
      </c>
      <c r="AI50" s="64">
        <v>0.39376654288572144</v>
      </c>
      <c r="AJ50" s="64">
        <v>88.029707214493683</v>
      </c>
      <c r="AK50" s="62" t="str">
        <f t="shared" si="3"/>
        <v>K2</v>
      </c>
      <c r="AM50" s="65">
        <f>MAX(AI42:AI75)*1.1</f>
        <v>42.092048793967159</v>
      </c>
      <c r="AN50" s="68">
        <f>$AN$42</f>
        <v>67.936142272474839</v>
      </c>
    </row>
    <row r="51" spans="24:40" ht="14.25" x14ac:dyDescent="0.45">
      <c r="X51" s="48">
        <v>19</v>
      </c>
      <c r="Y51" s="55" t="s">
        <v>32</v>
      </c>
      <c r="Z51" s="62">
        <v>11.986768661340957</v>
      </c>
      <c r="AA51" s="62">
        <v>38.045789473684209</v>
      </c>
      <c r="AB51" s="62" t="str">
        <f t="shared" si="2"/>
        <v>K3</v>
      </c>
      <c r="AC51" s="59"/>
      <c r="AD51" s="59"/>
      <c r="AE51" s="59"/>
      <c r="AF51" s="59"/>
      <c r="AG51" s="54">
        <v>21</v>
      </c>
      <c r="AH51" s="58" t="s">
        <v>23</v>
      </c>
      <c r="AI51" s="64">
        <v>38.265498903606506</v>
      </c>
      <c r="AJ51" s="64">
        <v>77.710719236364028</v>
      </c>
      <c r="AK51" s="62" t="str">
        <f t="shared" si="3"/>
        <v>K1</v>
      </c>
    </row>
    <row r="52" spans="24:40" ht="14.25" x14ac:dyDescent="0.45">
      <c r="X52" s="48">
        <v>20</v>
      </c>
      <c r="Y52" s="55" t="s">
        <v>33</v>
      </c>
      <c r="Z52" s="62">
        <v>36.000408264268167</v>
      </c>
      <c r="AA52" s="62">
        <v>32.896714640024506</v>
      </c>
      <c r="AB52" s="62" t="str">
        <f t="shared" si="2"/>
        <v>K4</v>
      </c>
      <c r="AC52" s="59"/>
      <c r="AD52" s="158" t="s">
        <v>51</v>
      </c>
      <c r="AE52" s="158" t="s">
        <v>52</v>
      </c>
      <c r="AF52" s="154"/>
      <c r="AG52" s="54">
        <v>31</v>
      </c>
      <c r="AH52" s="58" t="s">
        <v>64</v>
      </c>
      <c r="AI52" s="64">
        <v>30.348546028602978</v>
      </c>
      <c r="AJ52" s="64">
        <v>38.218826762575027</v>
      </c>
      <c r="AK52" s="62" t="str">
        <f t="shared" si="3"/>
        <v>K4</v>
      </c>
    </row>
    <row r="53" spans="24:40" ht="14.25" x14ac:dyDescent="0.45">
      <c r="X53" s="48">
        <v>21</v>
      </c>
      <c r="Y53" s="55" t="s">
        <v>34</v>
      </c>
      <c r="Z53" s="62">
        <v>38.440680547909572</v>
      </c>
      <c r="AA53" s="62">
        <v>18.100142006329349</v>
      </c>
      <c r="AB53" s="62" t="str">
        <f t="shared" si="2"/>
        <v>K4</v>
      </c>
      <c r="AC53" s="59"/>
      <c r="AD53" s="159"/>
      <c r="AE53" s="159"/>
      <c r="AF53" s="154"/>
      <c r="AG53" s="54">
        <v>32</v>
      </c>
      <c r="AH53" s="58" t="s">
        <v>15</v>
      </c>
      <c r="AI53" s="64">
        <v>38.159048027228323</v>
      </c>
      <c r="AJ53" s="64">
        <v>36.321701528575787</v>
      </c>
      <c r="AK53" s="62" t="str">
        <f t="shared" si="3"/>
        <v>K4</v>
      </c>
    </row>
    <row r="54" spans="24:40" ht="14.25" x14ac:dyDescent="0.45">
      <c r="X54" s="48">
        <v>22</v>
      </c>
      <c r="Y54" s="55" t="s">
        <v>35</v>
      </c>
      <c r="Z54" s="62">
        <v>16.74841257128919</v>
      </c>
      <c r="AA54" s="62">
        <v>43.04584894433502</v>
      </c>
      <c r="AB54" s="62" t="str">
        <f t="shared" si="2"/>
        <v>K2</v>
      </c>
      <c r="AC54" s="59"/>
      <c r="AD54" s="71">
        <f>MEDIAN(Z42:Z65)</f>
        <v>28.532460322421706</v>
      </c>
      <c r="AE54" s="71">
        <f>MEDIAN(AA42:AA65)</f>
        <v>35.471252056854354</v>
      </c>
      <c r="AF54" s="153"/>
      <c r="AG54" s="54">
        <v>33</v>
      </c>
      <c r="AH54" s="58" t="s">
        <v>16</v>
      </c>
      <c r="AI54" s="64">
        <v>20.383104570680779</v>
      </c>
      <c r="AJ54" s="64">
        <v>74.558131852465024</v>
      </c>
      <c r="AK54" s="62" t="str">
        <f t="shared" si="3"/>
        <v>K1</v>
      </c>
      <c r="AM54" s="158" t="s">
        <v>51</v>
      </c>
      <c r="AN54" s="158" t="s">
        <v>52</v>
      </c>
    </row>
    <row r="55" spans="24:40" ht="14.25" x14ac:dyDescent="0.45">
      <c r="X55" s="48">
        <v>23</v>
      </c>
      <c r="Y55" s="55" t="s">
        <v>36</v>
      </c>
      <c r="Z55" s="62">
        <v>20.69620253243027</v>
      </c>
      <c r="AA55" s="62">
        <v>29.722374719770446</v>
      </c>
      <c r="AB55" s="62" t="str">
        <f t="shared" si="2"/>
        <v>K3</v>
      </c>
      <c r="AC55" s="59"/>
      <c r="AD55" s="70"/>
      <c r="AG55" s="54">
        <v>34</v>
      </c>
      <c r="AH55" s="58" t="s">
        <v>65</v>
      </c>
      <c r="AI55" s="64">
        <v>31.068102571012485</v>
      </c>
      <c r="AJ55" s="64">
        <v>77.384182029778884</v>
      </c>
      <c r="AK55" s="62" t="str">
        <f t="shared" si="3"/>
        <v>K1</v>
      </c>
      <c r="AM55" s="159"/>
      <c r="AN55" s="159"/>
    </row>
    <row r="56" spans="24:40" ht="14.25" x14ac:dyDescent="0.45">
      <c r="X56" s="48">
        <v>24</v>
      </c>
      <c r="Y56" s="55" t="s">
        <v>37</v>
      </c>
      <c r="Z56" s="62">
        <v>38.924375301981293</v>
      </c>
      <c r="AA56" s="62">
        <v>47.999677447153836</v>
      </c>
      <c r="AB56" s="62" t="str">
        <f t="shared" si="2"/>
        <v>K1</v>
      </c>
      <c r="AC56" s="59"/>
      <c r="AD56" s="67" t="s">
        <v>55</v>
      </c>
      <c r="AE56" s="69"/>
      <c r="AF56" s="69"/>
      <c r="AG56" s="54">
        <v>35</v>
      </c>
      <c r="AH56" s="58" t="s">
        <v>14</v>
      </c>
      <c r="AI56" s="64">
        <v>21.309498325981874</v>
      </c>
      <c r="AJ56" s="64">
        <v>43.31582197885821</v>
      </c>
      <c r="AK56" s="62" t="str">
        <f t="shared" si="3"/>
        <v>K4</v>
      </c>
      <c r="AM56" s="71">
        <f>MEDIAN(AI42:AI75)</f>
        <v>1.4874324931242717</v>
      </c>
      <c r="AN56" s="71">
        <f>MEDIAN(AJ42:AJ75)</f>
        <v>71.839525081715564</v>
      </c>
    </row>
    <row r="57" spans="24:40" ht="14.25" x14ac:dyDescent="0.45">
      <c r="X57" s="48">
        <v>25</v>
      </c>
      <c r="Y57" s="55" t="s">
        <v>38</v>
      </c>
      <c r="Z57" s="62">
        <v>30.673520143676004</v>
      </c>
      <c r="AA57" s="62">
        <v>28.538670507454082</v>
      </c>
      <c r="AB57" s="62" t="str">
        <f t="shared" si="2"/>
        <v>K4</v>
      </c>
      <c r="AC57" s="59"/>
      <c r="AD57" s="69">
        <f>$AD$54</f>
        <v>28.532460322421706</v>
      </c>
      <c r="AE57" s="68">
        <v>0</v>
      </c>
      <c r="AF57" s="68"/>
      <c r="AG57" s="54">
        <v>36</v>
      </c>
      <c r="AH57" s="58" t="s">
        <v>18</v>
      </c>
      <c r="AI57" s="64">
        <v>29.487721766550308</v>
      </c>
      <c r="AJ57" s="64">
        <v>36.117925642920071</v>
      </c>
      <c r="AK57" s="62" t="str">
        <f t="shared" si="3"/>
        <v>K4</v>
      </c>
    </row>
    <row r="58" spans="24:40" ht="14.25" x14ac:dyDescent="0.45">
      <c r="X58" s="48">
        <v>26</v>
      </c>
      <c r="Y58" s="55" t="s">
        <v>39</v>
      </c>
      <c r="Z58" s="62">
        <v>65.3235450935275</v>
      </c>
      <c r="AA58" s="62">
        <v>50.435337494786999</v>
      </c>
      <c r="AB58" s="62" t="str">
        <f t="shared" si="2"/>
        <v>K1</v>
      </c>
      <c r="AC58" s="59"/>
      <c r="AD58" s="69">
        <f>$AD$54</f>
        <v>28.532460322421706</v>
      </c>
      <c r="AE58" s="68">
        <f>MAX(AA42:AA65)*1.1</f>
        <v>85.600600803403282</v>
      </c>
      <c r="AF58" s="68"/>
      <c r="AG58" s="54">
        <v>51</v>
      </c>
      <c r="AH58" s="58" t="s">
        <v>20</v>
      </c>
      <c r="AI58" s="64">
        <v>16.101761344195907</v>
      </c>
      <c r="AJ58" s="64">
        <v>75.207097984399795</v>
      </c>
      <c r="AK58" s="62" t="str">
        <f t="shared" si="3"/>
        <v>K1</v>
      </c>
      <c r="AM58" s="67" t="s">
        <v>55</v>
      </c>
      <c r="AN58" s="69"/>
    </row>
    <row r="59" spans="24:40" ht="14.25" x14ac:dyDescent="0.45">
      <c r="X59" s="48">
        <v>27</v>
      </c>
      <c r="Y59" s="55" t="s">
        <v>40</v>
      </c>
      <c r="Z59" s="62">
        <v>41.873258296855504</v>
      </c>
      <c r="AA59" s="62">
        <v>29.191352937868889</v>
      </c>
      <c r="AB59" s="62" t="str">
        <f t="shared" si="2"/>
        <v>K4</v>
      </c>
      <c r="AC59" s="59"/>
      <c r="AD59" s="67"/>
      <c r="AE59" s="68"/>
      <c r="AF59" s="68"/>
      <c r="AG59" s="54">
        <v>52</v>
      </c>
      <c r="AH59" s="58" t="s">
        <v>22</v>
      </c>
      <c r="AI59" s="64">
        <v>0.19869823007315399</v>
      </c>
      <c r="AJ59" s="64">
        <v>68.24666666666667</v>
      </c>
      <c r="AK59" s="62" t="str">
        <f t="shared" si="3"/>
        <v>K2</v>
      </c>
      <c r="AM59" s="69">
        <f>AM56</f>
        <v>1.4874324931242717</v>
      </c>
      <c r="AN59" s="68">
        <v>0</v>
      </c>
    </row>
    <row r="60" spans="24:40" ht="14.25" x14ac:dyDescent="0.45">
      <c r="X60" s="48">
        <v>28</v>
      </c>
      <c r="Y60" s="55" t="s">
        <v>41</v>
      </c>
      <c r="Z60" s="62">
        <v>35.180478122187253</v>
      </c>
      <c r="AA60" s="62">
        <v>28.846572535723929</v>
      </c>
      <c r="AB60" s="62" t="str">
        <f t="shared" si="2"/>
        <v>K4</v>
      </c>
      <c r="AC60" s="59"/>
      <c r="AD60" s="67" t="s">
        <v>60</v>
      </c>
      <c r="AE60" s="68"/>
      <c r="AF60" s="68"/>
      <c r="AG60" s="54">
        <v>53</v>
      </c>
      <c r="AH60" s="58" t="s">
        <v>66</v>
      </c>
      <c r="AI60" s="64">
        <v>0.28042439538072655</v>
      </c>
      <c r="AJ60" s="64">
        <v>56.023333333333333</v>
      </c>
      <c r="AK60" s="62" t="str">
        <f t="shared" si="3"/>
        <v>K3</v>
      </c>
      <c r="AM60" s="69">
        <f>AM56</f>
        <v>1.4874324931242717</v>
      </c>
      <c r="AN60" s="68">
        <f>MAX(AJ42:AJ75)*1.1</f>
        <v>110.00000000000001</v>
      </c>
    </row>
    <row r="61" spans="24:40" ht="14.25" x14ac:dyDescent="0.45">
      <c r="X61" s="48">
        <v>29</v>
      </c>
      <c r="Y61" s="55" t="s">
        <v>42</v>
      </c>
      <c r="Z61" s="62">
        <v>33.579929275223925</v>
      </c>
      <c r="AA61" s="62">
        <v>31.3156424206319</v>
      </c>
      <c r="AB61" s="62" t="str">
        <f t="shared" si="2"/>
        <v>K4</v>
      </c>
      <c r="AC61" s="59"/>
      <c r="AD61" s="67">
        <v>0</v>
      </c>
      <c r="AE61" s="68">
        <f>$AE$54</f>
        <v>35.471252056854354</v>
      </c>
      <c r="AF61" s="68"/>
      <c r="AG61" s="54">
        <v>61</v>
      </c>
      <c r="AH61" s="58" t="s">
        <v>67</v>
      </c>
      <c r="AI61" s="64">
        <v>1.342485736821704</v>
      </c>
      <c r="AJ61" s="64">
        <v>72.314516129032256</v>
      </c>
      <c r="AK61" s="62" t="str">
        <f t="shared" si="3"/>
        <v>K2</v>
      </c>
      <c r="AM61" s="67"/>
      <c r="AN61" s="68"/>
    </row>
    <row r="62" spans="24:40" ht="14.25" x14ac:dyDescent="0.45">
      <c r="X62" s="48">
        <v>30</v>
      </c>
      <c r="Y62" s="55" t="s">
        <v>43</v>
      </c>
      <c r="Z62" s="62">
        <v>29.737096074804636</v>
      </c>
      <c r="AA62" s="62">
        <v>32.113344337097963</v>
      </c>
      <c r="AB62" s="62" t="str">
        <f t="shared" si="2"/>
        <v>K4</v>
      </c>
      <c r="AC62" s="59"/>
      <c r="AD62" s="65">
        <f>MAX(Z42:Z65)*1.1</f>
        <v>71.855899602880257</v>
      </c>
      <c r="AE62" s="68">
        <f>$AE$54</f>
        <v>35.471252056854354</v>
      </c>
      <c r="AF62" s="68"/>
      <c r="AG62" s="54">
        <v>62</v>
      </c>
      <c r="AH62" s="58" t="s">
        <v>68</v>
      </c>
      <c r="AI62" s="64">
        <v>4.6489773354598134E-2</v>
      </c>
      <c r="AJ62" s="64">
        <v>77.509251313827363</v>
      </c>
      <c r="AK62" s="62" t="str">
        <f t="shared" si="3"/>
        <v>K2</v>
      </c>
      <c r="AM62" s="67" t="s">
        <v>60</v>
      </c>
      <c r="AN62" s="68"/>
    </row>
    <row r="63" spans="24:40" ht="14.25" x14ac:dyDescent="0.45">
      <c r="X63" s="48">
        <v>31</v>
      </c>
      <c r="Y63" s="55" t="s">
        <v>44</v>
      </c>
      <c r="Z63" s="62">
        <v>7.3534437291700341</v>
      </c>
      <c r="AA63" s="62">
        <v>77.818728003093881</v>
      </c>
      <c r="AB63" s="62" t="str">
        <f t="shared" si="2"/>
        <v>K2</v>
      </c>
      <c r="AC63" s="59"/>
      <c r="AD63" s="59"/>
      <c r="AE63" s="59"/>
      <c r="AF63" s="59"/>
      <c r="AG63" s="54">
        <v>63</v>
      </c>
      <c r="AH63" s="58" t="s">
        <v>69</v>
      </c>
      <c r="AI63" s="64">
        <v>3.1259433780205863</v>
      </c>
      <c r="AJ63" s="64">
        <v>68.413124999999994</v>
      </c>
      <c r="AK63" s="62" t="str">
        <f t="shared" si="3"/>
        <v>K2</v>
      </c>
      <c r="AM63" s="67">
        <v>0</v>
      </c>
      <c r="AN63" s="68">
        <f>AN56</f>
        <v>71.839525081715564</v>
      </c>
    </row>
    <row r="64" spans="24:40" ht="14.25" x14ac:dyDescent="0.45">
      <c r="X64" s="48">
        <v>32</v>
      </c>
      <c r="Y64" s="55" t="s">
        <v>45</v>
      </c>
      <c r="Z64" s="62">
        <v>54.077972556204358</v>
      </c>
      <c r="AA64" s="62">
        <v>70.96773844309601</v>
      </c>
      <c r="AB64" s="62" t="str">
        <f t="shared" si="2"/>
        <v>K1</v>
      </c>
      <c r="AC64" s="59"/>
      <c r="AD64" s="59"/>
      <c r="AE64" s="59"/>
      <c r="AF64" s="59"/>
      <c r="AG64" s="54">
        <v>64</v>
      </c>
      <c r="AH64" s="58" t="s">
        <v>47</v>
      </c>
      <c r="AI64" s="64">
        <v>1.343861383581932</v>
      </c>
      <c r="AJ64" s="64">
        <v>50.526144770635135</v>
      </c>
      <c r="AK64" s="62" t="str">
        <f t="shared" si="3"/>
        <v>K3</v>
      </c>
      <c r="AM64" s="65">
        <f>MAX(AI42:AI75)*1.1</f>
        <v>42.092048793967159</v>
      </c>
      <c r="AN64" s="68">
        <f>AN56</f>
        <v>71.839525081715564</v>
      </c>
    </row>
    <row r="65" spans="24:40" ht="14.25" x14ac:dyDescent="0.45">
      <c r="X65" s="48">
        <v>33</v>
      </c>
      <c r="Y65" s="55" t="s">
        <v>46</v>
      </c>
      <c r="Z65" s="62">
        <v>36.784252304980654</v>
      </c>
      <c r="AA65" s="62">
        <v>3.3333333333333335</v>
      </c>
      <c r="AB65" s="62" t="str">
        <f t="shared" si="2"/>
        <v>K4</v>
      </c>
      <c r="AC65" s="59"/>
      <c r="AD65" s="59"/>
      <c r="AE65" s="59"/>
      <c r="AF65" s="59"/>
      <c r="AG65" s="54">
        <v>65</v>
      </c>
      <c r="AH65" s="58" t="s">
        <v>70</v>
      </c>
      <c r="AI65" s="64">
        <v>2.4233882812982643</v>
      </c>
      <c r="AJ65" s="64">
        <v>88.94517294241794</v>
      </c>
      <c r="AK65" s="62" t="str">
        <f t="shared" si="3"/>
        <v>K2</v>
      </c>
    </row>
    <row r="66" spans="24:40" ht="14.25" x14ac:dyDescent="0.45">
      <c r="AG66" s="54">
        <v>71</v>
      </c>
      <c r="AH66" s="58" t="s">
        <v>71</v>
      </c>
      <c r="AI66" s="64">
        <v>1.6310036026666115</v>
      </c>
      <c r="AJ66" s="64">
        <v>61.759705882352939</v>
      </c>
      <c r="AK66" s="62" t="str">
        <f t="shared" si="3"/>
        <v>K3</v>
      </c>
    </row>
    <row r="67" spans="24:40" ht="14.25" x14ac:dyDescent="0.45">
      <c r="AG67" s="54">
        <v>72</v>
      </c>
      <c r="AH67" s="58" t="s">
        <v>72</v>
      </c>
      <c r="AI67" s="64">
        <v>6.3964781868707021E-2</v>
      </c>
      <c r="AJ67" s="64">
        <v>73.008181818181825</v>
      </c>
      <c r="AK67" s="62" t="str">
        <f t="shared" si="3"/>
        <v>K2</v>
      </c>
    </row>
    <row r="68" spans="24:40" ht="14.25" x14ac:dyDescent="0.45">
      <c r="AG68" s="54">
        <v>73</v>
      </c>
      <c r="AH68" s="58" t="s">
        <v>73</v>
      </c>
      <c r="AI68" s="64">
        <v>15.628928388257011</v>
      </c>
      <c r="AJ68" s="64">
        <v>67.40150537634409</v>
      </c>
      <c r="AK68" s="62" t="str">
        <f t="shared" si="3"/>
        <v>K4</v>
      </c>
    </row>
    <row r="69" spans="24:40" s="59" customFormat="1" ht="14.25" x14ac:dyDescent="0.45">
      <c r="X69" s="156"/>
      <c r="AG69" s="54">
        <v>74</v>
      </c>
      <c r="AH69" s="58" t="s">
        <v>74</v>
      </c>
      <c r="AI69" s="64">
        <v>0.23156513296862685</v>
      </c>
      <c r="AJ69" s="64">
        <v>96.578947368421055</v>
      </c>
      <c r="AK69" s="62" t="str">
        <f t="shared" si="3"/>
        <v>K2</v>
      </c>
      <c r="AL69"/>
      <c r="AM69"/>
      <c r="AN69"/>
    </row>
    <row r="70" spans="24:40" s="59" customFormat="1" ht="14.25" x14ac:dyDescent="0.45">
      <c r="X70" s="156"/>
      <c r="AG70" s="54">
        <v>75</v>
      </c>
      <c r="AH70" s="58" t="s">
        <v>75</v>
      </c>
      <c r="AI70" s="64">
        <v>1.9962619298038233</v>
      </c>
      <c r="AJ70" s="64">
        <v>100</v>
      </c>
      <c r="AK70" s="62" t="str">
        <f t="shared" si="3"/>
        <v>K2</v>
      </c>
      <c r="AL70"/>
      <c r="AM70"/>
      <c r="AN70"/>
    </row>
    <row r="71" spans="24:40" s="59" customFormat="1" ht="14.25" x14ac:dyDescent="0.45">
      <c r="X71" s="156"/>
      <c r="AG71" s="54">
        <v>76</v>
      </c>
      <c r="AH71" s="58" t="s">
        <v>76</v>
      </c>
      <c r="AI71" s="64">
        <v>0.29562665500740692</v>
      </c>
      <c r="AJ71" s="64">
        <v>80</v>
      </c>
      <c r="AK71" s="62" t="str">
        <f t="shared" si="3"/>
        <v>K2</v>
      </c>
      <c r="AL71"/>
      <c r="AM71"/>
      <c r="AN71"/>
    </row>
    <row r="72" spans="24:40" s="59" customFormat="1" ht="14.25" x14ac:dyDescent="0.45">
      <c r="X72" s="156"/>
      <c r="AG72" s="54">
        <v>81</v>
      </c>
      <c r="AH72" s="58" t="s">
        <v>77</v>
      </c>
      <c r="AI72" s="64">
        <v>7.864306856810957E-2</v>
      </c>
      <c r="AJ72" s="64">
        <v>93.843571428571423</v>
      </c>
      <c r="AK72" s="62" t="str">
        <f t="shared" si="3"/>
        <v>K2</v>
      </c>
      <c r="AL72"/>
      <c r="AM72"/>
      <c r="AN72"/>
    </row>
    <row r="73" spans="24:40" s="59" customFormat="1" ht="14.25" x14ac:dyDescent="0.45">
      <c r="X73" s="156"/>
      <c r="AG73" s="54">
        <v>82</v>
      </c>
      <c r="AH73" s="58" t="s">
        <v>78</v>
      </c>
      <c r="AI73" s="64">
        <v>0</v>
      </c>
      <c r="AJ73" s="64">
        <v>0</v>
      </c>
      <c r="AK73" s="62" t="str">
        <f t="shared" si="3"/>
        <v>K3</v>
      </c>
      <c r="AL73"/>
      <c r="AM73"/>
      <c r="AN73"/>
    </row>
    <row r="74" spans="24:40" s="59" customFormat="1" ht="14.25" x14ac:dyDescent="0.45">
      <c r="X74" s="156"/>
      <c r="AG74" s="54">
        <v>91</v>
      </c>
      <c r="AH74" s="58" t="s">
        <v>79</v>
      </c>
      <c r="AI74" s="64">
        <v>3.7155316166160226</v>
      </c>
      <c r="AJ74" s="64">
        <v>80.656000000000006</v>
      </c>
      <c r="AK74" s="62" t="str">
        <f t="shared" si="3"/>
        <v>K2</v>
      </c>
      <c r="AL74"/>
      <c r="AM74"/>
      <c r="AN74"/>
    </row>
    <row r="75" spans="24:40" s="59" customFormat="1" ht="14.25" x14ac:dyDescent="0.45">
      <c r="X75" s="156"/>
      <c r="AG75" s="54">
        <v>94</v>
      </c>
      <c r="AH75" s="58" t="s">
        <v>80</v>
      </c>
      <c r="AI75" s="64">
        <v>9.9857625028971202E-3</v>
      </c>
      <c r="AJ75" s="64">
        <v>67.930430626477431</v>
      </c>
      <c r="AK75" s="62" t="str">
        <f t="shared" si="3"/>
        <v>K3</v>
      </c>
      <c r="AL75"/>
      <c r="AM75"/>
      <c r="AN75"/>
    </row>
    <row r="76" spans="24:40" s="59" customFormat="1" ht="14.25" x14ac:dyDescent="0.45">
      <c r="X76" s="156"/>
    </row>
    <row r="77" spans="24:40" s="59" customFormat="1" ht="14.25" x14ac:dyDescent="0.45">
      <c r="X77" s="156"/>
    </row>
    <row r="78" spans="24:40" s="59" customFormat="1" ht="14.25" x14ac:dyDescent="0.45">
      <c r="X78" s="156"/>
    </row>
    <row r="79" spans="24:40" s="59" customFormat="1" ht="14.25" x14ac:dyDescent="0.45">
      <c r="X79" s="156"/>
    </row>
    <row r="80" spans="24:40" s="59" customFormat="1" ht="14.25" x14ac:dyDescent="0.45">
      <c r="X80" s="156"/>
    </row>
    <row r="81" spans="24:28" s="59" customFormat="1" ht="14.25" x14ac:dyDescent="0.45">
      <c r="X81" s="156"/>
    </row>
    <row r="82" spans="24:28" s="59" customFormat="1" ht="14.25" x14ac:dyDescent="0.45">
      <c r="X82" s="156"/>
    </row>
    <row r="83" spans="24:28" s="59" customFormat="1" ht="14.25" x14ac:dyDescent="0.45">
      <c r="X83" s="156"/>
    </row>
    <row r="84" spans="24:28" s="59" customFormat="1" ht="14.25" x14ac:dyDescent="0.45">
      <c r="X84" s="156"/>
    </row>
    <row r="85" spans="24:28" s="59" customFormat="1" ht="14.25" x14ac:dyDescent="0.45">
      <c r="X85" s="156"/>
    </row>
    <row r="86" spans="24:28" s="59" customFormat="1" ht="14.25" x14ac:dyDescent="0.45">
      <c r="X86" s="156"/>
    </row>
    <row r="87" spans="24:28" s="59" customFormat="1" ht="14.25" x14ac:dyDescent="0.45">
      <c r="X87" s="156"/>
    </row>
    <row r="88" spans="24:28" s="59" customFormat="1" ht="14.25" x14ac:dyDescent="0.45">
      <c r="X88" s="156"/>
    </row>
    <row r="89" spans="24:28" s="59" customFormat="1" ht="14.25" x14ac:dyDescent="0.45">
      <c r="X89" s="156"/>
    </row>
    <row r="90" spans="24:28" s="59" customFormat="1" ht="14.25" x14ac:dyDescent="0.45">
      <c r="X90" s="156"/>
    </row>
    <row r="91" spans="24:28" s="59" customFormat="1" ht="14.25" x14ac:dyDescent="0.45">
      <c r="X91" s="156"/>
    </row>
    <row r="92" spans="24:28" s="59" customFormat="1" ht="14.25" x14ac:dyDescent="0.45">
      <c r="X92" s="156"/>
    </row>
    <row r="93" spans="24:28" x14ac:dyDescent="0.35">
      <c r="AB93" s="62"/>
    </row>
    <row r="130" spans="25:25" ht="14.25" x14ac:dyDescent="0.45">
      <c r="Y130" s="58"/>
    </row>
    <row r="131" spans="25:25" ht="14.25" x14ac:dyDescent="0.45">
      <c r="Y131" s="58"/>
    </row>
  </sheetData>
  <mergeCells count="12">
    <mergeCell ref="AM54:AM55"/>
    <mergeCell ref="AN54:AN55"/>
    <mergeCell ref="Y1:AA1"/>
    <mergeCell ref="AH1:AJ1"/>
    <mergeCell ref="Y40:AA40"/>
    <mergeCell ref="AD40:AD41"/>
    <mergeCell ref="AE40:AE41"/>
    <mergeCell ref="AD52:AD53"/>
    <mergeCell ref="AE52:AE53"/>
    <mergeCell ref="AH40:AJ40"/>
    <mergeCell ref="AM40:AM41"/>
    <mergeCell ref="AN40:AN4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0AA95-E1FC-3649-9642-24CE191FA1AE}">
  <dimension ref="A2:G129"/>
  <sheetViews>
    <sheetView topLeftCell="A60" zoomScale="43" zoomScaleNormal="55" workbookViewId="0">
      <selection activeCell="V110" sqref="V110"/>
    </sheetView>
  </sheetViews>
  <sheetFormatPr defaultColWidth="11.265625" defaultRowHeight="12.75" x14ac:dyDescent="0.35"/>
  <cols>
    <col min="1" max="1" width="47" customWidth="1"/>
    <col min="2" max="2" width="15.265625" style="48" customWidth="1"/>
    <col min="3" max="3" width="13.1328125" style="48" bestFit="1" customWidth="1"/>
    <col min="4" max="4" width="13.1328125" style="48" customWidth="1"/>
  </cols>
  <sheetData>
    <row r="2" spans="1:7" ht="13.15" x14ac:dyDescent="0.4">
      <c r="A2" s="160" t="s">
        <v>81</v>
      </c>
      <c r="B2" s="160"/>
      <c r="C2" s="160"/>
      <c r="D2" s="115"/>
      <c r="F2" s="158" t="s">
        <v>51</v>
      </c>
      <c r="G2" s="158" t="s">
        <v>52</v>
      </c>
    </row>
    <row r="3" spans="1:7" ht="13.15" x14ac:dyDescent="0.4">
      <c r="A3" s="63" t="s">
        <v>49</v>
      </c>
      <c r="B3" s="63" t="s">
        <v>7</v>
      </c>
      <c r="C3" s="63" t="s">
        <v>50</v>
      </c>
      <c r="D3" s="63"/>
      <c r="F3" s="159"/>
      <c r="G3" s="159"/>
    </row>
    <row r="4" spans="1:7" s="59" customFormat="1" ht="14.25" x14ac:dyDescent="0.45">
      <c r="A4" s="61" t="s">
        <v>13</v>
      </c>
      <c r="B4" s="62">
        <v>10.286594567680474</v>
      </c>
      <c r="C4" s="62">
        <v>57.763515033079017</v>
      </c>
      <c r="D4" s="62" t="str">
        <f>IF(AND(B4&gt;=$F$4,C4&gt;=$G$4),"K1",IF(AND(B4&lt;$F$4,C4&gt;=$G$4),"K2",IF(AND(B4&lt;$F$4,C4&lt;$G$4),"K3","K4")))</f>
        <v>K2</v>
      </c>
      <c r="F4" s="71">
        <f>AVERAGE(B4:B27)</f>
        <v>27.317000559774954</v>
      </c>
      <c r="G4" s="71">
        <f>AVERAGE(C4:C27)</f>
        <v>39.456601878176897</v>
      </c>
    </row>
    <row r="5" spans="1:7" s="59" customFormat="1" ht="14.25" x14ac:dyDescent="0.45">
      <c r="A5" s="55" t="s">
        <v>19</v>
      </c>
      <c r="B5" s="62">
        <v>18.341960735669293</v>
      </c>
      <c r="C5" s="62">
        <v>12.082776770613844</v>
      </c>
      <c r="D5" s="62" t="str">
        <f t="shared" ref="D5:D27" si="0">IF(AND(B5&gt;=$F$4,C5&gt;=$G$4),"K1",IF(AND(B5&lt;$F$4,C5&gt;=$G$4),"K2",IF(AND(B5&lt;$F$4,C5&lt;$G$4),"K3","K4")))</f>
        <v>K3</v>
      </c>
      <c r="F5" s="70"/>
      <c r="G5"/>
    </row>
    <row r="6" spans="1:7" s="59" customFormat="1" ht="14.25" x14ac:dyDescent="0.45">
      <c r="A6" s="55" t="s">
        <v>21</v>
      </c>
      <c r="B6" s="62">
        <v>5.2597780739413693</v>
      </c>
      <c r="C6" s="62">
        <v>49.946392170674486</v>
      </c>
      <c r="D6" s="62" t="str">
        <f t="shared" si="0"/>
        <v>K2</v>
      </c>
      <c r="F6" s="67" t="s">
        <v>55</v>
      </c>
      <c r="G6" s="69"/>
    </row>
    <row r="7" spans="1:7" s="59" customFormat="1" ht="14.25" x14ac:dyDescent="0.45">
      <c r="A7" s="55" t="s">
        <v>24</v>
      </c>
      <c r="B7" s="62">
        <v>26.924796416960699</v>
      </c>
      <c r="C7" s="62">
        <v>40.829237215215286</v>
      </c>
      <c r="D7" s="62" t="str">
        <f t="shared" si="0"/>
        <v>K2</v>
      </c>
      <c r="F7" s="69">
        <f>$F$4</f>
        <v>27.317000559774954</v>
      </c>
      <c r="G7" s="68">
        <v>0</v>
      </c>
    </row>
    <row r="8" spans="1:7" s="59" customFormat="1" ht="14.25" x14ac:dyDescent="0.45">
      <c r="A8" s="55" t="s">
        <v>26</v>
      </c>
      <c r="B8" s="62">
        <v>40.379094559229671</v>
      </c>
      <c r="C8" s="62">
        <v>62.028479521786934</v>
      </c>
      <c r="D8" s="62" t="str">
        <f t="shared" si="0"/>
        <v>K1</v>
      </c>
      <c r="F8" s="69">
        <f>$F$4</f>
        <v>27.317000559774954</v>
      </c>
      <c r="G8" s="68">
        <f>MAX(C4:C27)*1.1</f>
        <v>85.600600803403282</v>
      </c>
    </row>
    <row r="9" spans="1:7" s="59" customFormat="1" ht="14.25" x14ac:dyDescent="0.45">
      <c r="A9" s="55" t="s">
        <v>82</v>
      </c>
      <c r="B9" s="62">
        <v>27.327824570038771</v>
      </c>
      <c r="C9" s="62">
        <v>43.646983080702526</v>
      </c>
      <c r="D9" s="62" t="str">
        <f t="shared" si="0"/>
        <v>K1</v>
      </c>
      <c r="F9" s="67"/>
      <c r="G9" s="68"/>
    </row>
    <row r="10" spans="1:7" s="59" customFormat="1" ht="14.25" x14ac:dyDescent="0.45">
      <c r="A10" s="58" t="s">
        <v>83</v>
      </c>
      <c r="B10" s="62">
        <v>6.8987478009938261</v>
      </c>
      <c r="C10" s="62">
        <v>69.815778400619052</v>
      </c>
      <c r="D10" s="62" t="str">
        <f t="shared" si="0"/>
        <v>K2</v>
      </c>
      <c r="F10" s="67" t="s">
        <v>60</v>
      </c>
      <c r="G10" s="68"/>
    </row>
    <row r="11" spans="1:7" s="59" customFormat="1" ht="14.25" x14ac:dyDescent="0.45">
      <c r="A11" s="55" t="s">
        <v>30</v>
      </c>
      <c r="B11" s="62">
        <v>14.748203875864254</v>
      </c>
      <c r="C11" s="62">
        <v>26.222460083614525</v>
      </c>
      <c r="D11" s="62" t="str">
        <f t="shared" si="0"/>
        <v>K3</v>
      </c>
      <c r="F11" s="67">
        <v>0</v>
      </c>
      <c r="G11" s="68">
        <f>$G$4</f>
        <v>39.456601878176897</v>
      </c>
    </row>
    <row r="12" spans="1:7" s="59" customFormat="1" ht="14.25" x14ac:dyDescent="0.45">
      <c r="A12" s="55" t="s">
        <v>31</v>
      </c>
      <c r="B12" s="62">
        <v>8.0606693583710864</v>
      </c>
      <c r="C12" s="62">
        <v>22.251555555555555</v>
      </c>
      <c r="D12" s="62" t="str">
        <f t="shared" si="0"/>
        <v>K3</v>
      </c>
      <c r="F12" s="65">
        <f>MAX(B4:B27)*1.1</f>
        <v>71.855899602880257</v>
      </c>
      <c r="G12" s="68">
        <f>$G$4</f>
        <v>39.456601878176897</v>
      </c>
    </row>
    <row r="13" spans="1:7" s="59" customFormat="1" ht="14.25" x14ac:dyDescent="0.45">
      <c r="A13" s="55" t="s">
        <v>32</v>
      </c>
      <c r="B13" s="62">
        <v>11.986768661340957</v>
      </c>
      <c r="C13" s="62">
        <v>38.045789473684209</v>
      </c>
      <c r="D13" s="62" t="str">
        <f t="shared" si="0"/>
        <v>K3</v>
      </c>
    </row>
    <row r="14" spans="1:7" s="59" customFormat="1" ht="14.25" x14ac:dyDescent="0.45">
      <c r="A14" s="55" t="s">
        <v>33</v>
      </c>
      <c r="B14" s="62">
        <v>36.000408264268167</v>
      </c>
      <c r="C14" s="62">
        <v>32.896714640024506</v>
      </c>
      <c r="D14" s="62" t="str">
        <f t="shared" si="0"/>
        <v>K4</v>
      </c>
      <c r="F14" s="158" t="s">
        <v>51</v>
      </c>
      <c r="G14" s="158" t="s">
        <v>52</v>
      </c>
    </row>
    <row r="15" spans="1:7" s="59" customFormat="1" ht="14.25" x14ac:dyDescent="0.45">
      <c r="A15" s="55" t="s">
        <v>84</v>
      </c>
      <c r="B15" s="62">
        <v>38.440680547909572</v>
      </c>
      <c r="C15" s="62">
        <v>18.100142006329349</v>
      </c>
      <c r="D15" s="62" t="str">
        <f t="shared" si="0"/>
        <v>K4</v>
      </c>
      <c r="F15" s="159"/>
      <c r="G15" s="159"/>
    </row>
    <row r="16" spans="1:7" s="59" customFormat="1" ht="14.25" x14ac:dyDescent="0.45">
      <c r="A16" s="55" t="s">
        <v>85</v>
      </c>
      <c r="B16" s="62">
        <v>16.74841257128919</v>
      </c>
      <c r="C16" s="62">
        <v>43.04584894433502</v>
      </c>
      <c r="D16" s="62" t="str">
        <f t="shared" si="0"/>
        <v>K2</v>
      </c>
      <c r="F16" s="71">
        <f>MEDIAN(B4:B27)</f>
        <v>28.532460322421706</v>
      </c>
      <c r="G16" s="71">
        <f>MEDIAN(C4:C27)</f>
        <v>35.471252056854354</v>
      </c>
    </row>
    <row r="17" spans="1:7" s="59" customFormat="1" ht="14.25" x14ac:dyDescent="0.45">
      <c r="A17" s="55" t="s">
        <v>36</v>
      </c>
      <c r="B17" s="62">
        <v>20.69620253243027</v>
      </c>
      <c r="C17" s="62">
        <v>29.722374719770446</v>
      </c>
      <c r="D17" s="62" t="str">
        <f t="shared" si="0"/>
        <v>K3</v>
      </c>
      <c r="F17" s="70"/>
      <c r="G17"/>
    </row>
    <row r="18" spans="1:7" s="59" customFormat="1" ht="14.25" x14ac:dyDescent="0.45">
      <c r="A18" s="55" t="s">
        <v>37</v>
      </c>
      <c r="B18" s="62">
        <v>38.924375301981293</v>
      </c>
      <c r="C18" s="62">
        <v>47.999677447153836</v>
      </c>
      <c r="D18" s="62" t="str">
        <f t="shared" si="0"/>
        <v>K1</v>
      </c>
      <c r="F18" s="67" t="s">
        <v>55</v>
      </c>
      <c r="G18" s="69"/>
    </row>
    <row r="19" spans="1:7" s="59" customFormat="1" ht="14.25" x14ac:dyDescent="0.45">
      <c r="A19" s="55" t="s">
        <v>86</v>
      </c>
      <c r="B19" s="62">
        <v>30.673520143676004</v>
      </c>
      <c r="C19" s="62">
        <v>28.538670507454082</v>
      </c>
      <c r="D19" s="62" t="str">
        <f t="shared" si="0"/>
        <v>K4</v>
      </c>
      <c r="F19" s="69">
        <f>$F$16</f>
        <v>28.532460322421706</v>
      </c>
      <c r="G19" s="68">
        <v>0</v>
      </c>
    </row>
    <row r="20" spans="1:7" s="59" customFormat="1" ht="14.25" x14ac:dyDescent="0.45">
      <c r="A20" s="55" t="s">
        <v>87</v>
      </c>
      <c r="B20" s="62">
        <v>65.3235450935275</v>
      </c>
      <c r="C20" s="62">
        <v>50.435337494786999</v>
      </c>
      <c r="D20" s="62" t="str">
        <f t="shared" si="0"/>
        <v>K1</v>
      </c>
      <c r="F20" s="69">
        <f>$F$16</f>
        <v>28.532460322421706</v>
      </c>
      <c r="G20" s="68">
        <f>MAX(C4:C27)*1.1</f>
        <v>85.600600803403282</v>
      </c>
    </row>
    <row r="21" spans="1:7" s="59" customFormat="1" ht="14.25" x14ac:dyDescent="0.45">
      <c r="A21" s="55" t="s">
        <v>40</v>
      </c>
      <c r="B21" s="62">
        <v>41.873258296855504</v>
      </c>
      <c r="C21" s="62">
        <v>29.191352937868889</v>
      </c>
      <c r="D21" s="62" t="str">
        <f t="shared" si="0"/>
        <v>K4</v>
      </c>
      <c r="F21" s="67"/>
      <c r="G21" s="68"/>
    </row>
    <row r="22" spans="1:7" s="59" customFormat="1" ht="14.25" x14ac:dyDescent="0.45">
      <c r="A22" s="55" t="s">
        <v>41</v>
      </c>
      <c r="B22" s="62">
        <v>35.180478122187253</v>
      </c>
      <c r="C22" s="62">
        <v>28.846572535723929</v>
      </c>
      <c r="D22" s="62" t="str">
        <f t="shared" si="0"/>
        <v>K4</v>
      </c>
      <c r="F22" s="67" t="s">
        <v>60</v>
      </c>
      <c r="G22" s="68"/>
    </row>
    <row r="23" spans="1:7" s="59" customFormat="1" ht="14.25" x14ac:dyDescent="0.45">
      <c r="A23" s="55" t="s">
        <v>88</v>
      </c>
      <c r="B23" s="62">
        <v>33.579929275223925</v>
      </c>
      <c r="C23" s="62">
        <v>31.3156424206319</v>
      </c>
      <c r="D23" s="62" t="str">
        <f t="shared" si="0"/>
        <v>K4</v>
      </c>
      <c r="F23" s="67">
        <v>0</v>
      </c>
      <c r="G23" s="68">
        <f>$G$16</f>
        <v>35.471252056854354</v>
      </c>
    </row>
    <row r="24" spans="1:7" s="59" customFormat="1" ht="14.25" x14ac:dyDescent="0.45">
      <c r="A24" s="55" t="s">
        <v>43</v>
      </c>
      <c r="B24" s="62">
        <v>29.737096074804636</v>
      </c>
      <c r="C24" s="62">
        <v>32.113344337097963</v>
      </c>
      <c r="D24" s="62" t="str">
        <f t="shared" si="0"/>
        <v>K4</v>
      </c>
      <c r="F24" s="65">
        <f>MAX(B4:B27)*1.1</f>
        <v>71.855899602880257</v>
      </c>
      <c r="G24" s="68">
        <f>$G$16</f>
        <v>35.471252056854354</v>
      </c>
    </row>
    <row r="25" spans="1:7" s="59" customFormat="1" ht="14.25" x14ac:dyDescent="0.45">
      <c r="A25" s="55" t="s">
        <v>44</v>
      </c>
      <c r="B25" s="62">
        <v>7.3534437291700341</v>
      </c>
      <c r="C25" s="62">
        <v>77.818728003093881</v>
      </c>
      <c r="D25" s="62" t="str">
        <f t="shared" si="0"/>
        <v>K2</v>
      </c>
    </row>
    <row r="26" spans="1:7" s="59" customFormat="1" ht="14.25" x14ac:dyDescent="0.45">
      <c r="A26" s="55" t="s">
        <v>45</v>
      </c>
      <c r="B26" s="62">
        <v>54.077972556204358</v>
      </c>
      <c r="C26" s="62">
        <v>70.96773844309601</v>
      </c>
      <c r="D26" s="62" t="str">
        <f t="shared" si="0"/>
        <v>K1</v>
      </c>
    </row>
    <row r="27" spans="1:7" s="59" customFormat="1" ht="14.25" x14ac:dyDescent="0.45">
      <c r="A27" s="55" t="s">
        <v>89</v>
      </c>
      <c r="B27" s="62">
        <v>36.784252304980654</v>
      </c>
      <c r="C27" s="62">
        <v>3.3333333333333335</v>
      </c>
      <c r="D27" s="62" t="str">
        <f t="shared" si="0"/>
        <v>K4</v>
      </c>
    </row>
    <row r="28" spans="1:7" x14ac:dyDescent="0.35">
      <c r="D28" s="62"/>
    </row>
    <row r="29" spans="1:7" ht="13.15" x14ac:dyDescent="0.4">
      <c r="A29" s="160" t="s">
        <v>81</v>
      </c>
      <c r="B29" s="160"/>
      <c r="C29" s="160"/>
      <c r="D29" s="115"/>
      <c r="F29" s="158" t="s">
        <v>51</v>
      </c>
      <c r="G29" s="158" t="s">
        <v>52</v>
      </c>
    </row>
    <row r="30" spans="1:7" ht="13.15" x14ac:dyDescent="0.4">
      <c r="A30" s="63" t="s">
        <v>53</v>
      </c>
      <c r="B30" s="63" t="s">
        <v>7</v>
      </c>
      <c r="C30" s="63" t="s">
        <v>50</v>
      </c>
      <c r="D30" s="63"/>
      <c r="F30" s="159"/>
      <c r="G30" s="159"/>
    </row>
    <row r="31" spans="1:7" ht="14.25" x14ac:dyDescent="0.45">
      <c r="A31" s="58" t="s">
        <v>54</v>
      </c>
      <c r="B31" s="64">
        <v>1.929859925632146</v>
      </c>
      <c r="C31" s="64">
        <v>52.56</v>
      </c>
      <c r="D31" s="62" t="str">
        <f>IF(AND(B31&gt;=$F$31,C31&gt;=$G$31),"K1",IF(AND(B31&lt;$F$31,C31&gt;=$G$31),"K2",IF(AND(B31&lt;$F$31,C31&lt;$G$31),"K3","K4")))</f>
        <v>K3</v>
      </c>
      <c r="F31" s="71">
        <f>AVERAGE(B31:B64)</f>
        <v>8.3122502594966114</v>
      </c>
      <c r="G31" s="71">
        <f>AVERAGE(C31:C64)</f>
        <v>67.936142272474839</v>
      </c>
    </row>
    <row r="32" spans="1:7" ht="14.25" x14ac:dyDescent="0.45">
      <c r="A32" s="58" t="s">
        <v>17</v>
      </c>
      <c r="B32" s="64">
        <v>6.7991339115504994</v>
      </c>
      <c r="C32" s="64">
        <v>73.708539000253751</v>
      </c>
      <c r="D32" s="62" t="str">
        <f t="shared" ref="D32:D64" si="1">IF(AND(B32&gt;=$F$31,C32&gt;=$G$31),"K1",IF(AND(B32&lt;$F$31,C32&gt;=$G$31),"K2",IF(AND(B32&lt;$F$31,C32&lt;$G$31),"K3","K4")))</f>
        <v>K2</v>
      </c>
      <c r="F32" s="70"/>
    </row>
    <row r="33" spans="1:7" ht="14.25" x14ac:dyDescent="0.45">
      <c r="A33" s="58" t="s">
        <v>56</v>
      </c>
      <c r="B33" s="64">
        <v>0.73298033006151431</v>
      </c>
      <c r="C33" s="64">
        <v>62.238102947337218</v>
      </c>
      <c r="D33" s="62" t="str">
        <f t="shared" si="1"/>
        <v>K3</v>
      </c>
      <c r="F33" s="67" t="s">
        <v>55</v>
      </c>
      <c r="G33" s="69"/>
    </row>
    <row r="34" spans="1:7" ht="14.25" x14ac:dyDescent="0.45">
      <c r="A34" s="58" t="s">
        <v>57</v>
      </c>
      <c r="B34" s="64">
        <v>0.47011442011741605</v>
      </c>
      <c r="C34" s="64">
        <v>63.854099692619748</v>
      </c>
      <c r="D34" s="62" t="str">
        <f t="shared" si="1"/>
        <v>K3</v>
      </c>
      <c r="F34" s="69">
        <f>$F$31</f>
        <v>8.3122502594966114</v>
      </c>
      <c r="G34" s="68">
        <v>0</v>
      </c>
    </row>
    <row r="35" spans="1:7" ht="14.25" x14ac:dyDescent="0.45">
      <c r="A35" s="58" t="s">
        <v>58</v>
      </c>
      <c r="B35" s="64">
        <v>0.46810596147328976</v>
      </c>
      <c r="C35" s="64">
        <v>71.364534034398872</v>
      </c>
      <c r="D35" s="62" t="str">
        <f t="shared" si="1"/>
        <v>K2</v>
      </c>
      <c r="F35" s="69">
        <f>$F$31</f>
        <v>8.3122502594966114</v>
      </c>
      <c r="G35" s="68">
        <f>MAX(C31:C64)*1.1</f>
        <v>110.00000000000001</v>
      </c>
    </row>
    <row r="36" spans="1:7" ht="14.25" x14ac:dyDescent="0.45">
      <c r="A36" s="58" t="s">
        <v>59</v>
      </c>
      <c r="B36" s="64">
        <v>0.98438137574698803</v>
      </c>
      <c r="C36" s="64">
        <v>82.283255813953488</v>
      </c>
      <c r="D36" s="62" t="str">
        <f t="shared" si="1"/>
        <v>K2</v>
      </c>
      <c r="F36" s="67"/>
      <c r="G36" s="68"/>
    </row>
    <row r="37" spans="1:7" ht="14.25" x14ac:dyDescent="0.45">
      <c r="A37" s="58" t="s">
        <v>61</v>
      </c>
      <c r="B37" s="64">
        <v>7.7126132794589066E-3</v>
      </c>
      <c r="C37" s="64">
        <v>86.891999999999996</v>
      </c>
      <c r="D37" s="62" t="str">
        <f t="shared" si="1"/>
        <v>K2</v>
      </c>
      <c r="F37" s="67" t="s">
        <v>60</v>
      </c>
      <c r="G37" s="68"/>
    </row>
    <row r="38" spans="1:7" ht="14.25" x14ac:dyDescent="0.45">
      <c r="A38" s="58" t="s">
        <v>62</v>
      </c>
      <c r="B38" s="64">
        <v>13.294370087488325</v>
      </c>
      <c r="C38" s="64">
        <v>66.907638888888883</v>
      </c>
      <c r="D38" s="62" t="str">
        <f t="shared" si="1"/>
        <v>K4</v>
      </c>
      <c r="F38" s="67">
        <v>0</v>
      </c>
      <c r="G38" s="68">
        <f>$G$31</f>
        <v>67.936142272474839</v>
      </c>
    </row>
    <row r="39" spans="1:7" ht="14.25" x14ac:dyDescent="0.45">
      <c r="A39" s="58" t="s">
        <v>63</v>
      </c>
      <c r="B39" s="64">
        <v>0.39376654288572144</v>
      </c>
      <c r="C39" s="64">
        <v>88.029707214493683</v>
      </c>
      <c r="D39" s="62" t="str">
        <f t="shared" si="1"/>
        <v>K2</v>
      </c>
      <c r="F39" s="65">
        <f>MAX(B31:B64)*1.1</f>
        <v>42.092048793967159</v>
      </c>
      <c r="G39" s="68">
        <f>$G$31</f>
        <v>67.936142272474839</v>
      </c>
    </row>
    <row r="40" spans="1:7" ht="14.25" x14ac:dyDescent="0.45">
      <c r="A40" s="58" t="s">
        <v>23</v>
      </c>
      <c r="B40" s="64">
        <v>38.265498903606506</v>
      </c>
      <c r="C40" s="64">
        <v>77.710719236364028</v>
      </c>
      <c r="D40" s="62" t="str">
        <f t="shared" si="1"/>
        <v>K1</v>
      </c>
    </row>
    <row r="41" spans="1:7" ht="14.25" x14ac:dyDescent="0.45">
      <c r="A41" s="58" t="s">
        <v>64</v>
      </c>
      <c r="B41" s="64">
        <v>30.348546028602978</v>
      </c>
      <c r="C41" s="64">
        <v>38.218826762575027</v>
      </c>
      <c r="D41" s="62" t="str">
        <f t="shared" si="1"/>
        <v>K4</v>
      </c>
    </row>
    <row r="42" spans="1:7" ht="14.25" x14ac:dyDescent="0.45">
      <c r="A42" s="58" t="s">
        <v>15</v>
      </c>
      <c r="B42" s="64">
        <v>38.159048027228323</v>
      </c>
      <c r="C42" s="64">
        <v>36.321701528575787</v>
      </c>
      <c r="D42" s="62" t="str">
        <f t="shared" si="1"/>
        <v>K4</v>
      </c>
    </row>
    <row r="43" spans="1:7" ht="14.25" x14ac:dyDescent="0.45">
      <c r="A43" s="58" t="s">
        <v>16</v>
      </c>
      <c r="B43" s="64">
        <v>20.383104570680779</v>
      </c>
      <c r="C43" s="64">
        <v>74.558131852465024</v>
      </c>
      <c r="D43" s="62" t="str">
        <f t="shared" si="1"/>
        <v>K1</v>
      </c>
      <c r="F43" s="158" t="s">
        <v>51</v>
      </c>
      <c r="G43" s="158" t="s">
        <v>52</v>
      </c>
    </row>
    <row r="44" spans="1:7" ht="14.25" x14ac:dyDescent="0.45">
      <c r="A44" s="58" t="s">
        <v>65</v>
      </c>
      <c r="B44" s="64">
        <v>31.068102571012485</v>
      </c>
      <c r="C44" s="64">
        <v>77.384182029778884</v>
      </c>
      <c r="D44" s="62" t="str">
        <f t="shared" si="1"/>
        <v>K1</v>
      </c>
      <c r="F44" s="159"/>
      <c r="G44" s="159"/>
    </row>
    <row r="45" spans="1:7" ht="14.25" x14ac:dyDescent="0.45">
      <c r="A45" s="58" t="s">
        <v>14</v>
      </c>
      <c r="B45" s="64">
        <v>21.309498325981874</v>
      </c>
      <c r="C45" s="64">
        <v>43.31582197885821</v>
      </c>
      <c r="D45" s="62" t="str">
        <f t="shared" si="1"/>
        <v>K4</v>
      </c>
      <c r="F45" s="71">
        <f>MEDIAN(B31:B64)</f>
        <v>1.4874324931242717</v>
      </c>
      <c r="G45" s="71">
        <f>MEDIAN(C31:C64)</f>
        <v>71.839525081715564</v>
      </c>
    </row>
    <row r="46" spans="1:7" ht="14.25" x14ac:dyDescent="0.45">
      <c r="A46" s="58" t="s">
        <v>18</v>
      </c>
      <c r="B46" s="64">
        <v>29.487721766550308</v>
      </c>
      <c r="C46" s="64">
        <v>36.117925642920071</v>
      </c>
      <c r="D46" s="62" t="str">
        <f t="shared" si="1"/>
        <v>K4</v>
      </c>
    </row>
    <row r="47" spans="1:7" ht="14.25" x14ac:dyDescent="0.45">
      <c r="A47" s="58" t="s">
        <v>20</v>
      </c>
      <c r="B47" s="64">
        <v>16.101761344195907</v>
      </c>
      <c r="C47" s="64">
        <v>75.207097984399795</v>
      </c>
      <c r="D47" s="62" t="str">
        <f t="shared" si="1"/>
        <v>K1</v>
      </c>
      <c r="F47" s="67" t="s">
        <v>55</v>
      </c>
      <c r="G47" s="69"/>
    </row>
    <row r="48" spans="1:7" ht="14.25" x14ac:dyDescent="0.45">
      <c r="A48" s="58" t="s">
        <v>22</v>
      </c>
      <c r="B48" s="64">
        <v>0.19869823007315399</v>
      </c>
      <c r="C48" s="64">
        <v>68.24666666666667</v>
      </c>
      <c r="D48" s="62" t="str">
        <f t="shared" si="1"/>
        <v>K2</v>
      </c>
      <c r="F48" s="69">
        <f>F45</f>
        <v>1.4874324931242717</v>
      </c>
      <c r="G48" s="68">
        <v>0</v>
      </c>
    </row>
    <row r="49" spans="1:7" ht="14.25" x14ac:dyDescent="0.45">
      <c r="A49" s="58" t="s">
        <v>66</v>
      </c>
      <c r="B49" s="64">
        <v>0.28042439538072655</v>
      </c>
      <c r="C49" s="64">
        <v>56.023333333333333</v>
      </c>
      <c r="D49" s="62" t="str">
        <f t="shared" si="1"/>
        <v>K3</v>
      </c>
      <c r="F49" s="69">
        <f>F45</f>
        <v>1.4874324931242717</v>
      </c>
      <c r="G49" s="68">
        <f>MAX(C31:C64)*1.1</f>
        <v>110.00000000000001</v>
      </c>
    </row>
    <row r="50" spans="1:7" ht="14.25" x14ac:dyDescent="0.45">
      <c r="A50" s="58" t="s">
        <v>67</v>
      </c>
      <c r="B50" s="64">
        <v>1.342485736821704</v>
      </c>
      <c r="C50" s="64">
        <v>72.314516129032256</v>
      </c>
      <c r="D50" s="62" t="str">
        <f t="shared" si="1"/>
        <v>K2</v>
      </c>
      <c r="F50" s="67"/>
      <c r="G50" s="68"/>
    </row>
    <row r="51" spans="1:7" ht="14.25" x14ac:dyDescent="0.45">
      <c r="A51" s="58" t="s">
        <v>68</v>
      </c>
      <c r="B51" s="64">
        <v>4.6489773354598134E-2</v>
      </c>
      <c r="C51" s="64">
        <v>77.509251313827363</v>
      </c>
      <c r="D51" s="62" t="str">
        <f t="shared" si="1"/>
        <v>K2</v>
      </c>
      <c r="F51" s="67" t="s">
        <v>60</v>
      </c>
      <c r="G51" s="68"/>
    </row>
    <row r="52" spans="1:7" ht="14.25" x14ac:dyDescent="0.45">
      <c r="A52" s="58" t="s">
        <v>69</v>
      </c>
      <c r="B52" s="64">
        <v>3.1259433780205863</v>
      </c>
      <c r="C52" s="64">
        <v>68.413124999999994</v>
      </c>
      <c r="D52" s="62" t="str">
        <f t="shared" si="1"/>
        <v>K2</v>
      </c>
      <c r="F52" s="67">
        <v>0</v>
      </c>
      <c r="G52" s="68">
        <f>G45</f>
        <v>71.839525081715564</v>
      </c>
    </row>
    <row r="53" spans="1:7" ht="14.25" x14ac:dyDescent="0.45">
      <c r="A53" s="58" t="s">
        <v>47</v>
      </c>
      <c r="B53" s="64">
        <v>1.343861383581932</v>
      </c>
      <c r="C53" s="64">
        <v>50.526144770635135</v>
      </c>
      <c r="D53" s="62" t="str">
        <f t="shared" si="1"/>
        <v>K3</v>
      </c>
      <c r="F53" s="65">
        <f>MAX(B31:B64)*1.1</f>
        <v>42.092048793967159</v>
      </c>
      <c r="G53" s="68">
        <f>G45</f>
        <v>71.839525081715564</v>
      </c>
    </row>
    <row r="54" spans="1:7" ht="14.25" x14ac:dyDescent="0.45">
      <c r="A54" s="58" t="s">
        <v>70</v>
      </c>
      <c r="B54" s="64">
        <v>2.4233882812982643</v>
      </c>
      <c r="C54" s="64">
        <v>88.94517294241794</v>
      </c>
      <c r="D54" s="62" t="str">
        <f t="shared" si="1"/>
        <v>K2</v>
      </c>
    </row>
    <row r="55" spans="1:7" ht="14.25" x14ac:dyDescent="0.45">
      <c r="A55" s="58" t="s">
        <v>71</v>
      </c>
      <c r="B55" s="64">
        <v>1.6310036026666115</v>
      </c>
      <c r="C55" s="64">
        <v>61.759705882352939</v>
      </c>
      <c r="D55" s="62" t="str">
        <f t="shared" si="1"/>
        <v>K3</v>
      </c>
    </row>
    <row r="56" spans="1:7" ht="14.25" x14ac:dyDescent="0.45">
      <c r="A56" s="58" t="s">
        <v>72</v>
      </c>
      <c r="B56" s="64">
        <v>6.3964781868707021E-2</v>
      </c>
      <c r="C56" s="64">
        <v>73.008181818181825</v>
      </c>
      <c r="D56" s="62" t="str">
        <f t="shared" si="1"/>
        <v>K2</v>
      </c>
    </row>
    <row r="57" spans="1:7" ht="14.25" x14ac:dyDescent="0.45">
      <c r="A57" s="58" t="s">
        <v>73</v>
      </c>
      <c r="B57" s="64">
        <v>15.628928388257011</v>
      </c>
      <c r="C57" s="64">
        <v>67.40150537634409</v>
      </c>
      <c r="D57" s="62" t="str">
        <f t="shared" si="1"/>
        <v>K4</v>
      </c>
    </row>
    <row r="58" spans="1:7" ht="14.25" x14ac:dyDescent="0.45">
      <c r="A58" s="58" t="s">
        <v>74</v>
      </c>
      <c r="B58" s="64">
        <v>0.23156513296862685</v>
      </c>
      <c r="C58" s="64">
        <v>96.578947368421055</v>
      </c>
      <c r="D58" s="62" t="str">
        <f t="shared" si="1"/>
        <v>K2</v>
      </c>
    </row>
    <row r="59" spans="1:7" ht="14.25" x14ac:dyDescent="0.45">
      <c r="A59" s="58" t="s">
        <v>75</v>
      </c>
      <c r="B59" s="64">
        <v>1.9962619298038233</v>
      </c>
      <c r="C59" s="64">
        <v>100</v>
      </c>
      <c r="D59" s="62" t="str">
        <f t="shared" si="1"/>
        <v>K2</v>
      </c>
    </row>
    <row r="60" spans="1:7" ht="14.25" x14ac:dyDescent="0.45">
      <c r="A60" s="58" t="s">
        <v>76</v>
      </c>
      <c r="B60" s="64">
        <v>0.29562665500740692</v>
      </c>
      <c r="C60" s="64">
        <v>80</v>
      </c>
      <c r="D60" s="62" t="str">
        <f t="shared" si="1"/>
        <v>K2</v>
      </c>
    </row>
    <row r="61" spans="1:7" ht="14.25" x14ac:dyDescent="0.45">
      <c r="A61" s="58" t="s">
        <v>77</v>
      </c>
      <c r="B61" s="64">
        <v>7.864306856810957E-2</v>
      </c>
      <c r="C61" s="64">
        <v>93.843571428571423</v>
      </c>
      <c r="D61" s="62" t="str">
        <f t="shared" si="1"/>
        <v>K2</v>
      </c>
    </row>
    <row r="62" spans="1:7" ht="14.25" x14ac:dyDescent="0.45">
      <c r="A62" s="58" t="s">
        <v>78</v>
      </c>
      <c r="B62" s="64">
        <v>0</v>
      </c>
      <c r="C62" s="64">
        <v>0</v>
      </c>
      <c r="D62" s="62" t="str">
        <f t="shared" si="1"/>
        <v>K3</v>
      </c>
    </row>
    <row r="63" spans="1:7" ht="14.25" x14ac:dyDescent="0.45">
      <c r="A63" s="58" t="s">
        <v>79</v>
      </c>
      <c r="B63" s="64">
        <v>3.7155316166160226</v>
      </c>
      <c r="C63" s="64">
        <v>80.656000000000006</v>
      </c>
      <c r="D63" s="62" t="str">
        <f t="shared" si="1"/>
        <v>K2</v>
      </c>
    </row>
    <row r="64" spans="1:7" ht="14.25" x14ac:dyDescent="0.45">
      <c r="A64" s="58" t="s">
        <v>80</v>
      </c>
      <c r="B64" s="64">
        <v>9.9857625028971202E-3</v>
      </c>
      <c r="C64" s="64">
        <v>67.930430626477431</v>
      </c>
      <c r="D64" s="62" t="str">
        <f t="shared" si="1"/>
        <v>K3</v>
      </c>
    </row>
    <row r="65" spans="1:7" ht="14.25" x14ac:dyDescent="0.45">
      <c r="A65" s="58"/>
    </row>
    <row r="66" spans="1:7" ht="14.25" x14ac:dyDescent="0.45">
      <c r="A66" s="58"/>
    </row>
    <row r="67" spans="1:7" ht="13.15" x14ac:dyDescent="0.4">
      <c r="A67" s="157" t="s">
        <v>48</v>
      </c>
      <c r="B67" s="157"/>
      <c r="C67" s="157"/>
      <c r="D67" s="114"/>
      <c r="F67" s="66"/>
      <c r="G67" s="66"/>
    </row>
    <row r="68" spans="1:7" ht="13.15" x14ac:dyDescent="0.4">
      <c r="A68" s="66" t="s">
        <v>49</v>
      </c>
      <c r="B68" s="66" t="s">
        <v>7</v>
      </c>
      <c r="C68" s="66" t="s">
        <v>50</v>
      </c>
      <c r="D68" s="66"/>
      <c r="F68" s="66" t="s">
        <v>51</v>
      </c>
      <c r="G68" s="66" t="s">
        <v>52</v>
      </c>
    </row>
    <row r="69" spans="1:7" ht="14.25" x14ac:dyDescent="0.45">
      <c r="A69" s="61" t="s">
        <v>13</v>
      </c>
      <c r="B69" s="62">
        <v>2.8762540817260742</v>
      </c>
      <c r="C69" s="62">
        <v>7.3043479919433594</v>
      </c>
      <c r="D69" s="62" t="str">
        <f>IF(AND(B69&gt;=$F$69,C69&gt;=$G$69),"K1",IF(AND(B69&lt;$F$69,C69&gt;=$G$69),"K2",IF(AND(B69&lt;$F$69,C69&lt;$G$69),"K3","K4")))</f>
        <v>K3</v>
      </c>
      <c r="F69" s="71">
        <f>AVERAGE(B69:B92)</f>
        <v>8.9126523633797969</v>
      </c>
      <c r="G69" s="71">
        <f>AVERAGE(C69:C92)</f>
        <v>11.345506921410561</v>
      </c>
    </row>
    <row r="70" spans="1:7" ht="14.25" x14ac:dyDescent="0.45">
      <c r="A70" s="55" t="s">
        <v>19</v>
      </c>
      <c r="B70" s="62">
        <v>3.0997304916381836</v>
      </c>
      <c r="C70" s="62">
        <v>3.3692722320556641</v>
      </c>
      <c r="D70" s="62" t="str">
        <f t="shared" ref="D70:D92" si="2">IF(AND(B70&gt;=$F$69,C70&gt;=$G$69),"K1",IF(AND(B70&lt;$F$69,C70&gt;=$G$69),"K2",IF(AND(B70&lt;$F$69,C70&lt;$G$69),"K3","K4")))</f>
        <v>K3</v>
      </c>
    </row>
    <row r="71" spans="1:7" ht="14.25" x14ac:dyDescent="0.45">
      <c r="A71" s="55" t="s">
        <v>21</v>
      </c>
      <c r="B71" s="62">
        <v>3.4013607501983643</v>
      </c>
      <c r="C71" s="62">
        <v>6.6666669845581055</v>
      </c>
      <c r="D71" s="62" t="str">
        <f t="shared" si="2"/>
        <v>K3</v>
      </c>
      <c r="F71" s="67" t="s">
        <v>55</v>
      </c>
      <c r="G71" s="69"/>
    </row>
    <row r="72" spans="1:7" ht="14.25" x14ac:dyDescent="0.45">
      <c r="A72" s="55" t="s">
        <v>24</v>
      </c>
      <c r="B72" s="62">
        <v>8.0907745361328125</v>
      </c>
      <c r="C72" s="62">
        <v>9.0281200408935547</v>
      </c>
      <c r="D72" s="62" t="str">
        <f t="shared" si="2"/>
        <v>K3</v>
      </c>
      <c r="F72" s="69">
        <f>$F$69</f>
        <v>8.9126523633797969</v>
      </c>
      <c r="G72" s="68">
        <v>0</v>
      </c>
    </row>
    <row r="73" spans="1:7" ht="14.25" x14ac:dyDescent="0.45">
      <c r="A73" s="55" t="s">
        <v>26</v>
      </c>
      <c r="B73" s="62">
        <v>8.5138540267944336</v>
      </c>
      <c r="C73" s="62">
        <v>14.105793952941895</v>
      </c>
      <c r="D73" s="62" t="str">
        <f t="shared" si="2"/>
        <v>K2</v>
      </c>
      <c r="F73" s="69">
        <f>$F$69</f>
        <v>8.9126523633797969</v>
      </c>
      <c r="G73" s="68">
        <f>MAX(C69:C92)*1.1</f>
        <v>39.285715484619146</v>
      </c>
    </row>
    <row r="74" spans="1:7" ht="14.25" x14ac:dyDescent="0.45">
      <c r="A74" s="55" t="s">
        <v>82</v>
      </c>
      <c r="B74" s="62">
        <v>11.973684310913086</v>
      </c>
      <c r="C74" s="62">
        <v>15.000000953674316</v>
      </c>
      <c r="D74" s="62" t="str">
        <f t="shared" si="2"/>
        <v>K1</v>
      </c>
      <c r="F74" s="67"/>
      <c r="G74" s="68"/>
    </row>
    <row r="75" spans="1:7" ht="14.25" x14ac:dyDescent="0.45">
      <c r="A75" s="58" t="s">
        <v>83</v>
      </c>
      <c r="B75" s="62">
        <v>3.7390611171722412</v>
      </c>
      <c r="C75" s="62">
        <v>35.640411376953125</v>
      </c>
      <c r="D75" s="62" t="str">
        <f t="shared" si="2"/>
        <v>K2</v>
      </c>
      <c r="F75" s="67" t="s">
        <v>60</v>
      </c>
      <c r="G75" s="68"/>
    </row>
    <row r="76" spans="1:7" ht="14.25" x14ac:dyDescent="0.45">
      <c r="A76" s="55" t="s">
        <v>30</v>
      </c>
      <c r="B76" s="62">
        <v>9.7271652221679688</v>
      </c>
      <c r="C76" s="62">
        <v>7.4733095169067383</v>
      </c>
      <c r="D76" s="62" t="str">
        <f t="shared" si="2"/>
        <v>K4</v>
      </c>
      <c r="F76" s="67">
        <v>0</v>
      </c>
      <c r="G76" s="68">
        <f>$G$69</f>
        <v>11.345506921410561</v>
      </c>
    </row>
    <row r="77" spans="1:7" ht="14.25" x14ac:dyDescent="0.45">
      <c r="A77" s="55" t="s">
        <v>31</v>
      </c>
      <c r="B77" s="62">
        <v>2.8538811206817627</v>
      </c>
      <c r="C77" s="62">
        <v>1.7123287916183472</v>
      </c>
      <c r="D77" s="62" t="str">
        <f t="shared" si="2"/>
        <v>K3</v>
      </c>
      <c r="F77" s="65">
        <f>MAX(B69:B92)*1.1</f>
        <v>19.999999809265137</v>
      </c>
      <c r="G77" s="68">
        <f>$G$69</f>
        <v>11.345506921410561</v>
      </c>
    </row>
    <row r="78" spans="1:7" ht="14.25" x14ac:dyDescent="0.45">
      <c r="A78" s="55" t="s">
        <v>32</v>
      </c>
      <c r="B78" s="62">
        <v>4.9382715225219727</v>
      </c>
      <c r="C78" s="62">
        <v>4.3209877014160156</v>
      </c>
      <c r="D78" s="62" t="str">
        <f t="shared" si="2"/>
        <v>K3</v>
      </c>
    </row>
    <row r="79" spans="1:7" ht="14.25" x14ac:dyDescent="0.45">
      <c r="A79" s="55" t="s">
        <v>33</v>
      </c>
      <c r="B79" s="62">
        <v>10.813542366027832</v>
      </c>
      <c r="C79" s="62">
        <v>12.63264274597168</v>
      </c>
      <c r="D79" s="62" t="str">
        <f t="shared" si="2"/>
        <v>K1</v>
      </c>
    </row>
    <row r="80" spans="1:7" ht="14.25" x14ac:dyDescent="0.45">
      <c r="A80" s="55" t="s">
        <v>84</v>
      </c>
      <c r="B80" s="62">
        <v>16.546762466430664</v>
      </c>
      <c r="C80" s="62">
        <v>7.1942448616027832</v>
      </c>
      <c r="D80" s="62" t="str">
        <f t="shared" si="2"/>
        <v>K4</v>
      </c>
    </row>
    <row r="81" spans="1:7" ht="14.25" x14ac:dyDescent="0.45">
      <c r="A81" s="55" t="s">
        <v>85</v>
      </c>
      <c r="B81" s="62">
        <v>9.9927330017089844</v>
      </c>
      <c r="C81" s="62">
        <v>9.9927330017089844</v>
      </c>
      <c r="D81" s="62" t="str">
        <f t="shared" si="2"/>
        <v>K4</v>
      </c>
    </row>
    <row r="82" spans="1:7" ht="14.25" x14ac:dyDescent="0.45">
      <c r="A82" s="55" t="s">
        <v>36</v>
      </c>
      <c r="B82" s="62">
        <v>4.0067720413208008</v>
      </c>
      <c r="C82" s="62">
        <v>4.57110595703125</v>
      </c>
      <c r="D82" s="62" t="str">
        <f t="shared" si="2"/>
        <v>K3</v>
      </c>
    </row>
    <row r="83" spans="1:7" ht="14.25" x14ac:dyDescent="0.45">
      <c r="A83" s="55" t="s">
        <v>37</v>
      </c>
      <c r="B83" s="62">
        <v>14.681892395019531</v>
      </c>
      <c r="C83" s="62">
        <v>14.845024108886719</v>
      </c>
      <c r="D83" s="62" t="str">
        <f t="shared" si="2"/>
        <v>K1</v>
      </c>
    </row>
    <row r="84" spans="1:7" ht="14.25" x14ac:dyDescent="0.45">
      <c r="A84" s="55" t="s">
        <v>86</v>
      </c>
      <c r="B84" s="62">
        <v>9.3230400085449219</v>
      </c>
      <c r="C84" s="62">
        <v>5.6413302421569824</v>
      </c>
      <c r="D84" s="62" t="str">
        <f t="shared" si="2"/>
        <v>K4</v>
      </c>
    </row>
    <row r="85" spans="1:7" ht="14.25" x14ac:dyDescent="0.45">
      <c r="A85" s="55" t="s">
        <v>87</v>
      </c>
      <c r="B85" s="62">
        <v>18.181818008422852</v>
      </c>
      <c r="C85" s="62">
        <v>22.038566589355469</v>
      </c>
      <c r="D85" s="62" t="str">
        <f t="shared" si="2"/>
        <v>K1</v>
      </c>
    </row>
    <row r="86" spans="1:7" ht="14.25" x14ac:dyDescent="0.45">
      <c r="A86" s="55" t="s">
        <v>40</v>
      </c>
      <c r="B86" s="62">
        <v>15.242880821228027</v>
      </c>
      <c r="C86" s="62">
        <v>9.7152423858642578</v>
      </c>
      <c r="D86" s="62" t="str">
        <f t="shared" si="2"/>
        <v>K4</v>
      </c>
    </row>
    <row r="87" spans="1:7" ht="14.25" x14ac:dyDescent="0.45">
      <c r="A87" s="55" t="s">
        <v>41</v>
      </c>
      <c r="B87" s="62">
        <v>10.8875732421875</v>
      </c>
      <c r="C87" s="62">
        <v>8.1656808853149414</v>
      </c>
      <c r="D87" s="62" t="str">
        <f t="shared" si="2"/>
        <v>K4</v>
      </c>
    </row>
    <row r="88" spans="1:7" ht="14.25" x14ac:dyDescent="0.45">
      <c r="A88" s="55" t="s">
        <v>88</v>
      </c>
      <c r="B88" s="62">
        <v>7.4358978271484375</v>
      </c>
      <c r="C88" s="62">
        <v>7.5641026496887207</v>
      </c>
      <c r="D88" s="62" t="str">
        <f t="shared" si="2"/>
        <v>K3</v>
      </c>
    </row>
    <row r="89" spans="1:7" ht="14.25" x14ac:dyDescent="0.45">
      <c r="A89" s="55" t="s">
        <v>43</v>
      </c>
      <c r="B89" s="62">
        <v>10.126582145690918</v>
      </c>
      <c r="C89" s="62">
        <v>6.1181435585021973</v>
      </c>
      <c r="D89" s="62" t="str">
        <f t="shared" si="2"/>
        <v>K4</v>
      </c>
    </row>
    <row r="90" spans="1:7" ht="14.25" x14ac:dyDescent="0.45">
      <c r="A90" s="55" t="s">
        <v>44</v>
      </c>
      <c r="B90" s="62">
        <v>5.2142858505249023</v>
      </c>
      <c r="C90" s="62">
        <v>35.714286804199219</v>
      </c>
      <c r="D90" s="62" t="str">
        <f t="shared" si="2"/>
        <v>K2</v>
      </c>
    </row>
    <row r="91" spans="1:7" ht="14.25" x14ac:dyDescent="0.45">
      <c r="A91" s="55" t="s">
        <v>45</v>
      </c>
      <c r="B91" s="62">
        <v>17.146018981933594</v>
      </c>
      <c r="C91" s="62">
        <v>21.681415557861328</v>
      </c>
      <c r="D91" s="62" t="str">
        <f t="shared" si="2"/>
        <v>K1</v>
      </c>
    </row>
    <row r="92" spans="1:7" ht="14.25" x14ac:dyDescent="0.45">
      <c r="A92" s="55" t="s">
        <v>89</v>
      </c>
      <c r="B92" s="62">
        <v>5.089820384979248</v>
      </c>
      <c r="C92" s="62">
        <v>1.7964072227478027</v>
      </c>
      <c r="D92" s="62" t="str">
        <f t="shared" si="2"/>
        <v>K3</v>
      </c>
    </row>
    <row r="94" spans="1:7" ht="13.15" x14ac:dyDescent="0.4">
      <c r="A94" s="157" t="s">
        <v>48</v>
      </c>
      <c r="B94" s="157"/>
      <c r="C94" s="157"/>
      <c r="D94" s="114"/>
      <c r="F94" s="66"/>
      <c r="G94" s="66"/>
    </row>
    <row r="95" spans="1:7" ht="13.15" x14ac:dyDescent="0.4">
      <c r="A95" s="66" t="s">
        <v>53</v>
      </c>
      <c r="B95" s="66" t="s">
        <v>7</v>
      </c>
      <c r="C95" s="66" t="s">
        <v>50</v>
      </c>
      <c r="D95" s="66"/>
      <c r="F95" s="66" t="s">
        <v>51</v>
      </c>
      <c r="G95" s="66" t="s">
        <v>52</v>
      </c>
    </row>
    <row r="96" spans="1:7" ht="14.25" x14ac:dyDescent="0.45">
      <c r="A96" s="58" t="s">
        <v>54</v>
      </c>
      <c r="B96" s="64">
        <v>1.1494252681732178</v>
      </c>
      <c r="C96" s="64">
        <v>4.5977010726928711</v>
      </c>
      <c r="D96" s="64" t="str">
        <f>IF(AND(B96&gt;=$F$96,C96&gt;=$G$96),"K1",IF(AND(B96&lt;$F$96,C96&gt;=$G$96),"K2",IF(AND(B96&lt;$F$96,C96&lt;$G$96),"K3","K4")))</f>
        <v>K3</v>
      </c>
      <c r="F96" s="71">
        <f>AVERAGE(B96:B129)</f>
        <v>4.2970574778669022</v>
      </c>
      <c r="G96" s="71">
        <f>AVERAGE(C96:C129)</f>
        <v>11.943857427905588</v>
      </c>
    </row>
    <row r="97" spans="1:7" ht="14.25" x14ac:dyDescent="0.45">
      <c r="A97" s="58" t="s">
        <v>17</v>
      </c>
      <c r="B97" s="64">
        <v>8.7816457748413086</v>
      </c>
      <c r="C97" s="64">
        <v>11.708860397338867</v>
      </c>
      <c r="D97" s="64" t="str">
        <f t="shared" ref="D97:D129" si="3">IF(AND(B97&gt;=$F$96,C97&gt;=$G$96),"K1",IF(AND(B97&lt;$F$96,C97&gt;=$G$96),"K2",IF(AND(B97&lt;$F$96,C97&lt;$G$96),"K3","K4")))</f>
        <v>K4</v>
      </c>
    </row>
    <row r="98" spans="1:7" ht="14.25" x14ac:dyDescent="0.45">
      <c r="A98" s="58" t="s">
        <v>56</v>
      </c>
      <c r="B98" s="64">
        <v>3.0612244606018066</v>
      </c>
      <c r="C98" s="64">
        <v>9.1836738586425781</v>
      </c>
      <c r="D98" s="64" t="str">
        <f t="shared" si="3"/>
        <v>K3</v>
      </c>
      <c r="F98" s="67" t="s">
        <v>55</v>
      </c>
      <c r="G98" s="69"/>
    </row>
    <row r="99" spans="1:7" ht="14.25" x14ac:dyDescent="0.45">
      <c r="A99" s="58" t="s">
        <v>57</v>
      </c>
      <c r="B99" s="64">
        <v>0.5181347131729126</v>
      </c>
      <c r="C99" s="64">
        <v>5.1813473701477051</v>
      </c>
      <c r="D99" s="64" t="str">
        <f t="shared" si="3"/>
        <v>K3</v>
      </c>
      <c r="F99" s="69">
        <f>$F$96</f>
        <v>4.2970574778669022</v>
      </c>
      <c r="G99" s="68">
        <v>0</v>
      </c>
    </row>
    <row r="100" spans="1:7" ht="14.25" x14ac:dyDescent="0.45">
      <c r="A100" s="58" t="s">
        <v>58</v>
      </c>
      <c r="B100" s="64">
        <v>1.0362694263458252</v>
      </c>
      <c r="C100" s="64">
        <v>10.36269474029541</v>
      </c>
      <c r="D100" s="64" t="str">
        <f t="shared" si="3"/>
        <v>K3</v>
      </c>
      <c r="F100" s="69">
        <f>$F$96</f>
        <v>4.2970574778669022</v>
      </c>
      <c r="G100" s="68">
        <f>MAX(C96:C129)*1.1</f>
        <v>35.159817504882817</v>
      </c>
    </row>
    <row r="101" spans="1:7" ht="14.25" x14ac:dyDescent="0.45">
      <c r="A101" s="58" t="s">
        <v>59</v>
      </c>
      <c r="B101" s="64">
        <v>4.5016074180603027</v>
      </c>
      <c r="C101" s="64">
        <v>8.0385847091674805</v>
      </c>
      <c r="D101" s="64" t="str">
        <f t="shared" si="3"/>
        <v>K4</v>
      </c>
      <c r="F101" s="67"/>
      <c r="G101" s="68"/>
    </row>
    <row r="102" spans="1:7" ht="14.25" x14ac:dyDescent="0.45">
      <c r="A102" s="58" t="s">
        <v>61</v>
      </c>
      <c r="B102" s="64">
        <v>0</v>
      </c>
      <c r="C102" s="64">
        <v>8.1081075668334961</v>
      </c>
      <c r="D102" s="64" t="str">
        <f t="shared" si="3"/>
        <v>K3</v>
      </c>
      <c r="F102" s="67" t="s">
        <v>60</v>
      </c>
      <c r="G102" s="68"/>
    </row>
    <row r="103" spans="1:7" ht="14.25" x14ac:dyDescent="0.45">
      <c r="A103" s="58" t="s">
        <v>62</v>
      </c>
      <c r="B103" s="64">
        <v>2.403846263885498</v>
      </c>
      <c r="C103" s="64">
        <v>7.9326920509338379</v>
      </c>
      <c r="D103" s="64" t="str">
        <f t="shared" si="3"/>
        <v>K3</v>
      </c>
      <c r="F103" s="67">
        <v>0</v>
      </c>
      <c r="G103" s="68">
        <f>$G$96</f>
        <v>11.943857427905588</v>
      </c>
    </row>
    <row r="104" spans="1:7" ht="14.25" x14ac:dyDescent="0.45">
      <c r="A104" s="58" t="s">
        <v>63</v>
      </c>
      <c r="B104" s="64">
        <v>3.6363635063171387</v>
      </c>
      <c r="C104" s="64">
        <v>23.636363983154297</v>
      </c>
      <c r="D104" s="64" t="str">
        <f t="shared" si="3"/>
        <v>K2</v>
      </c>
      <c r="F104" s="65">
        <f>MAX(B96:B129)*1.1</f>
        <v>38.675798416137695</v>
      </c>
      <c r="G104" s="68">
        <f>$G$96</f>
        <v>11.943857427905588</v>
      </c>
    </row>
    <row r="105" spans="1:7" ht="14.25" x14ac:dyDescent="0.45">
      <c r="A105" s="58" t="s">
        <v>23</v>
      </c>
      <c r="B105" s="64">
        <v>35.159816741943359</v>
      </c>
      <c r="C105" s="64">
        <v>31.963470458984375</v>
      </c>
      <c r="D105" s="64" t="str">
        <f t="shared" si="3"/>
        <v>K1</v>
      </c>
    </row>
    <row r="106" spans="1:7" ht="14.25" x14ac:dyDescent="0.45">
      <c r="A106" s="58" t="s">
        <v>64</v>
      </c>
      <c r="B106" s="64">
        <v>5.0963330268859863</v>
      </c>
      <c r="C106" s="64">
        <v>5.3449349403381348</v>
      </c>
      <c r="D106" s="64" t="str">
        <f t="shared" si="3"/>
        <v>K4</v>
      </c>
    </row>
    <row r="107" spans="1:7" ht="14.25" x14ac:dyDescent="0.45">
      <c r="A107" s="58" t="s">
        <v>15</v>
      </c>
      <c r="B107" s="64">
        <v>7.1264634132385254</v>
      </c>
      <c r="C107" s="64">
        <v>8.2510900497436523</v>
      </c>
      <c r="D107" s="64" t="str">
        <f t="shared" si="3"/>
        <v>K4</v>
      </c>
    </row>
    <row r="108" spans="1:7" ht="14.25" x14ac:dyDescent="0.45">
      <c r="A108" s="58" t="s">
        <v>16</v>
      </c>
      <c r="B108" s="64">
        <v>8.0108623504638672</v>
      </c>
      <c r="C108" s="64">
        <v>19.370899200439453</v>
      </c>
      <c r="D108" s="64" t="str">
        <f t="shared" si="3"/>
        <v>K1</v>
      </c>
    </row>
    <row r="109" spans="1:7" ht="14.25" x14ac:dyDescent="0.45">
      <c r="A109" s="58" t="s">
        <v>65</v>
      </c>
      <c r="B109" s="64">
        <v>6.8222618103027344</v>
      </c>
      <c r="C109" s="64">
        <v>24.057451248168945</v>
      </c>
      <c r="D109" s="64" t="str">
        <f t="shared" si="3"/>
        <v>K1</v>
      </c>
    </row>
    <row r="110" spans="1:7" ht="14.25" x14ac:dyDescent="0.45">
      <c r="A110" s="58" t="s">
        <v>14</v>
      </c>
      <c r="B110" s="64">
        <v>8.1613216400146484</v>
      </c>
      <c r="C110" s="64">
        <v>11.495713233947754</v>
      </c>
      <c r="D110" s="64" t="str">
        <f t="shared" si="3"/>
        <v>K4</v>
      </c>
    </row>
    <row r="111" spans="1:7" ht="14.25" x14ac:dyDescent="0.45">
      <c r="A111" s="58" t="s">
        <v>18</v>
      </c>
      <c r="B111" s="64">
        <v>6.2205958366394043</v>
      </c>
      <c r="C111" s="64">
        <v>5.0967068672180176</v>
      </c>
      <c r="D111" s="64" t="str">
        <f t="shared" si="3"/>
        <v>K4</v>
      </c>
    </row>
    <row r="112" spans="1:7" ht="14.25" x14ac:dyDescent="0.45">
      <c r="A112" s="58" t="s">
        <v>20</v>
      </c>
      <c r="B112" s="64">
        <v>10.823529243469238</v>
      </c>
      <c r="C112" s="64">
        <v>31.529411315917969</v>
      </c>
      <c r="D112" s="64" t="str">
        <f t="shared" si="3"/>
        <v>K1</v>
      </c>
    </row>
    <row r="113" spans="1:4" ht="14.25" x14ac:dyDescent="0.45">
      <c r="A113" s="58" t="s">
        <v>22</v>
      </c>
      <c r="B113" s="64">
        <v>0</v>
      </c>
      <c r="C113" s="64">
        <v>0.94339621067047119</v>
      </c>
      <c r="D113" s="64" t="str">
        <f t="shared" si="3"/>
        <v>K3</v>
      </c>
    </row>
    <row r="114" spans="1:4" ht="14.25" x14ac:dyDescent="0.45">
      <c r="A114" s="58" t="s">
        <v>66</v>
      </c>
      <c r="B114" s="64">
        <v>1.3157894611358643</v>
      </c>
      <c r="C114" s="64">
        <v>1.3157894611358643</v>
      </c>
      <c r="D114" s="64" t="str">
        <f t="shared" si="3"/>
        <v>K3</v>
      </c>
    </row>
    <row r="115" spans="1:4" ht="14.25" x14ac:dyDescent="0.45">
      <c r="A115" s="58" t="s">
        <v>67</v>
      </c>
      <c r="B115" s="64">
        <v>6.0606060028076172</v>
      </c>
      <c r="C115" s="64">
        <v>9.0909090042114258</v>
      </c>
      <c r="D115" s="64" t="str">
        <f t="shared" si="3"/>
        <v>K4</v>
      </c>
    </row>
    <row r="116" spans="1:4" ht="14.25" x14ac:dyDescent="0.45">
      <c r="A116" s="58" t="s">
        <v>68</v>
      </c>
      <c r="B116" s="64">
        <v>0</v>
      </c>
      <c r="C116" s="64">
        <v>6.6265063285827637</v>
      </c>
      <c r="D116" s="64" t="str">
        <f t="shared" si="3"/>
        <v>K3</v>
      </c>
    </row>
    <row r="117" spans="1:4" ht="14.25" x14ac:dyDescent="0.45">
      <c r="A117" s="58" t="s">
        <v>69</v>
      </c>
      <c r="B117" s="64">
        <v>1.8099548816680908</v>
      </c>
      <c r="C117" s="64">
        <v>12.217194557189941</v>
      </c>
      <c r="D117" s="64" t="str">
        <f t="shared" si="3"/>
        <v>K2</v>
      </c>
    </row>
    <row r="118" spans="1:4" ht="14.25" x14ac:dyDescent="0.45">
      <c r="A118" s="58" t="s">
        <v>47</v>
      </c>
      <c r="B118" s="64">
        <v>1.7730497121810913</v>
      </c>
      <c r="C118" s="64">
        <v>3.5460994243621826</v>
      </c>
      <c r="D118" s="64" t="str">
        <f t="shared" si="3"/>
        <v>K3</v>
      </c>
    </row>
    <row r="119" spans="1:4" ht="14.25" x14ac:dyDescent="0.45">
      <c r="A119" s="58" t="s">
        <v>70</v>
      </c>
      <c r="B119" s="64">
        <v>0</v>
      </c>
      <c r="C119" s="64">
        <v>21.052631378173828</v>
      </c>
      <c r="D119" s="64" t="str">
        <f t="shared" si="3"/>
        <v>K2</v>
      </c>
    </row>
    <row r="120" spans="1:4" ht="14.25" x14ac:dyDescent="0.45">
      <c r="A120" s="58" t="s">
        <v>71</v>
      </c>
      <c r="B120" s="64">
        <v>7.407407283782959</v>
      </c>
      <c r="C120" s="64">
        <v>21.296297073364258</v>
      </c>
      <c r="D120" s="64" t="str">
        <f t="shared" si="3"/>
        <v>K1</v>
      </c>
    </row>
    <row r="121" spans="1:4" ht="14.25" x14ac:dyDescent="0.45">
      <c r="A121" s="58" t="s">
        <v>72</v>
      </c>
      <c r="B121" s="64">
        <v>6.3829789161682129</v>
      </c>
      <c r="C121" s="64">
        <v>18.085105895996094</v>
      </c>
      <c r="D121" s="64" t="str">
        <f t="shared" si="3"/>
        <v>K1</v>
      </c>
    </row>
    <row r="122" spans="1:4" ht="14.25" x14ac:dyDescent="0.45">
      <c r="A122" s="58" t="s">
        <v>73</v>
      </c>
      <c r="B122" s="64">
        <v>2.1459226608276367</v>
      </c>
      <c r="C122" s="64">
        <v>8.5836906433105469</v>
      </c>
      <c r="D122" s="64" t="str">
        <f t="shared" si="3"/>
        <v>K3</v>
      </c>
    </row>
    <row r="123" spans="1:4" ht="14.25" x14ac:dyDescent="0.45">
      <c r="A123" s="58" t="s">
        <v>74</v>
      </c>
      <c r="B123" s="64">
        <v>0.746268630027771</v>
      </c>
      <c r="C123" s="64">
        <v>5.2238807678222656</v>
      </c>
      <c r="D123" s="64" t="str">
        <f t="shared" si="3"/>
        <v>K3</v>
      </c>
    </row>
    <row r="124" spans="1:4" ht="14.25" x14ac:dyDescent="0.45">
      <c r="A124" s="58" t="s">
        <v>75</v>
      </c>
      <c r="B124" s="64">
        <v>3.4482758045196533</v>
      </c>
      <c r="C124" s="64">
        <v>3.4482758045196533</v>
      </c>
      <c r="D124" s="64" t="str">
        <f t="shared" si="3"/>
        <v>K3</v>
      </c>
    </row>
    <row r="125" spans="1:4" ht="14.25" x14ac:dyDescent="0.45">
      <c r="A125" s="58" t="s">
        <v>76</v>
      </c>
      <c r="B125" s="64">
        <v>0</v>
      </c>
      <c r="C125" s="64">
        <v>11.111111640930176</v>
      </c>
      <c r="D125" s="64" t="str">
        <f t="shared" si="3"/>
        <v>K3</v>
      </c>
    </row>
    <row r="126" spans="1:4" ht="14.25" x14ac:dyDescent="0.45">
      <c r="A126" s="58" t="s">
        <v>77</v>
      </c>
      <c r="B126" s="64">
        <v>0</v>
      </c>
      <c r="C126" s="64">
        <v>21.052631378173828</v>
      </c>
      <c r="D126" s="64" t="str">
        <f t="shared" si="3"/>
        <v>K2</v>
      </c>
    </row>
    <row r="127" spans="1:4" ht="14.25" x14ac:dyDescent="0.45">
      <c r="A127" s="58" t="s">
        <v>78</v>
      </c>
      <c r="B127" s="64">
        <v>0</v>
      </c>
      <c r="C127" s="64">
        <v>24.137929916381836</v>
      </c>
      <c r="D127" s="64" t="str">
        <f t="shared" si="3"/>
        <v>K2</v>
      </c>
    </row>
    <row r="128" spans="1:4" ht="14.25" x14ac:dyDescent="0.45">
      <c r="A128" s="58" t="s">
        <v>79</v>
      </c>
      <c r="B128" s="64">
        <v>2.5</v>
      </c>
      <c r="C128" s="64">
        <v>12.5</v>
      </c>
      <c r="D128" s="64" t="str">
        <f t="shared" si="3"/>
        <v>K2</v>
      </c>
    </row>
    <row r="129" spans="1:4" ht="14.25" x14ac:dyDescent="0.45">
      <c r="A129" s="58" t="s">
        <v>80</v>
      </c>
      <c r="B129" s="64">
        <v>0</v>
      </c>
      <c r="C129" s="64">
        <v>0</v>
      </c>
      <c r="D129" s="64" t="str">
        <f t="shared" si="3"/>
        <v>K3</v>
      </c>
    </row>
  </sheetData>
  <mergeCells count="12">
    <mergeCell ref="A67:C67"/>
    <mergeCell ref="A94:C94"/>
    <mergeCell ref="F2:F3"/>
    <mergeCell ref="G2:G3"/>
    <mergeCell ref="F29:F30"/>
    <mergeCell ref="G29:G30"/>
    <mergeCell ref="A2:C2"/>
    <mergeCell ref="A29:C29"/>
    <mergeCell ref="F43:F44"/>
    <mergeCell ref="G43:G44"/>
    <mergeCell ref="F14:F15"/>
    <mergeCell ref="G14:G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BEE80-9327-BD45-BE34-C9F52F9802AC}">
  <dimension ref="A1:X1002"/>
  <sheetViews>
    <sheetView zoomScale="59" workbookViewId="0">
      <selection activeCell="B18" sqref="B18"/>
    </sheetView>
  </sheetViews>
  <sheetFormatPr defaultColWidth="11.265625" defaultRowHeight="12.75" x14ac:dyDescent="0.35"/>
  <cols>
    <col min="1" max="1" width="10.86328125"/>
    <col min="2" max="2" width="50.1328125" customWidth="1"/>
    <col min="3" max="3" width="14.265625" customWidth="1"/>
    <col min="19" max="24" width="11.265625" style="90"/>
  </cols>
  <sheetData>
    <row r="1" spans="1:24" x14ac:dyDescent="0.35">
      <c r="A1" s="49"/>
      <c r="B1" s="49"/>
      <c r="C1" s="50"/>
    </row>
    <row r="2" spans="1:24" ht="14.25" x14ac:dyDescent="0.35">
      <c r="A2" s="53" t="s">
        <v>90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91"/>
      <c r="T2" s="91"/>
      <c r="U2" s="91"/>
      <c r="V2" s="91"/>
      <c r="W2" s="91"/>
      <c r="X2" s="91"/>
    </row>
    <row r="3" spans="1:24" ht="14.25" x14ac:dyDescent="0.35">
      <c r="A3" s="162" t="s">
        <v>91</v>
      </c>
      <c r="B3" s="162" t="s">
        <v>92</v>
      </c>
      <c r="C3" s="116" t="s">
        <v>50</v>
      </c>
      <c r="D3" s="162" t="s">
        <v>7</v>
      </c>
      <c r="E3" s="162"/>
      <c r="F3" s="162"/>
      <c r="G3" s="162"/>
      <c r="H3" s="162"/>
      <c r="I3" s="162"/>
      <c r="J3" s="162"/>
      <c r="K3" s="162" t="s">
        <v>93</v>
      </c>
      <c r="L3" s="162"/>
      <c r="M3" s="162"/>
      <c r="N3" s="162"/>
      <c r="O3" s="162"/>
      <c r="P3" s="162"/>
      <c r="Q3" s="162"/>
      <c r="R3" s="162" t="s">
        <v>94</v>
      </c>
      <c r="S3" s="162"/>
      <c r="T3" s="162"/>
      <c r="U3" s="162"/>
      <c r="V3" s="162"/>
      <c r="W3" s="162"/>
      <c r="X3" s="162"/>
    </row>
    <row r="4" spans="1:24" s="6" customFormat="1" ht="14.25" x14ac:dyDescent="0.35">
      <c r="A4" s="163"/>
      <c r="B4" s="163"/>
      <c r="C4" s="60">
        <v>2015</v>
      </c>
      <c r="D4" s="60">
        <v>2015</v>
      </c>
      <c r="E4" s="60">
        <v>2017</v>
      </c>
      <c r="F4" s="60">
        <v>2018</v>
      </c>
      <c r="G4" s="60">
        <v>2019</v>
      </c>
      <c r="H4" s="60">
        <v>2020</v>
      </c>
      <c r="I4" s="60">
        <v>2021</v>
      </c>
      <c r="J4" s="60">
        <v>2022</v>
      </c>
      <c r="K4" s="60">
        <v>2015</v>
      </c>
      <c r="L4" s="60">
        <v>2017</v>
      </c>
      <c r="M4" s="60">
        <v>2018</v>
      </c>
      <c r="N4" s="60">
        <v>2019</v>
      </c>
      <c r="O4" s="60">
        <v>2020</v>
      </c>
      <c r="P4" s="60">
        <v>2021</v>
      </c>
      <c r="Q4" s="60">
        <v>2022</v>
      </c>
      <c r="R4" s="60">
        <v>2015</v>
      </c>
      <c r="S4" s="89">
        <v>2017</v>
      </c>
      <c r="T4" s="89">
        <v>2018</v>
      </c>
      <c r="U4" s="89">
        <v>2019</v>
      </c>
      <c r="V4" s="89">
        <v>2020</v>
      </c>
      <c r="W4" s="89">
        <v>2021</v>
      </c>
      <c r="X4" s="89">
        <v>2022</v>
      </c>
    </row>
    <row r="5" spans="1:24" ht="14.25" x14ac:dyDescent="0.45">
      <c r="A5" s="54">
        <v>10</v>
      </c>
      <c r="B5" s="55" t="s">
        <v>13</v>
      </c>
      <c r="C5" s="56">
        <f>'Data IBS per Tahun'!C5</f>
        <v>57.76</v>
      </c>
      <c r="D5" s="57">
        <f>'Data IBS per Tahun'!F5</f>
        <v>10.286594567680474</v>
      </c>
      <c r="E5" s="57">
        <f>'Data IBS per Tahun'!O5</f>
        <v>3.9071188711875484</v>
      </c>
      <c r="F5" s="57">
        <f>'Data IBS per Tahun'!X5</f>
        <v>6.0050080579424838</v>
      </c>
      <c r="G5" s="57">
        <f>'Data IBS per Tahun'!AG5</f>
        <v>7.981134772025503</v>
      </c>
      <c r="H5" s="57">
        <f>'Data IBS per Tahun'!AP5</f>
        <v>10.876491507485486</v>
      </c>
      <c r="I5" s="57">
        <f>'Data IBS per Tahun'!AY5</f>
        <v>8.0643363492341944</v>
      </c>
      <c r="J5" s="57">
        <f>'Data IBS per Tahun'!BH5</f>
        <v>8.0222860296647056</v>
      </c>
      <c r="K5" s="57">
        <f>'Data IBS per Tahun'!I5</f>
        <v>4.9471794346050109</v>
      </c>
      <c r="L5" s="57">
        <f>'Data IBS per Tahun'!R5</f>
        <v>2.1335904201524345</v>
      </c>
      <c r="M5" s="57">
        <f>'Data IBS per Tahun'!AA5</f>
        <v>2.7777809591632705</v>
      </c>
      <c r="N5" s="57">
        <f>'Data IBS per Tahun'!AJ5</f>
        <v>1.7362296443023433</v>
      </c>
      <c r="O5" s="57">
        <f>'Data IBS per Tahun'!AS5</f>
        <v>1.63164301768569</v>
      </c>
      <c r="P5" s="57">
        <f>'Data IBS per Tahun'!BB5</f>
        <v>1.2295313619020298</v>
      </c>
      <c r="Q5" s="57">
        <f>'Data IBS per Tahun'!BK5</f>
        <v>1.7244096658243349</v>
      </c>
      <c r="R5" s="57">
        <f>'Data IBS per Tahun'!L5</f>
        <v>4.249545041745062</v>
      </c>
      <c r="S5" s="57">
        <f>'Data IBS per Tahun'!U5</f>
        <v>4.1298754311064494</v>
      </c>
      <c r="T5" s="57">
        <f>'Data IBS per Tahun'!AD5</f>
        <v>4.6004015439017509</v>
      </c>
      <c r="U5" s="57">
        <f>'Data IBS per Tahun'!AM5</f>
        <v>4.689495014399844</v>
      </c>
      <c r="V5" s="57">
        <f>'Data IBS per Tahun'!AV5</f>
        <v>4.5262182484550078</v>
      </c>
      <c r="W5" s="57">
        <f>'Data IBS per Tahun'!BE5</f>
        <v>4.0736086237447307</v>
      </c>
      <c r="X5" s="57">
        <f>'Data IBS per Tahun'!BN5</f>
        <v>3.7494465575515048</v>
      </c>
    </row>
    <row r="6" spans="1:24" ht="14.25" x14ac:dyDescent="0.45">
      <c r="A6" s="54">
        <v>11</v>
      </c>
      <c r="B6" s="55" t="s">
        <v>19</v>
      </c>
      <c r="C6" s="56">
        <f>'Data IBS per Tahun'!C6</f>
        <v>12.08</v>
      </c>
      <c r="D6" s="57">
        <f>'Data IBS per Tahun'!F6</f>
        <v>18.341960735669293</v>
      </c>
      <c r="E6" s="57">
        <f>'Data IBS per Tahun'!O6</f>
        <v>8.3242182112409928</v>
      </c>
      <c r="F6" s="57">
        <f>'Data IBS per Tahun'!X6</f>
        <v>8.9451197345970694</v>
      </c>
      <c r="G6" s="57">
        <f>'Data IBS per Tahun'!AG6</f>
        <v>4.9321992269442445</v>
      </c>
      <c r="H6" s="57">
        <f>'Data IBS per Tahun'!AP6</f>
        <v>7.6222475413826274</v>
      </c>
      <c r="I6" s="57">
        <f>'Data IBS per Tahun'!AY6</f>
        <v>11.781226506141858</v>
      </c>
      <c r="J6" s="57">
        <f>'Data IBS per Tahun'!BH6</f>
        <v>14.65939244374902</v>
      </c>
      <c r="K6" s="57">
        <f>'Data IBS per Tahun'!I6</f>
        <v>11.358543482886493</v>
      </c>
      <c r="L6" s="57">
        <f>'Data IBS per Tahun'!R6</f>
        <v>9.0520401379415567</v>
      </c>
      <c r="M6" s="57">
        <f>'Data IBS per Tahun'!AA6</f>
        <v>8.600780188326949</v>
      </c>
      <c r="N6" s="57">
        <f>'Data IBS per Tahun'!AJ6</f>
        <v>4.1983326970934627</v>
      </c>
      <c r="O6" s="57">
        <f>'Data IBS per Tahun'!AS6</f>
        <v>6.7975942783627508</v>
      </c>
      <c r="P6" s="57">
        <f>'Data IBS per Tahun'!BB6</f>
        <v>9.5615078510359677</v>
      </c>
      <c r="Q6" s="57">
        <f>'Data IBS per Tahun'!BK6</f>
        <v>9.6004283776463204</v>
      </c>
      <c r="R6" s="57">
        <f>'Data IBS per Tahun'!L6</f>
        <v>20.340764414246237</v>
      </c>
      <c r="S6" s="57">
        <f>'Data IBS per Tahun'!U6</f>
        <v>30.062742281483644</v>
      </c>
      <c r="T6" s="57">
        <f>'Data IBS per Tahun'!AD6</f>
        <v>16.6046861175308</v>
      </c>
      <c r="U6" s="57">
        <f>'Data IBS per Tahun'!AM6</f>
        <v>16.059615838054199</v>
      </c>
      <c r="V6" s="57">
        <f>'Data IBS per Tahun'!AV6</f>
        <v>16.303494598753872</v>
      </c>
      <c r="W6" s="57">
        <f>'Data IBS per Tahun'!BE6</f>
        <v>22.352722640304769</v>
      </c>
      <c r="X6" s="57">
        <f>'Data IBS per Tahun'!BN6</f>
        <v>23.955095609502887</v>
      </c>
    </row>
    <row r="7" spans="1:24" ht="14.25" x14ac:dyDescent="0.45">
      <c r="A7" s="54">
        <v>12</v>
      </c>
      <c r="B7" s="55" t="s">
        <v>21</v>
      </c>
      <c r="C7" s="56">
        <f>'Data IBS per Tahun'!C7</f>
        <v>49.95</v>
      </c>
      <c r="D7" s="57">
        <f>'Data IBS per Tahun'!F7</f>
        <v>5.2597780770835385</v>
      </c>
      <c r="E7" s="57">
        <f>'Data IBS per Tahun'!O7</f>
        <v>6.7192595758313116</v>
      </c>
      <c r="F7" s="57">
        <f>'Data IBS per Tahun'!X7</f>
        <v>2.2803570126711081</v>
      </c>
      <c r="G7" s="57">
        <f>'Data IBS per Tahun'!AG7</f>
        <v>10.604224529751708</v>
      </c>
      <c r="H7" s="57">
        <f>'Data IBS per Tahun'!AP7</f>
        <v>3.5517355726821109</v>
      </c>
      <c r="I7" s="57">
        <f>'Data IBS per Tahun'!AY7</f>
        <v>4.1333654557679154</v>
      </c>
      <c r="J7" s="57">
        <f>'Data IBS per Tahun'!BH7</f>
        <v>6.8926004130794931</v>
      </c>
      <c r="K7" s="57">
        <f>'Data IBS per Tahun'!I7</f>
        <v>7.4135049025617921</v>
      </c>
      <c r="L7" s="57">
        <f>'Data IBS per Tahun'!R7</f>
        <v>1.7253626063343752</v>
      </c>
      <c r="M7" s="57">
        <f>'Data IBS per Tahun'!AA7</f>
        <v>1.5584029682553433</v>
      </c>
      <c r="N7" s="57">
        <f>'Data IBS per Tahun'!AJ7</f>
        <v>0.71497094916889581</v>
      </c>
      <c r="O7" s="57">
        <f>'Data IBS per Tahun'!AS7</f>
        <v>0.5439275990499044</v>
      </c>
      <c r="P7" s="57">
        <f>'Data IBS per Tahun'!BB7</f>
        <v>1.7836267756773934</v>
      </c>
      <c r="Q7" s="57">
        <f>'Data IBS per Tahun'!BK7</f>
        <v>0.83883462045356172</v>
      </c>
      <c r="R7" s="57">
        <f>'Data IBS per Tahun'!L7</f>
        <v>10.04008427985057</v>
      </c>
      <c r="S7" s="57">
        <f>'Data IBS per Tahun'!U7</f>
        <v>15.755683785374325</v>
      </c>
      <c r="T7" s="57">
        <f>'Data IBS per Tahun'!AD7</f>
        <v>6.1901252036796102</v>
      </c>
      <c r="U7" s="57">
        <f>'Data IBS per Tahun'!AM7</f>
        <v>12.808096107824188</v>
      </c>
      <c r="V7" s="57">
        <f>'Data IBS per Tahun'!AV7</f>
        <v>11.889188879057068</v>
      </c>
      <c r="W7" s="57">
        <f>'Data IBS per Tahun'!BE7</f>
        <v>12.486688030095474</v>
      </c>
      <c r="X7" s="57">
        <f>'Data IBS per Tahun'!BN7</f>
        <v>11.533096842104383</v>
      </c>
    </row>
    <row r="8" spans="1:24" ht="14.25" x14ac:dyDescent="0.45">
      <c r="A8" s="54">
        <v>13</v>
      </c>
      <c r="B8" s="55" t="s">
        <v>24</v>
      </c>
      <c r="C8" s="56">
        <f>'Data IBS per Tahun'!C8</f>
        <v>40.83</v>
      </c>
      <c r="D8" s="57">
        <f>'Data IBS per Tahun'!F8</f>
        <v>23.877255110781192</v>
      </c>
      <c r="E8" s="57">
        <f>'Data IBS per Tahun'!O8</f>
        <v>28.023788838335406</v>
      </c>
      <c r="F8" s="57">
        <f>'Data IBS per Tahun'!X8</f>
        <v>28.705486916464629</v>
      </c>
      <c r="G8" s="57">
        <f>'Data IBS per Tahun'!AG8</f>
        <v>22.757642971177837</v>
      </c>
      <c r="H8" s="57">
        <f>'Data IBS per Tahun'!AP8</f>
        <v>30.603991083986532</v>
      </c>
      <c r="I8" s="57">
        <f>'Data IBS per Tahun'!AY8</f>
        <v>20.838298119082417</v>
      </c>
      <c r="J8" s="57">
        <f>'Data IBS per Tahun'!BH8</f>
        <v>34.801635455651137</v>
      </c>
      <c r="K8" s="57">
        <f>'Data IBS per Tahun'!I8</f>
        <v>17.823804711767913</v>
      </c>
      <c r="L8" s="57">
        <f>'Data IBS per Tahun'!R8</f>
        <v>13.054769898547242</v>
      </c>
      <c r="M8" s="57">
        <f>'Data IBS per Tahun'!AA8</f>
        <v>10.635997371761066</v>
      </c>
      <c r="N8" s="57">
        <f>'Data IBS per Tahun'!AJ8</f>
        <v>5.6076434602822687</v>
      </c>
      <c r="O8" s="57">
        <f>'Data IBS per Tahun'!AS8</f>
        <v>5.6081107528006982</v>
      </c>
      <c r="P8" s="57">
        <f>'Data IBS per Tahun'!BB8</f>
        <v>3.8396151417606266</v>
      </c>
      <c r="Q8" s="57">
        <f>'Data IBS per Tahun'!BK8</f>
        <v>8.3422447550376084</v>
      </c>
      <c r="R8" s="57">
        <f>'Data IBS per Tahun'!L8</f>
        <v>7.6056082522672792</v>
      </c>
      <c r="S8" s="57">
        <f>'Data IBS per Tahun'!U8</f>
        <v>18.543663093049993</v>
      </c>
      <c r="T8" s="57">
        <f>'Data IBS per Tahun'!AD8</f>
        <v>12.733929154517748</v>
      </c>
      <c r="U8" s="57">
        <f>'Data IBS per Tahun'!AM8</f>
        <v>12.40838686075884</v>
      </c>
      <c r="V8" s="57">
        <f>'Data IBS per Tahun'!AV8</f>
        <v>11.139974169441464</v>
      </c>
      <c r="W8" s="57">
        <f>'Data IBS per Tahun'!BE8</f>
        <v>11.087166203422191</v>
      </c>
      <c r="X8" s="57">
        <f>'Data IBS per Tahun'!BN8</f>
        <v>13.701183256522301</v>
      </c>
    </row>
    <row r="9" spans="1:24" ht="14.25" x14ac:dyDescent="0.45">
      <c r="A9" s="54">
        <v>14</v>
      </c>
      <c r="B9" s="55" t="s">
        <v>26</v>
      </c>
      <c r="C9" s="56">
        <f>'Data IBS per Tahun'!C9</f>
        <v>62.03</v>
      </c>
      <c r="D9" s="57">
        <f>'Data IBS per Tahun'!F9</f>
        <v>40.379094559229671</v>
      </c>
      <c r="E9" s="57">
        <f>'Data IBS per Tahun'!O9</f>
        <v>56.641039559880291</v>
      </c>
      <c r="F9" s="57">
        <f>'Data IBS per Tahun'!X9</f>
        <v>56.414638285365051</v>
      </c>
      <c r="G9" s="57">
        <f>'Data IBS per Tahun'!AG9</f>
        <v>44.477050803254805</v>
      </c>
      <c r="H9" s="57">
        <f>'Data IBS per Tahun'!AP9</f>
        <v>55.366891226411852</v>
      </c>
      <c r="I9" s="57">
        <f>'Data IBS per Tahun'!AY9</f>
        <v>78.395509936675381</v>
      </c>
      <c r="J9" s="57">
        <f>'Data IBS per Tahun'!BH9</f>
        <v>70.847882084912214</v>
      </c>
      <c r="K9" s="57">
        <f>'Data IBS per Tahun'!I9</f>
        <v>10.800689649758269</v>
      </c>
      <c r="L9" s="57">
        <f>'Data IBS per Tahun'!R9</f>
        <v>8.3919588270712584</v>
      </c>
      <c r="M9" s="57">
        <f>'Data IBS per Tahun'!AA9</f>
        <v>4.2742892342454741</v>
      </c>
      <c r="N9" s="57">
        <f>'Data IBS per Tahun'!AJ9</f>
        <v>3.0782238799411661</v>
      </c>
      <c r="O9" s="57">
        <f>'Data IBS per Tahun'!AS9</f>
        <v>5.504097957194368</v>
      </c>
      <c r="P9" s="57">
        <f>'Data IBS per Tahun'!BB9</f>
        <v>2.8376336748746653</v>
      </c>
      <c r="Q9" s="57">
        <f>'Data IBS per Tahun'!BK9</f>
        <v>4.0545559693658921</v>
      </c>
      <c r="R9" s="57">
        <f>'Data IBS per Tahun'!L9</f>
        <v>24.345767561821468</v>
      </c>
      <c r="S9" s="57">
        <f>'Data IBS per Tahun'!U9</f>
        <v>80.849354843601901</v>
      </c>
      <c r="T9" s="57">
        <f>'Data IBS per Tahun'!AD9</f>
        <v>48.754276790573101</v>
      </c>
      <c r="U9" s="57">
        <f>'Data IBS per Tahun'!AM9</f>
        <v>33.690627814075988</v>
      </c>
      <c r="V9" s="57">
        <f>'Data IBS per Tahun'!AV9</f>
        <v>36.721966603513792</v>
      </c>
      <c r="W9" s="57">
        <f>'Data IBS per Tahun'!BE9</f>
        <v>22.259561663635651</v>
      </c>
      <c r="X9" s="57">
        <f>'Data IBS per Tahun'!BN9</f>
        <v>30.579504128984496</v>
      </c>
    </row>
    <row r="10" spans="1:24" ht="14.25" x14ac:dyDescent="0.45">
      <c r="A10" s="143">
        <v>15</v>
      </c>
      <c r="B10" s="55" t="s">
        <v>82</v>
      </c>
      <c r="C10" s="56">
        <f>'Data IBS per Tahun'!C10</f>
        <v>43.65</v>
      </c>
      <c r="D10" s="57">
        <f>'Data IBS per Tahun'!F10</f>
        <v>27.327824570038771</v>
      </c>
      <c r="E10" s="57">
        <f>'Data IBS per Tahun'!O10</f>
        <v>33.007514112906051</v>
      </c>
      <c r="F10" s="57">
        <f>'Data IBS per Tahun'!X10</f>
        <v>36.167702985627272</v>
      </c>
      <c r="G10" s="57">
        <f>'Data IBS per Tahun'!AG10</f>
        <v>41.880489199091272</v>
      </c>
      <c r="H10" s="57">
        <f>'Data IBS per Tahun'!AP10</f>
        <v>43.654115436682659</v>
      </c>
      <c r="I10" s="57">
        <f>'Data IBS per Tahun'!AY10</f>
        <v>51.828069677190548</v>
      </c>
      <c r="J10" s="57">
        <f>'Data IBS per Tahun'!BH10</f>
        <v>34.884553812448239</v>
      </c>
      <c r="K10" s="57">
        <f>'Data IBS per Tahun'!I10</f>
        <v>11.240077822877753</v>
      </c>
      <c r="L10" s="57">
        <f>'Data IBS per Tahun'!R10</f>
        <v>4.9154874321296198</v>
      </c>
      <c r="M10" s="57">
        <f>'Data IBS per Tahun'!AA10</f>
        <v>10.483625955885982</v>
      </c>
      <c r="N10" s="57">
        <f>'Data IBS per Tahun'!AJ10</f>
        <v>28.749537930919239</v>
      </c>
      <c r="O10" s="57">
        <f>'Data IBS per Tahun'!AS10</f>
        <v>2.9476272142762716</v>
      </c>
      <c r="P10" s="57">
        <f>'Data IBS per Tahun'!BB10</f>
        <v>0.87392718742276676</v>
      </c>
      <c r="Q10" s="57">
        <f>'Data IBS per Tahun'!BK10</f>
        <v>2.2432006357541274</v>
      </c>
      <c r="R10" s="57">
        <f>'Data IBS per Tahun'!L10</f>
        <v>32.537282068493894</v>
      </c>
      <c r="S10" s="57">
        <f>'Data IBS per Tahun'!U10</f>
        <v>38.631894496779736</v>
      </c>
      <c r="T10" s="57">
        <f>'Data IBS per Tahun'!AD10</f>
        <v>26.456133995843757</v>
      </c>
      <c r="U10" s="57">
        <f>'Data IBS per Tahun'!AM10</f>
        <v>53.068453214041881</v>
      </c>
      <c r="V10" s="57">
        <f>'Data IBS per Tahun'!AV10</f>
        <v>41.376520602300445</v>
      </c>
      <c r="W10" s="57">
        <f>'Data IBS per Tahun'!BE10</f>
        <v>28.334449004914745</v>
      </c>
      <c r="X10" s="57">
        <f>'Data IBS per Tahun'!BN10</f>
        <v>34.188984924723087</v>
      </c>
    </row>
    <row r="11" spans="1:24" ht="28.5" x14ac:dyDescent="0.45">
      <c r="A11" s="54">
        <v>16</v>
      </c>
      <c r="B11" s="55" t="s">
        <v>83</v>
      </c>
      <c r="C11" s="56">
        <f>'Data IBS per Tahun'!C11</f>
        <v>69.819999999999993</v>
      </c>
      <c r="D11" s="57">
        <f>'Data IBS per Tahun'!F11</f>
        <v>6.8987478009938261</v>
      </c>
      <c r="E11" s="57">
        <f>'Data IBS per Tahun'!O11</f>
        <v>6.3386315297419822</v>
      </c>
      <c r="F11" s="57">
        <f>'Data IBS per Tahun'!X11</f>
        <v>5.2276787587026128</v>
      </c>
      <c r="G11" s="57">
        <f>'Data IBS per Tahun'!AG11</f>
        <v>4.7081499844801034</v>
      </c>
      <c r="H11" s="57">
        <f>'Data IBS per Tahun'!AP11</f>
        <v>4.9220472580469581</v>
      </c>
      <c r="I11" s="57">
        <f>'Data IBS per Tahun'!AY11</f>
        <v>4.6126491031181427</v>
      </c>
      <c r="J11" s="57">
        <f>'Data IBS per Tahun'!BH11</f>
        <v>6.4480895367788404</v>
      </c>
      <c r="K11" s="57">
        <f>'Data IBS per Tahun'!I11</f>
        <v>9.1308046478548768</v>
      </c>
      <c r="L11" s="57">
        <f>'Data IBS per Tahun'!R11</f>
        <v>9.7327499059668732</v>
      </c>
      <c r="M11" s="57">
        <f>'Data IBS per Tahun'!AA11</f>
        <v>5.4215583116219932</v>
      </c>
      <c r="N11" s="57">
        <f>'Data IBS per Tahun'!AJ11</f>
        <v>6.5031159934373655</v>
      </c>
      <c r="O11" s="57">
        <f>'Data IBS per Tahun'!AS11</f>
        <v>4.3665722885880989</v>
      </c>
      <c r="P11" s="57">
        <f>'Data IBS per Tahun'!BB11</f>
        <v>5.1779451912573879</v>
      </c>
      <c r="Q11" s="57">
        <f>'Data IBS per Tahun'!BK11</f>
        <v>7.1492164137215388</v>
      </c>
      <c r="R11" s="57">
        <f>'Data IBS per Tahun'!L11</f>
        <v>26.452061223995351</v>
      </c>
      <c r="S11" s="57">
        <f>'Data IBS per Tahun'!U11</f>
        <v>22.606136309350557</v>
      </c>
      <c r="T11" s="57">
        <f>'Data IBS per Tahun'!AD11</f>
        <v>16.830829482489285</v>
      </c>
      <c r="U11" s="57">
        <f>'Data IBS per Tahun'!AM11</f>
        <v>22.60075758455605</v>
      </c>
      <c r="V11" s="57">
        <f>'Data IBS per Tahun'!AV11</f>
        <v>22.457655008161453</v>
      </c>
      <c r="W11" s="57">
        <f>'Data IBS per Tahun'!BE11</f>
        <v>25.741450959432054</v>
      </c>
      <c r="X11" s="57">
        <f>'Data IBS per Tahun'!BN11</f>
        <v>26.010910517401708</v>
      </c>
    </row>
    <row r="12" spans="1:24" ht="14.25" x14ac:dyDescent="0.45">
      <c r="A12" s="54">
        <v>17</v>
      </c>
      <c r="B12" s="55" t="s">
        <v>30</v>
      </c>
      <c r="C12" s="56">
        <f>'Data IBS per Tahun'!C12</f>
        <v>26.22</v>
      </c>
      <c r="D12" s="57">
        <f>'Data IBS per Tahun'!F12</f>
        <v>14.748203875864254</v>
      </c>
      <c r="E12" s="57">
        <f>'Data IBS per Tahun'!O12</f>
        <v>12.206215518766722</v>
      </c>
      <c r="F12" s="57">
        <f>'Data IBS per Tahun'!X12</f>
        <v>9.2197860047544982</v>
      </c>
      <c r="G12" s="57">
        <f>'Data IBS per Tahun'!AG12</f>
        <v>11.282842148129197</v>
      </c>
      <c r="H12" s="57">
        <f>'Data IBS per Tahun'!AP12</f>
        <v>14.798779989805475</v>
      </c>
      <c r="I12" s="57">
        <f>'Data IBS per Tahun'!AY12</f>
        <v>12.367185056331794</v>
      </c>
      <c r="J12" s="57">
        <f>'Data IBS per Tahun'!BH12</f>
        <v>12.640290036865048</v>
      </c>
      <c r="K12" s="57">
        <f>'Data IBS per Tahun'!I12</f>
        <v>15.578901202086323</v>
      </c>
      <c r="L12" s="57">
        <f>'Data IBS per Tahun'!R12</f>
        <v>13.859414958490431</v>
      </c>
      <c r="M12" s="57">
        <f>'Data IBS per Tahun'!AA12</f>
        <v>12.828293170200258</v>
      </c>
      <c r="N12" s="57">
        <f>'Data IBS per Tahun'!AJ12</f>
        <v>2.9268060639682107</v>
      </c>
      <c r="O12" s="57">
        <f>'Data IBS per Tahun'!AS12</f>
        <v>9.9251514167754635</v>
      </c>
      <c r="P12" s="57">
        <f>'Data IBS per Tahun'!BB12</f>
        <v>4.5552606202429109</v>
      </c>
      <c r="Q12" s="57">
        <f>'Data IBS per Tahun'!BK12</f>
        <v>6.9845548905424906</v>
      </c>
      <c r="R12" s="57">
        <f>'Data IBS per Tahun'!L12</f>
        <v>7.9318924776999786</v>
      </c>
      <c r="S12" s="57">
        <f>'Data IBS per Tahun'!U12</f>
        <v>17.856856261701122</v>
      </c>
      <c r="T12" s="57">
        <f>'Data IBS per Tahun'!AD12</f>
        <v>11.058907747785508</v>
      </c>
      <c r="U12" s="57">
        <f>'Data IBS per Tahun'!AM12</f>
        <v>7.0895334064877398</v>
      </c>
      <c r="V12" s="57">
        <f>'Data IBS per Tahun'!AV12</f>
        <v>7.8682750285342911</v>
      </c>
      <c r="W12" s="57">
        <f>'Data IBS per Tahun'!BE12</f>
        <v>10.128308284847927</v>
      </c>
      <c r="X12" s="57">
        <f>'Data IBS per Tahun'!BN12</f>
        <v>9.476391514269169</v>
      </c>
    </row>
    <row r="13" spans="1:24" ht="14.25" x14ac:dyDescent="0.45">
      <c r="A13" s="54">
        <v>18</v>
      </c>
      <c r="B13" s="55" t="s">
        <v>31</v>
      </c>
      <c r="C13" s="56">
        <f>'Data IBS per Tahun'!C13</f>
        <v>22.25</v>
      </c>
      <c r="D13" s="57">
        <f>'Data IBS per Tahun'!F13</f>
        <v>7.1621297964251349</v>
      </c>
      <c r="E13" s="57">
        <f>'Data IBS per Tahun'!O13</f>
        <v>5.5996008450318167</v>
      </c>
      <c r="F13" s="57">
        <f>'Data IBS per Tahun'!X13</f>
        <v>7.2843422278320862</v>
      </c>
      <c r="G13" s="57">
        <f>'Data IBS per Tahun'!AG13</f>
        <v>11.476961010093561</v>
      </c>
      <c r="H13" s="57">
        <f>'Data IBS per Tahun'!AP13</f>
        <v>23.298252905976593</v>
      </c>
      <c r="I13" s="57">
        <f>'Data IBS per Tahun'!AY13</f>
        <v>6.7337377569424097</v>
      </c>
      <c r="J13" s="57">
        <f>'Data IBS per Tahun'!BH13</f>
        <v>10.305336469348269</v>
      </c>
      <c r="K13" s="57">
        <f>'Data IBS per Tahun'!I13</f>
        <v>10.184928151836013</v>
      </c>
      <c r="L13" s="57">
        <f>'Data IBS per Tahun'!R13</f>
        <v>7.7783226592411507</v>
      </c>
      <c r="M13" s="57">
        <f>'Data IBS per Tahun'!AA13</f>
        <v>4.827792365492269</v>
      </c>
      <c r="N13" s="57">
        <f>'Data IBS per Tahun'!AJ13</f>
        <v>1.7376258096988899</v>
      </c>
      <c r="O13" s="57">
        <f>'Data IBS per Tahun'!AS13</f>
        <v>1.572290943805021</v>
      </c>
      <c r="P13" s="57">
        <f>'Data IBS per Tahun'!BB13</f>
        <v>1.8491489057693082</v>
      </c>
      <c r="Q13" s="57">
        <f>'Data IBS per Tahun'!BK13</f>
        <v>3.0821702711612988</v>
      </c>
      <c r="R13" s="57">
        <f>'Data IBS per Tahun'!L13</f>
        <v>16.282539473130004</v>
      </c>
      <c r="S13" s="57">
        <f>'Data IBS per Tahun'!U13</f>
        <v>64.388292856856083</v>
      </c>
      <c r="T13" s="57">
        <f>'Data IBS per Tahun'!AD13</f>
        <v>13.232598911113636</v>
      </c>
      <c r="U13" s="57">
        <f>'Data IBS per Tahun'!AM13</f>
        <v>12.261791317535295</v>
      </c>
      <c r="V13" s="57">
        <f>'Data IBS per Tahun'!AV13</f>
        <v>13.435606857577302</v>
      </c>
      <c r="W13" s="57">
        <f>'Data IBS per Tahun'!BE13</f>
        <v>25.34682001162129</v>
      </c>
      <c r="X13" s="57">
        <f>'Data IBS per Tahun'!BN13</f>
        <v>27.359872812387366</v>
      </c>
    </row>
    <row r="14" spans="1:24" ht="14.25" x14ac:dyDescent="0.45">
      <c r="A14" s="54">
        <v>19</v>
      </c>
      <c r="B14" s="55" t="s">
        <v>32</v>
      </c>
      <c r="C14" s="56">
        <f>'Data IBS per Tahun'!C14</f>
        <v>38.049999999999997</v>
      </c>
      <c r="D14" s="57">
        <f>'Data IBS per Tahun'!F14</f>
        <v>11.986768661340957</v>
      </c>
      <c r="E14" s="57">
        <f>'Data IBS per Tahun'!O14</f>
        <v>20.453907331511235</v>
      </c>
      <c r="F14" s="57">
        <f>'Data IBS per Tahun'!X14</f>
        <v>29.108167035167604</v>
      </c>
      <c r="G14" s="57">
        <f>'Data IBS per Tahun'!AG14</f>
        <v>23.010713022049025</v>
      </c>
      <c r="H14" s="57">
        <f>'Data IBS per Tahun'!AP14</f>
        <v>23.255490192807393</v>
      </c>
      <c r="I14" s="57">
        <f>'Data IBS per Tahun'!AY14</f>
        <v>7.8359926705424483</v>
      </c>
      <c r="J14" s="57">
        <f>'Data IBS per Tahun'!BH14</f>
        <v>35.282601641386144</v>
      </c>
      <c r="K14" s="57">
        <f>'Data IBS per Tahun'!I14</f>
        <v>24.924530637768569</v>
      </c>
      <c r="L14" s="57">
        <f>'Data IBS per Tahun'!R14</f>
        <v>3.6877566085474842</v>
      </c>
      <c r="M14" s="57">
        <f>'Data IBS per Tahun'!AA14</f>
        <v>0.19229015450801099</v>
      </c>
      <c r="N14" s="57">
        <f>'Data IBS per Tahun'!AJ14</f>
        <v>0.63035890754766821</v>
      </c>
      <c r="O14" s="57">
        <f>'Data IBS per Tahun'!AS14</f>
        <v>3.9411891928200311</v>
      </c>
      <c r="P14" s="57">
        <f>'Data IBS per Tahun'!BB14</f>
        <v>0.72427097469195145</v>
      </c>
      <c r="Q14" s="57">
        <f>'Data IBS per Tahun'!BK14</f>
        <v>1.2662513722341082</v>
      </c>
      <c r="R14" s="57">
        <f>'Data IBS per Tahun'!L14</f>
        <v>13.890760023762102</v>
      </c>
      <c r="S14" s="57">
        <f>'Data IBS per Tahun'!U14</f>
        <v>5.2816840302947208</v>
      </c>
      <c r="T14" s="57">
        <f>'Data IBS per Tahun'!AD14</f>
        <v>1.1570150842164415</v>
      </c>
      <c r="U14" s="57">
        <f>'Data IBS per Tahun'!AM14</f>
        <v>0.84953265688583213</v>
      </c>
      <c r="V14" s="57">
        <f>'Data IBS per Tahun'!AV14</f>
        <v>2.3310103256875245</v>
      </c>
      <c r="W14" s="57">
        <f>'Data IBS per Tahun'!BE14</f>
        <v>1.5088108745412454</v>
      </c>
      <c r="X14" s="57">
        <f>'Data IBS per Tahun'!BN14</f>
        <v>1.5218295163638813</v>
      </c>
    </row>
    <row r="15" spans="1:24" ht="14.25" x14ac:dyDescent="0.45">
      <c r="A15" s="54">
        <v>20</v>
      </c>
      <c r="B15" s="55" t="s">
        <v>33</v>
      </c>
      <c r="C15" s="56">
        <f>'Data IBS per Tahun'!C15</f>
        <v>32.9</v>
      </c>
      <c r="D15" s="57">
        <f>'Data IBS per Tahun'!F15</f>
        <v>36.000408264268167</v>
      </c>
      <c r="E15" s="57">
        <f>'Data IBS per Tahun'!O15</f>
        <v>21.140298427394011</v>
      </c>
      <c r="F15" s="57">
        <f>'Data IBS per Tahun'!X15</f>
        <v>29.85857677201939</v>
      </c>
      <c r="G15" s="57">
        <f>'Data IBS per Tahun'!AG15</f>
        <v>27.208117630369859</v>
      </c>
      <c r="H15" s="57">
        <f>'Data IBS per Tahun'!AP15</f>
        <v>44.884504695236039</v>
      </c>
      <c r="I15" s="57">
        <f>'Data IBS per Tahun'!AY15</f>
        <v>28.222591727522534</v>
      </c>
      <c r="J15" s="57">
        <f>'Data IBS per Tahun'!BH15</f>
        <v>28.45013341213609</v>
      </c>
      <c r="K15" s="57">
        <f>'Data IBS per Tahun'!I15</f>
        <v>19.092617853769806</v>
      </c>
      <c r="L15" s="57">
        <f>'Data IBS per Tahun'!R15</f>
        <v>12.065865268635534</v>
      </c>
      <c r="M15" s="57">
        <f>'Data IBS per Tahun'!AA15</f>
        <v>8.8959129316454995</v>
      </c>
      <c r="N15" s="57">
        <f>'Data IBS per Tahun'!AJ15</f>
        <v>5.8422486028432541</v>
      </c>
      <c r="O15" s="57">
        <f>'Data IBS per Tahun'!AS15</f>
        <v>3.6469510206096323</v>
      </c>
      <c r="P15" s="57">
        <f>'Data IBS per Tahun'!BB15</f>
        <v>3.6754013483816199</v>
      </c>
      <c r="Q15" s="57">
        <f>'Data IBS per Tahun'!BK15</f>
        <v>4.4171360214384219</v>
      </c>
      <c r="R15" s="57">
        <f>'Data IBS per Tahun'!L15</f>
        <v>5.6000967993235697</v>
      </c>
      <c r="S15" s="57">
        <f>'Data IBS per Tahun'!U15</f>
        <v>8.8252403183097048</v>
      </c>
      <c r="T15" s="57">
        <f>'Data IBS per Tahun'!AD15</f>
        <v>9.6636696404777371</v>
      </c>
      <c r="U15" s="57">
        <f>'Data IBS per Tahun'!AM15</f>
        <v>5.3321269377962368</v>
      </c>
      <c r="V15" s="57">
        <f>'Data IBS per Tahun'!AV15</f>
        <v>4.4688099440532811</v>
      </c>
      <c r="W15" s="57">
        <f>'Data IBS per Tahun'!BE15</f>
        <v>4.4696786788053462</v>
      </c>
      <c r="X15" s="57">
        <f>'Data IBS per Tahun'!BN15</f>
        <v>5.1624860102120529</v>
      </c>
    </row>
    <row r="16" spans="1:24" ht="14.25" x14ac:dyDescent="0.45">
      <c r="A16" s="54">
        <v>21</v>
      </c>
      <c r="B16" s="55" t="s">
        <v>84</v>
      </c>
      <c r="C16" s="56">
        <f>'Data IBS per Tahun'!C16</f>
        <v>18.100000000000001</v>
      </c>
      <c r="D16" s="57">
        <f>'Data IBS per Tahun'!F16</f>
        <v>38.440680547909572</v>
      </c>
      <c r="E16" s="57">
        <f>'Data IBS per Tahun'!O16</f>
        <v>49.359729497757804</v>
      </c>
      <c r="F16" s="57">
        <f>'Data IBS per Tahun'!X16</f>
        <v>33.077772344127233</v>
      </c>
      <c r="G16" s="57">
        <f>'Data IBS per Tahun'!AG16</f>
        <v>42.474841819572951</v>
      </c>
      <c r="H16" s="57">
        <f>'Data IBS per Tahun'!AP16</f>
        <v>36.617124293763716</v>
      </c>
      <c r="I16" s="57">
        <f>'Data IBS per Tahun'!AY16</f>
        <v>48.235756567761257</v>
      </c>
      <c r="J16" s="57">
        <f>'Data IBS per Tahun'!BH16</f>
        <v>51.704020251303781</v>
      </c>
      <c r="K16" s="57">
        <f>'Data IBS per Tahun'!I16</f>
        <v>19.647532910523282</v>
      </c>
      <c r="L16" s="57">
        <f>'Data IBS per Tahun'!R16</f>
        <v>3.7575989894988968</v>
      </c>
      <c r="M16" s="57">
        <f>'Data IBS per Tahun'!AA16</f>
        <v>5.1069984639390125</v>
      </c>
      <c r="N16" s="57">
        <f>'Data IBS per Tahun'!AJ16</f>
        <v>2.5123088337696307</v>
      </c>
      <c r="O16" s="57">
        <f>'Data IBS per Tahun'!AS16</f>
        <v>4.5950795407340355</v>
      </c>
      <c r="P16" s="57">
        <f>'Data IBS per Tahun'!BB16</f>
        <v>1.6151952091153714</v>
      </c>
      <c r="Q16" s="57">
        <f>'Data IBS per Tahun'!BK16</f>
        <v>2.5846722485577502</v>
      </c>
      <c r="R16" s="57">
        <f>'Data IBS per Tahun'!L16</f>
        <v>22.78101133510776</v>
      </c>
      <c r="S16" s="57">
        <f>'Data IBS per Tahun'!U16</f>
        <v>25.86294692388163</v>
      </c>
      <c r="T16" s="57">
        <f>'Data IBS per Tahun'!AD16</f>
        <v>16.955574644170802</v>
      </c>
      <c r="U16" s="57">
        <f>'Data IBS per Tahun'!AM16</f>
        <v>21.226717656619829</v>
      </c>
      <c r="V16" s="57">
        <f>'Data IBS per Tahun'!AV16</f>
        <v>15.366897704383655</v>
      </c>
      <c r="W16" s="57">
        <f>'Data IBS per Tahun'!BE16</f>
        <v>13.858090337944617</v>
      </c>
      <c r="X16" s="57">
        <f>'Data IBS per Tahun'!BN16</f>
        <v>14.629665383513817</v>
      </c>
    </row>
    <row r="17" spans="1:24" ht="14.25" x14ac:dyDescent="0.45">
      <c r="A17" s="54">
        <v>22</v>
      </c>
      <c r="B17" s="55" t="s">
        <v>85</v>
      </c>
      <c r="C17" s="56">
        <f>'Data IBS per Tahun'!C17</f>
        <v>43.05</v>
      </c>
      <c r="D17" s="57">
        <f>'Data IBS per Tahun'!F17</f>
        <v>16.74841257128919</v>
      </c>
      <c r="E17" s="57">
        <f>'Data IBS per Tahun'!O17</f>
        <v>15.834402282353377</v>
      </c>
      <c r="F17" s="57">
        <f>'Data IBS per Tahun'!X17</f>
        <v>23.805327733691339</v>
      </c>
      <c r="G17" s="57">
        <f>'Data IBS per Tahun'!AG17</f>
        <v>19.337994197531497</v>
      </c>
      <c r="H17" s="57">
        <f>'Data IBS per Tahun'!AP17</f>
        <v>19.502761155756769</v>
      </c>
      <c r="I17" s="57">
        <f>'Data IBS per Tahun'!AY17</f>
        <v>28.786764584348255</v>
      </c>
      <c r="J17" s="57">
        <f>'Data IBS per Tahun'!BH17</f>
        <v>25.446465247862239</v>
      </c>
      <c r="K17" s="57">
        <f>'Data IBS per Tahun'!I17</f>
        <v>9.279939392220971</v>
      </c>
      <c r="L17" s="57">
        <f>'Data IBS per Tahun'!R17</f>
        <v>5.5123874854419714</v>
      </c>
      <c r="M17" s="57">
        <f>'Data IBS per Tahun'!AA17</f>
        <v>8.6150689799508573</v>
      </c>
      <c r="N17" s="57">
        <f>'Data IBS per Tahun'!AJ17</f>
        <v>3.0214347527395704</v>
      </c>
      <c r="O17" s="57">
        <f>'Data IBS per Tahun'!AS17</f>
        <v>4.4175987103670193</v>
      </c>
      <c r="P17" s="57">
        <f>'Data IBS per Tahun'!BB17</f>
        <v>3.5633783384978255</v>
      </c>
      <c r="Q17" s="57">
        <f>'Data IBS per Tahun'!BK17</f>
        <v>4.9859622414506708</v>
      </c>
      <c r="R17" s="57">
        <f>'Data IBS per Tahun'!L17</f>
        <v>9.6005519397930161</v>
      </c>
      <c r="S17" s="57">
        <f>'Data IBS per Tahun'!U17</f>
        <v>13.091935433833157</v>
      </c>
      <c r="T17" s="57">
        <f>'Data IBS per Tahun'!AD17</f>
        <v>14.485744493874279</v>
      </c>
      <c r="U17" s="57">
        <f>'Data IBS per Tahun'!AM17</f>
        <v>14.127956703956157</v>
      </c>
      <c r="V17" s="57">
        <f>'Data IBS per Tahun'!AV17</f>
        <v>16.148894218448117</v>
      </c>
      <c r="W17" s="57">
        <f>'Data IBS per Tahun'!BE17</f>
        <v>14.909169689943472</v>
      </c>
      <c r="X17" s="57">
        <f>'Data IBS per Tahun'!BN17</f>
        <v>13.165879360691893</v>
      </c>
    </row>
    <row r="18" spans="1:24" ht="14.25" x14ac:dyDescent="0.45">
      <c r="A18" s="54">
        <v>23</v>
      </c>
      <c r="B18" s="55" t="s">
        <v>36</v>
      </c>
      <c r="C18" s="56">
        <f>'Data IBS per Tahun'!C18</f>
        <v>29.72</v>
      </c>
      <c r="D18" s="57">
        <f>'Data IBS per Tahun'!F18</f>
        <v>20.696202530801081</v>
      </c>
      <c r="E18" s="57">
        <f>'Data IBS per Tahun'!O18</f>
        <v>5.1258613718940707</v>
      </c>
      <c r="F18" s="57">
        <f>'Data IBS per Tahun'!X18</f>
        <v>10.785580061298997</v>
      </c>
      <c r="G18" s="57">
        <f>'Data IBS per Tahun'!AG18</f>
        <v>9.5562369204216786</v>
      </c>
      <c r="H18" s="57">
        <f>'Data IBS per Tahun'!AP18</f>
        <v>17.416478462005824</v>
      </c>
      <c r="I18" s="57">
        <f>'Data IBS per Tahun'!AY18</f>
        <v>6.6491853008454989</v>
      </c>
      <c r="J18" s="57">
        <f>'Data IBS per Tahun'!BH18</f>
        <v>7.9478256020301341</v>
      </c>
      <c r="K18" s="57">
        <f>'Data IBS per Tahun'!I18</f>
        <v>57.457491189896217</v>
      </c>
      <c r="L18" s="57">
        <f>'Data IBS per Tahun'!R18</f>
        <v>69.358188631129678</v>
      </c>
      <c r="M18" s="57">
        <f>'Data IBS per Tahun'!AA18</f>
        <v>34.30188303814306</v>
      </c>
      <c r="N18" s="57">
        <f>'Data IBS per Tahun'!AJ18</f>
        <v>21.59862712433085</v>
      </c>
      <c r="O18" s="57">
        <f>'Data IBS per Tahun'!AS18</f>
        <v>27.152007166897867</v>
      </c>
      <c r="P18" s="57">
        <f>'Data IBS per Tahun'!BB18</f>
        <v>31.233852643511334</v>
      </c>
      <c r="Q18" s="57">
        <f>'Data IBS per Tahun'!BK18</f>
        <v>36.391147652539047</v>
      </c>
      <c r="R18" s="57">
        <f>'Data IBS per Tahun'!L18</f>
        <v>32.255029445170798</v>
      </c>
      <c r="S18" s="57">
        <f>'Data IBS per Tahun'!U18</f>
        <v>13.635260005655386</v>
      </c>
      <c r="T18" s="57">
        <f>'Data IBS per Tahun'!AD18</f>
        <v>9.2922542760946545</v>
      </c>
      <c r="U18" s="57">
        <f>'Data IBS per Tahun'!AM18</f>
        <v>8.7771634336220359</v>
      </c>
      <c r="V18" s="57">
        <f>'Data IBS per Tahun'!AV18</f>
        <v>14.740032316828719</v>
      </c>
      <c r="W18" s="57">
        <f>'Data IBS per Tahun'!BE18</f>
        <v>18.523863126913881</v>
      </c>
      <c r="X18" s="57">
        <f>'Data IBS per Tahun'!BN18</f>
        <v>18.469589851276972</v>
      </c>
    </row>
    <row r="19" spans="1:24" ht="14.25" x14ac:dyDescent="0.45">
      <c r="A19" s="54">
        <v>24</v>
      </c>
      <c r="B19" s="55" t="s">
        <v>37</v>
      </c>
      <c r="C19" s="56">
        <f>'Data IBS per Tahun'!C19</f>
        <v>48</v>
      </c>
      <c r="D19" s="57">
        <f>'Data IBS per Tahun'!F19</f>
        <v>38.924375301981293</v>
      </c>
      <c r="E19" s="57">
        <f>'Data IBS per Tahun'!O19</f>
        <v>36.75440320913728</v>
      </c>
      <c r="F19" s="57">
        <f>'Data IBS per Tahun'!X19</f>
        <v>29.418667322065843</v>
      </c>
      <c r="G19" s="57">
        <f>'Data IBS per Tahun'!AG19</f>
        <v>35.808459492708124</v>
      </c>
      <c r="H19" s="57">
        <f>'Data IBS per Tahun'!AP19</f>
        <v>31.185697901548554</v>
      </c>
      <c r="I19" s="57">
        <f>'Data IBS per Tahun'!AY19</f>
        <v>22.165169329775665</v>
      </c>
      <c r="J19" s="57">
        <f>'Data IBS per Tahun'!BH19</f>
        <v>25.446474779216189</v>
      </c>
      <c r="K19" s="57">
        <f>'Data IBS per Tahun'!I19</f>
        <v>11.259327316586356</v>
      </c>
      <c r="L19" s="57">
        <f>'Data IBS per Tahun'!R19</f>
        <v>12.333769850496569</v>
      </c>
      <c r="M19" s="57">
        <f>'Data IBS per Tahun'!AA19</f>
        <v>7.4652922086254057</v>
      </c>
      <c r="N19" s="57">
        <f>'Data IBS per Tahun'!AJ19</f>
        <v>2.265467049345931</v>
      </c>
      <c r="O19" s="57">
        <f>'Data IBS per Tahun'!AS19</f>
        <v>5.7522663428853713</v>
      </c>
      <c r="P19" s="57">
        <f>'Data IBS per Tahun'!BB19</f>
        <v>1.7872998749706461</v>
      </c>
      <c r="Q19" s="57">
        <f>'Data IBS per Tahun'!BK19</f>
        <v>7.0415082391869523</v>
      </c>
      <c r="R19" s="57">
        <f>'Data IBS per Tahun'!L19</f>
        <v>5.7635136747893139</v>
      </c>
      <c r="S19" s="57">
        <f>'Data IBS per Tahun'!U19</f>
        <v>12.003401006586532</v>
      </c>
      <c r="T19" s="57">
        <f>'Data IBS per Tahun'!AD19</f>
        <v>6.1844082540664962</v>
      </c>
      <c r="U19" s="57">
        <f>'Data IBS per Tahun'!AM19</f>
        <v>4.1155082369456668</v>
      </c>
      <c r="V19" s="57">
        <f>'Data IBS per Tahun'!AV19</f>
        <v>5.2243542194582782</v>
      </c>
      <c r="W19" s="57">
        <f>'Data IBS per Tahun'!BE19</f>
        <v>5.18066484576216</v>
      </c>
      <c r="X19" s="57">
        <f>'Data IBS per Tahun'!BN19</f>
        <v>5.1899692727556266</v>
      </c>
    </row>
    <row r="20" spans="1:24" ht="14.25" x14ac:dyDescent="0.45">
      <c r="A20" s="54">
        <v>25</v>
      </c>
      <c r="B20" s="55" t="s">
        <v>86</v>
      </c>
      <c r="C20" s="56">
        <f>'Data IBS per Tahun'!C20</f>
        <v>28.54</v>
      </c>
      <c r="D20" s="57">
        <f>'Data IBS per Tahun'!F20</f>
        <v>30.673520143676004</v>
      </c>
      <c r="E20" s="57">
        <f>'Data IBS per Tahun'!O20</f>
        <v>26.584818952833366</v>
      </c>
      <c r="F20" s="57">
        <f>'Data IBS per Tahun'!X20</f>
        <v>27.41017018267879</v>
      </c>
      <c r="G20" s="57">
        <f>'Data IBS per Tahun'!AG20</f>
        <v>36.109637512206952</v>
      </c>
      <c r="H20" s="57">
        <f>'Data IBS per Tahun'!AP20</f>
        <v>30.916984563223483</v>
      </c>
      <c r="I20" s="57">
        <f>'Data IBS per Tahun'!AY20</f>
        <v>29.906001574654411</v>
      </c>
      <c r="J20" s="57">
        <f>'Data IBS per Tahun'!BH20</f>
        <v>29.244729286181592</v>
      </c>
      <c r="K20" s="57">
        <f>'Data IBS per Tahun'!I20</f>
        <v>11.293301732413743</v>
      </c>
      <c r="L20" s="57">
        <f>'Data IBS per Tahun'!R20</f>
        <v>8.2896392030555592</v>
      </c>
      <c r="M20" s="57">
        <f>'Data IBS per Tahun'!AA20</f>
        <v>10.1134006931148</v>
      </c>
      <c r="N20" s="57">
        <f>'Data IBS per Tahun'!AJ20</f>
        <v>2.2063723272242854</v>
      </c>
      <c r="O20" s="57">
        <f>'Data IBS per Tahun'!AS20</f>
        <v>2.3515943349134267</v>
      </c>
      <c r="P20" s="57">
        <f>'Data IBS per Tahun'!BB20</f>
        <v>1.1537093217892445</v>
      </c>
      <c r="Q20" s="57">
        <f>'Data IBS per Tahun'!BK20</f>
        <v>4.8886228914771257</v>
      </c>
      <c r="R20" s="57">
        <f>'Data IBS per Tahun'!L20</f>
        <v>17.054123838195196</v>
      </c>
      <c r="S20" s="57">
        <f>'Data IBS per Tahun'!U20</f>
        <v>21.415696141328048</v>
      </c>
      <c r="T20" s="57">
        <f>'Data IBS per Tahun'!AD20</f>
        <v>13.996396594236341</v>
      </c>
      <c r="U20" s="57">
        <f>'Data IBS per Tahun'!AM20</f>
        <v>16.132942106361931</v>
      </c>
      <c r="V20" s="57">
        <f>'Data IBS per Tahun'!AV20</f>
        <v>17.677581917998513</v>
      </c>
      <c r="W20" s="57">
        <f>'Data IBS per Tahun'!BE20</f>
        <v>12.68455703866781</v>
      </c>
      <c r="X20" s="57">
        <f>'Data IBS per Tahun'!BN20</f>
        <v>11.311253563044483</v>
      </c>
    </row>
    <row r="21" spans="1:24" ht="14.25" x14ac:dyDescent="0.45">
      <c r="A21" s="54">
        <v>26</v>
      </c>
      <c r="B21" s="55" t="s">
        <v>87</v>
      </c>
      <c r="C21" s="56">
        <f>'Data IBS per Tahun'!C21</f>
        <v>50.44</v>
      </c>
      <c r="D21" s="57">
        <f>'Data IBS per Tahun'!F21</f>
        <v>65.326146822341329</v>
      </c>
      <c r="E21" s="57">
        <f>'Data IBS per Tahun'!O21</f>
        <v>46.426105712483555</v>
      </c>
      <c r="F21" s="57">
        <f>'Data IBS per Tahun'!X21</f>
        <v>57.898135169225696</v>
      </c>
      <c r="G21" s="57">
        <f>'Data IBS per Tahun'!AG21</f>
        <v>64.122951416973635</v>
      </c>
      <c r="H21" s="57">
        <f>'Data IBS per Tahun'!AP21</f>
        <v>76.113293293276101</v>
      </c>
      <c r="I21" s="57">
        <f>'Data IBS per Tahun'!AY21</f>
        <v>60.712868049594839</v>
      </c>
      <c r="J21" s="57">
        <f>'Data IBS per Tahun'!BH21</f>
        <v>56.033271108082275</v>
      </c>
      <c r="K21" s="57">
        <f>'Data IBS per Tahun'!I21</f>
        <v>11.275088534238913</v>
      </c>
      <c r="L21" s="57">
        <f>'Data IBS per Tahun'!R21</f>
        <v>2.3513721682462503</v>
      </c>
      <c r="M21" s="57">
        <f>'Data IBS per Tahun'!AA21</f>
        <v>3.1767528852727684</v>
      </c>
      <c r="N21" s="57">
        <f>'Data IBS per Tahun'!AJ21</f>
        <v>1.0241024242136565</v>
      </c>
      <c r="O21" s="57">
        <f>'Data IBS per Tahun'!AS21</f>
        <v>1.5203992337372187</v>
      </c>
      <c r="P21" s="57">
        <f>'Data IBS per Tahun'!BB21</f>
        <v>6.2611040691448627</v>
      </c>
      <c r="Q21" s="57">
        <f>'Data IBS per Tahun'!BK21</f>
        <v>3.3401926157105835</v>
      </c>
      <c r="R21" s="57">
        <f>'Data IBS per Tahun'!L21</f>
        <v>10.004184903952448</v>
      </c>
      <c r="S21" s="57">
        <f>'Data IBS per Tahun'!U21</f>
        <v>13.946200537097267</v>
      </c>
      <c r="T21" s="57">
        <f>'Data IBS per Tahun'!AD21</f>
        <v>19.15242221564684</v>
      </c>
      <c r="U21" s="57">
        <f>'Data IBS per Tahun'!AM21</f>
        <v>11.657734634727266</v>
      </c>
      <c r="V21" s="57">
        <f>'Data IBS per Tahun'!AV21</f>
        <v>14.897738042441819</v>
      </c>
      <c r="W21" s="57">
        <f>'Data IBS per Tahun'!BE21</f>
        <v>24.45602546248643</v>
      </c>
      <c r="X21" s="57">
        <f>'Data IBS per Tahun'!BN21</f>
        <v>16.204329958443072</v>
      </c>
    </row>
    <row r="22" spans="1:24" ht="14.25" x14ac:dyDescent="0.45">
      <c r="A22" s="54">
        <v>27</v>
      </c>
      <c r="B22" s="55" t="s">
        <v>40</v>
      </c>
      <c r="C22" s="56">
        <f>'Data IBS per Tahun'!C22</f>
        <v>29.19</v>
      </c>
      <c r="D22" s="57">
        <f>'Data IBS per Tahun'!F22</f>
        <v>41.873258296855504</v>
      </c>
      <c r="E22" s="57">
        <f>'Data IBS per Tahun'!O22</f>
        <v>49.531674209781357</v>
      </c>
      <c r="F22" s="57">
        <f>'Data IBS per Tahun'!X22</f>
        <v>40.110604499799081</v>
      </c>
      <c r="G22" s="57">
        <f>'Data IBS per Tahun'!AG22</f>
        <v>42.31176892562555</v>
      </c>
      <c r="H22" s="57">
        <f>'Data IBS per Tahun'!AP22</f>
        <v>32.500328218184293</v>
      </c>
      <c r="I22" s="57">
        <f>'Data IBS per Tahun'!AY22</f>
        <v>61.378015293568389</v>
      </c>
      <c r="J22" s="57">
        <f>'Data IBS per Tahun'!BH22</f>
        <v>57.059221317489907</v>
      </c>
      <c r="K22" s="57">
        <f>'Data IBS per Tahun'!I22</f>
        <v>10.531931155949939</v>
      </c>
      <c r="L22" s="57">
        <f>'Data IBS per Tahun'!R22</f>
        <v>4.028178193411323</v>
      </c>
      <c r="M22" s="57">
        <f>'Data IBS per Tahun'!AA22</f>
        <v>2.7746276617327053</v>
      </c>
      <c r="N22" s="57">
        <f>'Data IBS per Tahun'!AJ22</f>
        <v>1.1436594162419647</v>
      </c>
      <c r="O22" s="57">
        <f>'Data IBS per Tahun'!AS22</f>
        <v>1.6713220231885995</v>
      </c>
      <c r="P22" s="57">
        <f>'Data IBS per Tahun'!BB22</f>
        <v>0.92698954669279787</v>
      </c>
      <c r="Q22" s="57">
        <f>'Data IBS per Tahun'!BK22</f>
        <v>1.8712066928479765</v>
      </c>
      <c r="R22" s="57">
        <f>'Data IBS per Tahun'!L22</f>
        <v>10.881053665381311</v>
      </c>
      <c r="S22" s="57">
        <f>'Data IBS per Tahun'!U22</f>
        <v>5.2880853895384687</v>
      </c>
      <c r="T22" s="57">
        <f>'Data IBS per Tahun'!AD22</f>
        <v>6.0675091422006258</v>
      </c>
      <c r="U22" s="57">
        <f>'Data IBS per Tahun'!AM22</f>
        <v>10.96895657219542</v>
      </c>
      <c r="V22" s="57">
        <f>'Data IBS per Tahun'!AV22</f>
        <v>7.040230241456916</v>
      </c>
      <c r="W22" s="57">
        <f>'Data IBS per Tahun'!BE22</f>
        <v>7.6792038355626868</v>
      </c>
      <c r="X22" s="57">
        <f>'Data IBS per Tahun'!BN22</f>
        <v>7.3920406672185051</v>
      </c>
    </row>
    <row r="23" spans="1:24" ht="14.25" x14ac:dyDescent="0.45">
      <c r="A23" s="54">
        <v>28</v>
      </c>
      <c r="B23" s="55" t="s">
        <v>41</v>
      </c>
      <c r="C23" s="56">
        <f>'Data IBS per Tahun'!C23</f>
        <v>28.85</v>
      </c>
      <c r="D23" s="57">
        <f>'Data IBS per Tahun'!F23</f>
        <v>31.096850679961481</v>
      </c>
      <c r="E23" s="57">
        <f>'Data IBS per Tahun'!O23</f>
        <v>23.140813447681964</v>
      </c>
      <c r="F23" s="57">
        <f>'Data IBS per Tahun'!X23</f>
        <v>52.720384604023593</v>
      </c>
      <c r="G23" s="57">
        <f>'Data IBS per Tahun'!AG23</f>
        <v>15.191360514838495</v>
      </c>
      <c r="H23" s="57">
        <f>'Data IBS per Tahun'!AP23</f>
        <v>41.347886529915023</v>
      </c>
      <c r="I23" s="57">
        <f>'Data IBS per Tahun'!AY23</f>
        <v>35.129349875207375</v>
      </c>
      <c r="J23" s="57">
        <f>'Data IBS per Tahun'!BH23</f>
        <v>47.509980400108432</v>
      </c>
      <c r="K23" s="57">
        <f>'Data IBS per Tahun'!I23</f>
        <v>9.4317632449781055</v>
      </c>
      <c r="L23" s="57">
        <f>'Data IBS per Tahun'!R23</f>
        <v>24.80175607345284</v>
      </c>
      <c r="M23" s="57">
        <f>'Data IBS per Tahun'!AA23</f>
        <v>23.301660860017783</v>
      </c>
      <c r="N23" s="57">
        <f>'Data IBS per Tahun'!AJ23</f>
        <v>1.7727679077560441</v>
      </c>
      <c r="O23" s="57">
        <f>'Data IBS per Tahun'!AS23</f>
        <v>2.0245616281603063</v>
      </c>
      <c r="P23" s="57">
        <f>'Data IBS per Tahun'!BB23</f>
        <v>3.1980282632218513</v>
      </c>
      <c r="Q23" s="57">
        <f>'Data IBS per Tahun'!BK23</f>
        <v>4.6469726169456118</v>
      </c>
      <c r="R23" s="57">
        <f>'Data IBS per Tahun'!L23</f>
        <v>22.735617630741075</v>
      </c>
      <c r="S23" s="57">
        <f>'Data IBS per Tahun'!U23</f>
        <v>19.720080322263879</v>
      </c>
      <c r="T23" s="57">
        <f>'Data IBS per Tahun'!AD23</f>
        <v>12.883661745760394</v>
      </c>
      <c r="U23" s="57">
        <f>'Data IBS per Tahun'!AM23</f>
        <v>8.7237738406993959</v>
      </c>
      <c r="V23" s="57">
        <f>'Data IBS per Tahun'!AV23</f>
        <v>11.714367445621251</v>
      </c>
      <c r="W23" s="57">
        <f>'Data IBS per Tahun'!BE23</f>
        <v>18.91237820464702</v>
      </c>
      <c r="X23" s="57">
        <f>'Data IBS per Tahun'!BN23</f>
        <v>19.213067240173622</v>
      </c>
    </row>
    <row r="24" spans="1:24" ht="14.25" x14ac:dyDescent="0.45">
      <c r="A24" s="54">
        <v>29</v>
      </c>
      <c r="B24" s="55" t="s">
        <v>88</v>
      </c>
      <c r="C24" s="56">
        <f>'Data IBS per Tahun'!C24</f>
        <v>31.32</v>
      </c>
      <c r="D24" s="57">
        <f>'Data IBS per Tahun'!F24</f>
        <v>33.579929275223925</v>
      </c>
      <c r="E24" s="57">
        <f>'Data IBS per Tahun'!O24</f>
        <v>24.802578691341214</v>
      </c>
      <c r="F24" s="57">
        <f>'Data IBS per Tahun'!X24</f>
        <v>33.059006271055239</v>
      </c>
      <c r="G24" s="57">
        <f>'Data IBS per Tahun'!AG24</f>
        <v>29.790997089868842</v>
      </c>
      <c r="H24" s="57">
        <f>'Data IBS per Tahun'!AP24</f>
        <v>56.306096232858607</v>
      </c>
      <c r="I24" s="57">
        <f>'Data IBS per Tahun'!AY24</f>
        <v>63.847937305330639</v>
      </c>
      <c r="J24" s="57">
        <f>'Data IBS per Tahun'!BH24</f>
        <v>51.697585925609303</v>
      </c>
      <c r="K24" s="57">
        <f>'Data IBS per Tahun'!I24</f>
        <v>28.54836306246154</v>
      </c>
      <c r="L24" s="57">
        <f>'Data IBS per Tahun'!R24</f>
        <v>3.827670859499277</v>
      </c>
      <c r="M24" s="57">
        <f>'Data IBS per Tahun'!AA24</f>
        <v>4.1598171758168458</v>
      </c>
      <c r="N24" s="57">
        <f>'Data IBS per Tahun'!AJ24</f>
        <v>2.833977500205922</v>
      </c>
      <c r="O24" s="57">
        <f>'Data IBS per Tahun'!AS24</f>
        <v>0.82233325072211561</v>
      </c>
      <c r="P24" s="57">
        <f>'Data IBS per Tahun'!BB24</f>
        <v>1.1368088176706264</v>
      </c>
      <c r="Q24" s="57">
        <f>'Data IBS per Tahun'!BK24</f>
        <v>1.7961682216604202</v>
      </c>
      <c r="R24" s="57">
        <f>'Data IBS per Tahun'!L24</f>
        <v>12.960701450839476</v>
      </c>
      <c r="S24" s="57">
        <f>'Data IBS per Tahun'!U24</f>
        <v>15.338380182757321</v>
      </c>
      <c r="T24" s="57">
        <f>'Data IBS per Tahun'!AD24</f>
        <v>11.04890540647845</v>
      </c>
      <c r="U24" s="57">
        <f>'Data IBS per Tahun'!AM24</f>
        <v>8.2367490229094891</v>
      </c>
      <c r="V24" s="57">
        <f>'Data IBS per Tahun'!AV24</f>
        <v>7.5955027575335485</v>
      </c>
      <c r="W24" s="57">
        <f>'Data IBS per Tahun'!BE24</f>
        <v>12.756730756565757</v>
      </c>
      <c r="X24" s="57">
        <f>'Data IBS per Tahun'!BN24</f>
        <v>12.182878141175134</v>
      </c>
    </row>
    <row r="25" spans="1:24" ht="14.25" x14ac:dyDescent="0.45">
      <c r="A25" s="54">
        <v>30</v>
      </c>
      <c r="B25" s="55" t="s">
        <v>43</v>
      </c>
      <c r="C25" s="56">
        <f>'Data IBS per Tahun'!C25</f>
        <v>32.11</v>
      </c>
      <c r="D25" s="57">
        <f>'Data IBS per Tahun'!F25</f>
        <v>29.737096074804636</v>
      </c>
      <c r="E25" s="57">
        <f>'Data IBS per Tahun'!O25</f>
        <v>27.670413317920385</v>
      </c>
      <c r="F25" s="57">
        <f>'Data IBS per Tahun'!X25</f>
        <v>45.850126337093599</v>
      </c>
      <c r="G25" s="57">
        <f>'Data IBS per Tahun'!AG25</f>
        <v>56.66123012635174</v>
      </c>
      <c r="H25" s="57">
        <f>'Data IBS per Tahun'!AP25</f>
        <v>72.659700154163019</v>
      </c>
      <c r="I25" s="57">
        <f>'Data IBS per Tahun'!AY25</f>
        <v>58.606803597935553</v>
      </c>
      <c r="J25" s="57">
        <f>'Data IBS per Tahun'!BH25</f>
        <v>58.326926163124085</v>
      </c>
      <c r="K25" s="57">
        <f>'Data IBS per Tahun'!I25</f>
        <v>12.770033277563423</v>
      </c>
      <c r="L25" s="57">
        <f>'Data IBS per Tahun'!R25</f>
        <v>6.0652468049209682</v>
      </c>
      <c r="M25" s="57">
        <f>'Data IBS per Tahun'!AA25</f>
        <v>9.8519751606379167</v>
      </c>
      <c r="N25" s="57">
        <f>'Data IBS per Tahun'!AJ25</f>
        <v>1.5580556187501757</v>
      </c>
      <c r="O25" s="57">
        <f>'Data IBS per Tahun'!AS25</f>
        <v>1.5002181666443148</v>
      </c>
      <c r="P25" s="57">
        <f>'Data IBS per Tahun'!BB25</f>
        <v>3.2912483561333583</v>
      </c>
      <c r="Q25" s="57">
        <f>'Data IBS per Tahun'!BK25</f>
        <v>5.4161997607913994</v>
      </c>
      <c r="R25" s="57">
        <f>'Data IBS per Tahun'!L25</f>
        <v>18.652821592015581</v>
      </c>
      <c r="S25" s="57">
        <f>'Data IBS per Tahun'!U25</f>
        <v>23.203033019579941</v>
      </c>
      <c r="T25" s="57">
        <f>'Data IBS per Tahun'!AD25</f>
        <v>10.422837603427073</v>
      </c>
      <c r="U25" s="57">
        <f>'Data IBS per Tahun'!AM25</f>
        <v>10.78296081197165</v>
      </c>
      <c r="V25" s="57">
        <f>'Data IBS per Tahun'!AV25</f>
        <v>11.210227529837542</v>
      </c>
      <c r="W25" s="57">
        <f>'Data IBS per Tahun'!BE25</f>
        <v>7.5955522589404234</v>
      </c>
      <c r="X25" s="57">
        <f>'Data IBS per Tahun'!BN25</f>
        <v>8.3386837508585394</v>
      </c>
    </row>
    <row r="26" spans="1:24" ht="14.25" x14ac:dyDescent="0.45">
      <c r="A26" s="54">
        <v>31</v>
      </c>
      <c r="B26" s="55" t="s">
        <v>44</v>
      </c>
      <c r="C26" s="56">
        <f>'Data IBS per Tahun'!C26</f>
        <v>77.819999999999993</v>
      </c>
      <c r="D26" s="57">
        <f>'Data IBS per Tahun'!F26</f>
        <v>7.3534437291700341</v>
      </c>
      <c r="E26" s="57">
        <f>'Data IBS per Tahun'!O26</f>
        <v>10.938465572727301</v>
      </c>
      <c r="F26" s="57">
        <f>'Data IBS per Tahun'!X26</f>
        <v>4.5355391629835289</v>
      </c>
      <c r="G26" s="57">
        <f>'Data IBS per Tahun'!AG26</f>
        <v>9.2681872597909312</v>
      </c>
      <c r="H26" s="57">
        <f>'Data IBS per Tahun'!AP26</f>
        <v>11.5088404716737</v>
      </c>
      <c r="I26" s="57">
        <f>'Data IBS per Tahun'!AY26</f>
        <v>8.0685598583301079</v>
      </c>
      <c r="J26" s="57">
        <f>'Data IBS per Tahun'!BH26</f>
        <v>9.376786425884962</v>
      </c>
      <c r="K26" s="57">
        <f>'Data IBS per Tahun'!I26</f>
        <v>9.0094162895300016</v>
      </c>
      <c r="L26" s="57">
        <f>'Data IBS per Tahun'!R26</f>
        <v>4.5886668600293481</v>
      </c>
      <c r="M26" s="57">
        <f>'Data IBS per Tahun'!AA26</f>
        <v>4.6131861221665931</v>
      </c>
      <c r="N26" s="57">
        <f>'Data IBS per Tahun'!AJ26</f>
        <v>2.0131843095105779</v>
      </c>
      <c r="O26" s="57">
        <f>'Data IBS per Tahun'!AS26</f>
        <v>2.870856435724412</v>
      </c>
      <c r="P26" s="57">
        <f>'Data IBS per Tahun'!BB26</f>
        <v>1.4925878180638139</v>
      </c>
      <c r="Q26" s="57">
        <f>'Data IBS per Tahun'!BK26</f>
        <v>4.7556531988697808</v>
      </c>
      <c r="R26" s="57">
        <f>'Data IBS per Tahun'!L26</f>
        <v>25.393397260961574</v>
      </c>
      <c r="S26" s="57">
        <f>'Data IBS per Tahun'!U26</f>
        <v>33.873023314613867</v>
      </c>
      <c r="T26" s="57">
        <f>'Data IBS per Tahun'!AD26</f>
        <v>23.188557920796885</v>
      </c>
      <c r="U26" s="57">
        <f>'Data IBS per Tahun'!AM26</f>
        <v>25.807659509476942</v>
      </c>
      <c r="V26" s="57">
        <f>'Data IBS per Tahun'!AV26</f>
        <v>35.168193860113384</v>
      </c>
      <c r="W26" s="57">
        <f>'Data IBS per Tahun'!BE26</f>
        <v>26.233756650126555</v>
      </c>
      <c r="X26" s="57">
        <f>'Data IBS per Tahun'!BN26</f>
        <v>29.597403000447343</v>
      </c>
    </row>
    <row r="27" spans="1:24" ht="14.25" x14ac:dyDescent="0.45">
      <c r="A27" s="54">
        <v>32</v>
      </c>
      <c r="B27" s="55" t="s">
        <v>45</v>
      </c>
      <c r="C27" s="56">
        <f>'Data IBS per Tahun'!C27</f>
        <v>70.97</v>
      </c>
      <c r="D27" s="57">
        <f>'Data IBS per Tahun'!F27</f>
        <v>54.077972556204358</v>
      </c>
      <c r="E27" s="57">
        <f>'Data IBS per Tahun'!O27</f>
        <v>39.198943234251587</v>
      </c>
      <c r="F27" s="57">
        <f>'Data IBS per Tahun'!X27</f>
        <v>50.987395408206496</v>
      </c>
      <c r="G27" s="57">
        <f>'Data IBS per Tahun'!AG27</f>
        <v>48.68121653561996</v>
      </c>
      <c r="H27" s="57">
        <f>'Data IBS per Tahun'!AP27</f>
        <v>38.654506080039354</v>
      </c>
      <c r="I27" s="57">
        <f>'Data IBS per Tahun'!AY27</f>
        <v>38.604712042042976</v>
      </c>
      <c r="J27" s="57">
        <f>'Data IBS per Tahun'!BH27</f>
        <v>40.686806404968316</v>
      </c>
      <c r="K27" s="57">
        <f>'Data IBS per Tahun'!I27</f>
        <v>8.2537956774597294</v>
      </c>
      <c r="L27" s="57">
        <f>'Data IBS per Tahun'!R27</f>
        <v>5.4972283954163457</v>
      </c>
      <c r="M27" s="57">
        <f>'Data IBS per Tahun'!AA27</f>
        <v>5.9988437771338745</v>
      </c>
      <c r="N27" s="57">
        <f>'Data IBS per Tahun'!AJ27</f>
        <v>1.6452371379500099</v>
      </c>
      <c r="O27" s="57">
        <f>'Data IBS per Tahun'!AS27</f>
        <v>2.7187923466924397</v>
      </c>
      <c r="P27" s="57">
        <f>'Data IBS per Tahun'!BB27</f>
        <v>3.3722858836003988</v>
      </c>
      <c r="Q27" s="57">
        <f>'Data IBS per Tahun'!BK27</f>
        <v>3.5282066517000006</v>
      </c>
      <c r="R27" s="57">
        <f>'Data IBS per Tahun'!L27</f>
        <v>43.093111593749065</v>
      </c>
      <c r="S27" s="57">
        <f>'Data IBS per Tahun'!U27</f>
        <v>62.281297803626188</v>
      </c>
      <c r="T27" s="57">
        <f>'Data IBS per Tahun'!AD27</f>
        <v>48.156167664517177</v>
      </c>
      <c r="U27" s="57">
        <f>'Data IBS per Tahun'!AM27</f>
        <v>32.08119596330296</v>
      </c>
      <c r="V27" s="57">
        <f>'Data IBS per Tahun'!AV27</f>
        <v>36.686020063516779</v>
      </c>
      <c r="W27" s="57">
        <f>'Data IBS per Tahun'!BE27</f>
        <v>46.008177712916371</v>
      </c>
      <c r="X27" s="57">
        <f>'Data IBS per Tahun'!BN27</f>
        <v>42.052699629142708</v>
      </c>
    </row>
    <row r="28" spans="1:24" ht="14.25" x14ac:dyDescent="0.45">
      <c r="A28" s="54">
        <v>33</v>
      </c>
      <c r="B28" s="55" t="s">
        <v>89</v>
      </c>
      <c r="C28" s="56">
        <f>'Data IBS per Tahun'!C28</f>
        <v>3.33</v>
      </c>
      <c r="D28" s="57">
        <f>'Data IBS per Tahun'!F28</f>
        <v>36.784252304980654</v>
      </c>
      <c r="E28" s="57">
        <f>'Data IBS per Tahun'!O28</f>
        <v>20.383267834451686</v>
      </c>
      <c r="F28" s="57">
        <f>'Data IBS per Tahun'!X28</f>
        <v>0.39330311018279412</v>
      </c>
      <c r="G28" s="57">
        <f>'Data IBS per Tahun'!AG28</f>
        <v>7.6597825749731827</v>
      </c>
      <c r="H28" s="57">
        <f>'Data IBS per Tahun'!AP28</f>
        <v>3.4746887084675908</v>
      </c>
      <c r="I28" s="57">
        <f>'Data IBS per Tahun'!AY28</f>
        <v>24.265110109361657</v>
      </c>
      <c r="J28" s="57">
        <f>'Data IBS per Tahun'!BH28</f>
        <v>36.60696740630199</v>
      </c>
      <c r="K28" s="57">
        <f>'Data IBS per Tahun'!I28</f>
        <v>40.142891729542093</v>
      </c>
      <c r="L28" s="57">
        <f>'Data IBS per Tahun'!R28</f>
        <v>8.1247782180805412</v>
      </c>
      <c r="M28" s="57">
        <f>'Data IBS per Tahun'!AA28</f>
        <v>5.0692507422631756</v>
      </c>
      <c r="N28" s="57">
        <f>'Data IBS per Tahun'!AJ28</f>
        <v>17.360276618699942</v>
      </c>
      <c r="O28" s="57">
        <f>'Data IBS per Tahun'!AS28</f>
        <v>2.2536717917346984</v>
      </c>
      <c r="P28" s="57">
        <f>'Data IBS per Tahun'!BB28</f>
        <v>47.663580807182825</v>
      </c>
      <c r="Q28" s="57">
        <f>'Data IBS per Tahun'!BK28</f>
        <v>18.278672532937851</v>
      </c>
      <c r="R28" s="57">
        <f>'Data IBS per Tahun'!L28</f>
        <v>70.102767113272023</v>
      </c>
      <c r="S28" s="57">
        <f>'Data IBS per Tahun'!U28</f>
        <v>34.700611562992592</v>
      </c>
      <c r="T28" s="57">
        <f>'Data IBS per Tahun'!AD28</f>
        <v>22.461972862167222</v>
      </c>
      <c r="U28" s="57">
        <f>'Data IBS per Tahun'!AM28</f>
        <v>19.919635987231928</v>
      </c>
      <c r="V28" s="57">
        <f>'Data IBS per Tahun'!AV28</f>
        <v>16.597703962107371</v>
      </c>
      <c r="W28" s="57">
        <f>'Data IBS per Tahun'!BE28</f>
        <v>219.2659195866238</v>
      </c>
      <c r="X28" s="57">
        <f>'Data IBS per Tahun'!BN28</f>
        <v>47.627115166185455</v>
      </c>
    </row>
    <row r="29" spans="1:24" x14ac:dyDescent="0.35">
      <c r="A29" s="2"/>
      <c r="C29" s="50"/>
    </row>
    <row r="30" spans="1:24" x14ac:dyDescent="0.35">
      <c r="A30" s="2"/>
      <c r="C30" s="50"/>
    </row>
    <row r="31" spans="1:24" ht="14.25" x14ac:dyDescent="0.35">
      <c r="A31" s="53" t="s">
        <v>95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91"/>
      <c r="T31" s="91"/>
      <c r="U31" s="91"/>
      <c r="V31" s="91"/>
      <c r="W31" s="91"/>
      <c r="X31" s="91"/>
    </row>
    <row r="32" spans="1:24" ht="14.25" x14ac:dyDescent="0.35">
      <c r="A32" s="162" t="s">
        <v>96</v>
      </c>
      <c r="B32" s="162" t="s">
        <v>92</v>
      </c>
      <c r="C32" s="53" t="s">
        <v>50</v>
      </c>
      <c r="D32" s="162" t="s">
        <v>7</v>
      </c>
      <c r="E32" s="162"/>
      <c r="F32" s="162"/>
      <c r="G32" s="162"/>
      <c r="H32" s="162"/>
      <c r="I32" s="162"/>
      <c r="J32" s="162"/>
      <c r="K32" s="162" t="s">
        <v>93</v>
      </c>
      <c r="L32" s="162"/>
      <c r="M32" s="162"/>
      <c r="N32" s="162"/>
      <c r="O32" s="162"/>
      <c r="P32" s="162"/>
      <c r="Q32" s="162"/>
      <c r="R32" s="162" t="s">
        <v>94</v>
      </c>
      <c r="S32" s="162"/>
      <c r="T32" s="162"/>
      <c r="U32" s="162"/>
      <c r="V32" s="162"/>
      <c r="W32" s="162"/>
      <c r="X32" s="162"/>
    </row>
    <row r="33" spans="1:24" s="6" customFormat="1" ht="14.25" x14ac:dyDescent="0.35">
      <c r="A33" s="163"/>
      <c r="B33" s="163"/>
      <c r="C33" s="60">
        <v>2015</v>
      </c>
      <c r="D33" s="60">
        <v>2015</v>
      </c>
      <c r="E33" s="60">
        <v>2017</v>
      </c>
      <c r="F33" s="60">
        <v>2018</v>
      </c>
      <c r="G33" s="60">
        <v>2019</v>
      </c>
      <c r="H33" s="60">
        <v>2020</v>
      </c>
      <c r="I33" s="60">
        <v>2021</v>
      </c>
      <c r="J33" s="60">
        <v>2022</v>
      </c>
      <c r="K33" s="60">
        <v>2015</v>
      </c>
      <c r="L33" s="60">
        <v>2017</v>
      </c>
      <c r="M33" s="60">
        <v>2018</v>
      </c>
      <c r="N33" s="60">
        <v>2019</v>
      </c>
      <c r="O33" s="60">
        <v>2020</v>
      </c>
      <c r="P33" s="60">
        <v>2021</v>
      </c>
      <c r="Q33" s="60">
        <v>2022</v>
      </c>
      <c r="R33" s="60">
        <v>2015</v>
      </c>
      <c r="S33" s="60">
        <v>2017</v>
      </c>
      <c r="T33" s="60">
        <v>2018</v>
      </c>
      <c r="U33" s="60">
        <v>2019</v>
      </c>
      <c r="V33" s="60">
        <v>2020</v>
      </c>
      <c r="W33" s="60">
        <v>2021</v>
      </c>
      <c r="X33" s="60">
        <v>2022</v>
      </c>
    </row>
    <row r="34" spans="1:24" ht="14.25" x14ac:dyDescent="0.45">
      <c r="A34" s="54">
        <v>11</v>
      </c>
      <c r="B34" s="58" t="s">
        <v>54</v>
      </c>
      <c r="C34" s="57">
        <f>'Data IBS per Tahun'!C34</f>
        <v>52.56</v>
      </c>
      <c r="D34" s="57">
        <f>'Data IBS per Tahun'!F34</f>
        <v>1.929859925632146</v>
      </c>
      <c r="E34" s="57">
        <f>'Data IBS per Tahun'!O34</f>
        <v>5.304231320960838</v>
      </c>
      <c r="F34" s="57">
        <f>'Data IBS per Tahun'!X34</f>
        <v>0.33096501157781871</v>
      </c>
      <c r="G34" s="57">
        <f>'Data IBS per Tahun'!AG34</f>
        <v>0.60668051193531125</v>
      </c>
      <c r="H34" s="57">
        <f>'Data IBS per Tahun'!AP34</f>
        <v>2.2340828809997526</v>
      </c>
      <c r="I34" s="57">
        <f>'Data IBS per Tahun'!AY34</f>
        <v>0.2802688913960622</v>
      </c>
      <c r="J34" s="57">
        <f>'Data IBS per Tahun'!BH34</f>
        <v>1.6875567494235875</v>
      </c>
      <c r="K34" s="57">
        <f>'Data IBS per Tahun'!I34</f>
        <v>22.881793208524041</v>
      </c>
      <c r="L34" s="57">
        <f>'Data IBS per Tahun'!R34</f>
        <v>2.3096215556001933</v>
      </c>
      <c r="M34" s="57">
        <f>'Data IBS per Tahun'!AA34</f>
        <v>3.9144695988541622</v>
      </c>
      <c r="N34" s="57">
        <f>'Data IBS per Tahun'!AJ34</f>
        <v>4.6439732486881118</v>
      </c>
      <c r="O34" s="57">
        <f>'Data IBS per Tahun'!AS34</f>
        <v>2.4045963632833902</v>
      </c>
      <c r="P34" s="57">
        <f>'Data IBS per Tahun'!BB34</f>
        <v>2.5238390282327807</v>
      </c>
      <c r="Q34" s="57">
        <f>'Data IBS per Tahun'!BK34</f>
        <v>3.7841138701407471</v>
      </c>
      <c r="R34" s="57">
        <f>'Data IBS per Tahun'!L34</f>
        <v>7.827071770767029</v>
      </c>
      <c r="S34" s="57">
        <f>'Data IBS per Tahun'!U34</f>
        <v>3.6555693136106924</v>
      </c>
      <c r="T34" s="57">
        <f>'Data IBS per Tahun'!AD34</f>
        <v>11.785929594598574</v>
      </c>
      <c r="U34" s="57">
        <f>'Data IBS per Tahun'!AM34</f>
        <v>9.6337762739648856</v>
      </c>
      <c r="V34" s="57">
        <f>'Data IBS per Tahun'!AV34</f>
        <v>6.6508288184576019</v>
      </c>
      <c r="W34" s="57">
        <f>'Data IBS per Tahun'!BE34</f>
        <v>6.0727700820138937</v>
      </c>
      <c r="X34" s="57">
        <f>'Data IBS per Tahun'!BN34</f>
        <v>6.556043979248309</v>
      </c>
    </row>
    <row r="35" spans="1:24" ht="14.25" x14ac:dyDescent="0.45">
      <c r="A35" s="54">
        <v>12</v>
      </c>
      <c r="B35" s="58" t="s">
        <v>17</v>
      </c>
      <c r="C35" s="57">
        <f>'Data IBS per Tahun'!C35</f>
        <v>73.708539000253751</v>
      </c>
      <c r="D35" s="57">
        <f>'Data IBS per Tahun'!F35</f>
        <v>6.7991339115504994</v>
      </c>
      <c r="E35" s="57">
        <f>'Data IBS per Tahun'!O35</f>
        <v>6.0327164459510554</v>
      </c>
      <c r="F35" s="57">
        <f>'Data IBS per Tahun'!X35</f>
        <v>10.943522029421908</v>
      </c>
      <c r="G35" s="57">
        <f>'Data IBS per Tahun'!AG35</f>
        <v>11.982183540851695</v>
      </c>
      <c r="H35" s="57">
        <f>'Data IBS per Tahun'!AP35</f>
        <v>10.156831144045332</v>
      </c>
      <c r="I35" s="57">
        <f>'Data IBS per Tahun'!AY35</f>
        <v>11.017647275358195</v>
      </c>
      <c r="J35" s="57">
        <f>'Data IBS per Tahun'!BH35</f>
        <v>7.9632770567616458</v>
      </c>
      <c r="K35" s="57">
        <f>'Data IBS per Tahun'!I35</f>
        <v>3.6896007069840739</v>
      </c>
      <c r="L35" s="57">
        <f>'Data IBS per Tahun'!R35</f>
        <v>2.7997304353064751</v>
      </c>
      <c r="M35" s="57">
        <f>'Data IBS per Tahun'!AA35</f>
        <v>3.4644918634745601</v>
      </c>
      <c r="N35" s="57">
        <f>'Data IBS per Tahun'!AJ35</f>
        <v>2.9233244420870816</v>
      </c>
      <c r="O35" s="57">
        <f>'Data IBS per Tahun'!AS35</f>
        <v>2.9738169530582259</v>
      </c>
      <c r="P35" s="57">
        <f>'Data IBS per Tahun'!BB35</f>
        <v>2.6381686997799778</v>
      </c>
      <c r="Q35" s="57">
        <f>'Data IBS per Tahun'!BK35</f>
        <v>2.9654109235703525</v>
      </c>
      <c r="R35" s="57">
        <f>'Data IBS per Tahun'!L35</f>
        <v>5.5291611635063287</v>
      </c>
      <c r="S35" s="57">
        <f>'Data IBS per Tahun'!U35</f>
        <v>4.9645737440781419</v>
      </c>
      <c r="T35" s="57">
        <f>'Data IBS per Tahun'!AD35</f>
        <v>5.7166129309298883</v>
      </c>
      <c r="U35" s="57">
        <f>'Data IBS per Tahun'!AM35</f>
        <v>6.3567055409757849</v>
      </c>
      <c r="V35" s="57">
        <f>'Data IBS per Tahun'!AV35</f>
        <v>6.064120161712613</v>
      </c>
      <c r="W35" s="57">
        <f>'Data IBS per Tahun'!BE35</f>
        <v>5.8565946881752557</v>
      </c>
      <c r="X35" s="57">
        <f>'Data IBS per Tahun'!BN35</f>
        <v>5.1696765360310808</v>
      </c>
    </row>
    <row r="36" spans="1:24" ht="14.25" x14ac:dyDescent="0.45">
      <c r="A36" s="54">
        <v>13</v>
      </c>
      <c r="B36" s="58" t="s">
        <v>56</v>
      </c>
      <c r="C36" s="57">
        <f>'Data IBS per Tahun'!C36</f>
        <v>62.238102947337218</v>
      </c>
      <c r="D36" s="57">
        <f>'Data IBS per Tahun'!F36</f>
        <v>0.73298033006151431</v>
      </c>
      <c r="E36" s="57">
        <f>'Data IBS per Tahun'!O36</f>
        <v>0.55905284979398173</v>
      </c>
      <c r="F36" s="57">
        <f>'Data IBS per Tahun'!X36</f>
        <v>3.1384832137742702</v>
      </c>
      <c r="G36" s="57">
        <f>'Data IBS per Tahun'!AG36</f>
        <v>5.5060856399446561</v>
      </c>
      <c r="H36" s="57">
        <f>'Data IBS per Tahun'!AP36</f>
        <v>4.3839972458704333</v>
      </c>
      <c r="I36" s="57">
        <f>'Data IBS per Tahun'!AY36</f>
        <v>3.5009209397853098</v>
      </c>
      <c r="J36" s="57">
        <f>'Data IBS per Tahun'!BH36</f>
        <v>0.96051259225642216</v>
      </c>
      <c r="K36" s="57">
        <f>'Data IBS per Tahun'!I36</f>
        <v>10.973860771004873</v>
      </c>
      <c r="L36" s="57">
        <f>'Data IBS per Tahun'!R36</f>
        <v>6.7440372085194298</v>
      </c>
      <c r="M36" s="57">
        <f>'Data IBS per Tahun'!AA36</f>
        <v>7.7603509087022946</v>
      </c>
      <c r="N36" s="57">
        <f>'Data IBS per Tahun'!AJ36</f>
        <v>8.5536036102111694</v>
      </c>
      <c r="O36" s="57">
        <f>'Data IBS per Tahun'!AS36</f>
        <v>7.5652911366231033</v>
      </c>
      <c r="P36" s="57">
        <f>'Data IBS per Tahun'!BB36</f>
        <v>6.9155868890652936</v>
      </c>
      <c r="Q36" s="57">
        <f>'Data IBS per Tahun'!BK36</f>
        <v>5.1537691054292685</v>
      </c>
      <c r="R36" s="57">
        <f>'Data IBS per Tahun'!L36</f>
        <v>7.9833114728131109</v>
      </c>
      <c r="S36" s="57">
        <f>'Data IBS per Tahun'!U36</f>
        <v>5.3912248940217715</v>
      </c>
      <c r="T36" s="57">
        <f>'Data IBS per Tahun'!AD36</f>
        <v>7.52494367224309</v>
      </c>
      <c r="U36" s="57">
        <f>'Data IBS per Tahun'!AM36</f>
        <v>6.340206855853955</v>
      </c>
      <c r="V36" s="57">
        <f>'Data IBS per Tahun'!AV36</f>
        <v>5.1743049957658398</v>
      </c>
      <c r="W36" s="57">
        <f>'Data IBS per Tahun'!BE36</f>
        <v>5.0688379641342083</v>
      </c>
      <c r="X36" s="57">
        <f>'Data IBS per Tahun'!BN36</f>
        <v>2.3006415387516195</v>
      </c>
    </row>
    <row r="37" spans="1:24" ht="14.25" x14ac:dyDescent="0.45">
      <c r="A37" s="54">
        <v>14</v>
      </c>
      <c r="B37" s="58" t="s">
        <v>57</v>
      </c>
      <c r="C37" s="57">
        <f>'Data IBS per Tahun'!C37</f>
        <v>63.854099692619748</v>
      </c>
      <c r="D37" s="57">
        <f>'Data IBS per Tahun'!F37</f>
        <v>0.47011442011741605</v>
      </c>
      <c r="E37" s="57">
        <f>'Data IBS per Tahun'!O37</f>
        <v>1.0916158873578694</v>
      </c>
      <c r="F37" s="57">
        <f>'Data IBS per Tahun'!X37</f>
        <v>5.3070037047658714</v>
      </c>
      <c r="G37" s="57">
        <f>'Data IBS per Tahun'!AG37</f>
        <v>3.3554430837548757</v>
      </c>
      <c r="H37" s="57">
        <f>'Data IBS per Tahun'!AP37</f>
        <v>3.8444343515946215</v>
      </c>
      <c r="I37" s="57">
        <f>'Data IBS per Tahun'!AY37</f>
        <v>1.3072317038951453</v>
      </c>
      <c r="J37" s="57">
        <f>'Data IBS per Tahun'!BH37</f>
        <v>0.76063298809830648</v>
      </c>
      <c r="K37" s="57">
        <f>'Data IBS per Tahun'!I37</f>
        <v>1.3887740045157895</v>
      </c>
      <c r="L37" s="57">
        <f>'Data IBS per Tahun'!R37</f>
        <v>1.9977579845203759</v>
      </c>
      <c r="M37" s="57">
        <f>'Data IBS per Tahun'!AA37</f>
        <v>2.37933736424917</v>
      </c>
      <c r="N37" s="57">
        <f>'Data IBS per Tahun'!AJ37</f>
        <v>1.3154146061068481</v>
      </c>
      <c r="O37" s="57">
        <f>'Data IBS per Tahun'!AS37</f>
        <v>1.7613691937399658</v>
      </c>
      <c r="P37" s="57">
        <f>'Data IBS per Tahun'!BB37</f>
        <v>1.1833140789377072</v>
      </c>
      <c r="Q37" s="57">
        <f>'Data IBS per Tahun'!BK37</f>
        <v>1.6420370575141219</v>
      </c>
      <c r="R37" s="57">
        <f>'Data IBS per Tahun'!L37</f>
        <v>2.4224517872070357</v>
      </c>
      <c r="S37" s="57">
        <f>'Data IBS per Tahun'!U37</f>
        <v>2.8913818836439398</v>
      </c>
      <c r="T37" s="57">
        <f>'Data IBS per Tahun'!AD37</f>
        <v>2.4893288834290233</v>
      </c>
      <c r="U37" s="57">
        <f>'Data IBS per Tahun'!AM37</f>
        <v>2.394475802720939</v>
      </c>
      <c r="V37" s="57">
        <f>'Data IBS per Tahun'!AV37</f>
        <v>2.0887252209448972</v>
      </c>
      <c r="W37" s="57">
        <f>'Data IBS per Tahun'!BE37</f>
        <v>1.813384609402136</v>
      </c>
      <c r="X37" s="57">
        <f>'Data IBS per Tahun'!BN37</f>
        <v>1.7322496857521223</v>
      </c>
    </row>
    <row r="38" spans="1:24" ht="14.25" x14ac:dyDescent="0.45">
      <c r="A38" s="54">
        <v>17</v>
      </c>
      <c r="B38" s="58" t="s">
        <v>58</v>
      </c>
      <c r="C38" s="57">
        <f>'Data IBS per Tahun'!C38</f>
        <v>71.364534034398872</v>
      </c>
      <c r="D38" s="57">
        <f>'Data IBS per Tahun'!F38</f>
        <v>0.46810596147328976</v>
      </c>
      <c r="E38" s="57">
        <f>'Data IBS per Tahun'!O38</f>
        <v>4.4745270909520825</v>
      </c>
      <c r="F38" s="57">
        <f>'Data IBS per Tahun'!X38</f>
        <v>6.6281144547150325E-2</v>
      </c>
      <c r="G38" s="57">
        <f>'Data IBS per Tahun'!AG38</f>
        <v>6.6519507657681456E-2</v>
      </c>
      <c r="H38" s="57">
        <f>'Data IBS per Tahun'!AP38</f>
        <v>0.23526624559301029</v>
      </c>
      <c r="I38" s="57">
        <f>'Data IBS per Tahun'!AY38</f>
        <v>1.0256564299040047</v>
      </c>
      <c r="J38" s="57">
        <f>'Data IBS per Tahun'!BH38</f>
        <v>0.97251384282307662</v>
      </c>
      <c r="K38" s="57">
        <f>'Data IBS per Tahun'!I38</f>
        <v>5.6438124932445346</v>
      </c>
      <c r="L38" s="57">
        <f>'Data IBS per Tahun'!R38</f>
        <v>3.6249693003092749</v>
      </c>
      <c r="M38" s="57">
        <f>'Data IBS per Tahun'!AA38</f>
        <v>9.0810614365204785</v>
      </c>
      <c r="N38" s="57">
        <f>'Data IBS per Tahun'!AJ38</f>
        <v>3.2356237366177076</v>
      </c>
      <c r="O38" s="57">
        <f>'Data IBS per Tahun'!AS38</f>
        <v>1.6150569867929307</v>
      </c>
      <c r="P38" s="57">
        <f>'Data IBS per Tahun'!BB38</f>
        <v>1.7562397900377607</v>
      </c>
      <c r="Q38" s="57">
        <f>'Data IBS per Tahun'!BK38</f>
        <v>1.6218860858203763</v>
      </c>
      <c r="R38" s="57">
        <f>'Data IBS per Tahun'!L38</f>
        <v>3.2442293355091723</v>
      </c>
      <c r="S38" s="57">
        <f>'Data IBS per Tahun'!U38</f>
        <v>3.062691150687165</v>
      </c>
      <c r="T38" s="57">
        <f>'Data IBS per Tahun'!AD38</f>
        <v>5.2303399215747124</v>
      </c>
      <c r="U38" s="57">
        <f>'Data IBS per Tahun'!AM38</f>
        <v>4.4170698315619328</v>
      </c>
      <c r="V38" s="57">
        <f>'Data IBS per Tahun'!AV38</f>
        <v>4.065134686078717</v>
      </c>
      <c r="W38" s="57">
        <f>'Data IBS per Tahun'!BE38</f>
        <v>4.614397050347276</v>
      </c>
      <c r="X38" s="57">
        <f>'Data IBS per Tahun'!BN38</f>
        <v>5.0820267448052432</v>
      </c>
    </row>
    <row r="39" spans="1:24" ht="14.25" x14ac:dyDescent="0.45">
      <c r="A39" s="54">
        <v>16</v>
      </c>
      <c r="B39" s="58" t="s">
        <v>59</v>
      </c>
      <c r="C39" s="57">
        <f>'Data IBS per Tahun'!C39</f>
        <v>82.283255813953488</v>
      </c>
      <c r="D39" s="57">
        <f>'Data IBS per Tahun'!F39</f>
        <v>0.98438137574698803</v>
      </c>
      <c r="E39" s="57">
        <f>'Data IBS per Tahun'!O39</f>
        <v>0.91670590790518636</v>
      </c>
      <c r="F39" s="57">
        <f>'Data IBS per Tahun'!X39</f>
        <v>13.531112563669904</v>
      </c>
      <c r="G39" s="57">
        <f>'Data IBS per Tahun'!AG39</f>
        <v>9.3381952848521745</v>
      </c>
      <c r="H39" s="57">
        <f>'Data IBS per Tahun'!AP39</f>
        <v>8.0163941184847651</v>
      </c>
      <c r="I39" s="57">
        <f>'Data IBS per Tahun'!AY39</f>
        <v>21.107610171744877</v>
      </c>
      <c r="J39" s="57">
        <f>'Data IBS per Tahun'!BH39</f>
        <v>5.9905761429682132</v>
      </c>
      <c r="K39" s="57">
        <f>'Data IBS per Tahun'!I39</f>
        <v>4.4945636712904431</v>
      </c>
      <c r="L39" s="57">
        <f>'Data IBS per Tahun'!R39</f>
        <v>6.0327128910133938</v>
      </c>
      <c r="M39" s="57">
        <f>'Data IBS per Tahun'!AA39</f>
        <v>2.6835507226210606</v>
      </c>
      <c r="N39" s="57">
        <f>'Data IBS per Tahun'!AJ39</f>
        <v>4.5004271308937431</v>
      </c>
      <c r="O39" s="57">
        <f>'Data IBS per Tahun'!AS39</f>
        <v>5.2654355338106367</v>
      </c>
      <c r="P39" s="57">
        <f>'Data IBS per Tahun'!BB39</f>
        <v>4.5011429751314154</v>
      </c>
      <c r="Q39" s="57">
        <f>'Data IBS per Tahun'!BK39</f>
        <v>6.0315824777772145</v>
      </c>
      <c r="R39" s="57">
        <f>'Data IBS per Tahun'!L39</f>
        <v>8.1396089636335009</v>
      </c>
      <c r="S39" s="57">
        <f>'Data IBS per Tahun'!U39</f>
        <v>5.6399230446245721</v>
      </c>
      <c r="T39" s="57">
        <f>'Data IBS per Tahun'!AD39</f>
        <v>5.5190153875392252</v>
      </c>
      <c r="U39" s="57">
        <f>'Data IBS per Tahun'!AM39</f>
        <v>5.6554831115136501</v>
      </c>
      <c r="V39" s="57">
        <f>'Data IBS per Tahun'!AV39</f>
        <v>6.2131364366306112</v>
      </c>
      <c r="W39" s="57">
        <f>'Data IBS per Tahun'!BE39</f>
        <v>6.059345999925644</v>
      </c>
      <c r="X39" s="57">
        <f>'Data IBS per Tahun'!BN39</f>
        <v>6.4448753082248897</v>
      </c>
    </row>
    <row r="40" spans="1:24" ht="14.25" x14ac:dyDescent="0.45">
      <c r="A40" s="54">
        <v>17</v>
      </c>
      <c r="B40" s="58" t="s">
        <v>61</v>
      </c>
      <c r="C40" s="57">
        <f>'Data IBS per Tahun'!C40</f>
        <v>86.891999999999996</v>
      </c>
      <c r="D40" s="57">
        <f>'Data IBS per Tahun'!F40</f>
        <v>7.7126132794589066E-3</v>
      </c>
      <c r="E40" s="57">
        <f>'Data IBS per Tahun'!O40</f>
        <v>0.21943553472154603</v>
      </c>
      <c r="F40" s="57">
        <f>'Data IBS per Tahun'!X40</f>
        <v>5.5701257842039421E-2</v>
      </c>
      <c r="G40" s="57">
        <f>'Data IBS per Tahun'!AG40</f>
        <v>0.49416380334974203</v>
      </c>
      <c r="H40" s="57">
        <f>'Data IBS per Tahun'!AP40</f>
        <v>1.1206220704260986E-2</v>
      </c>
      <c r="I40" s="57">
        <f>'Data IBS per Tahun'!AY40</f>
        <v>1.4670292840956002E-2</v>
      </c>
      <c r="J40" s="57">
        <f>'Data IBS per Tahun'!BH40</f>
        <v>4.6269137073251749E-3</v>
      </c>
      <c r="K40" s="57">
        <f>'Data IBS per Tahun'!I40</f>
        <v>1.8099966980152011</v>
      </c>
      <c r="L40" s="57">
        <f>'Data IBS per Tahun'!R40</f>
        <v>1.4813896840238023</v>
      </c>
      <c r="M40" s="57">
        <f>'Data IBS per Tahun'!AA40</f>
        <v>2.1785626833347784</v>
      </c>
      <c r="N40" s="57">
        <f>'Data IBS per Tahun'!AJ40</f>
        <v>1.7469988208933342</v>
      </c>
      <c r="O40" s="57">
        <f>'Data IBS per Tahun'!AS40</f>
        <v>1.2974416073180683</v>
      </c>
      <c r="P40" s="57">
        <f>'Data IBS per Tahun'!BB40</f>
        <v>1.4274611392040633</v>
      </c>
      <c r="Q40" s="57">
        <f>'Data IBS per Tahun'!BK40</f>
        <v>1.3979568985465474</v>
      </c>
      <c r="R40" s="57">
        <f>'Data IBS per Tahun'!L40</f>
        <v>3.7773047821513126</v>
      </c>
      <c r="S40" s="57">
        <f>'Data IBS per Tahun'!U40</f>
        <v>4.4400558040346381</v>
      </c>
      <c r="T40" s="57">
        <f>'Data IBS per Tahun'!AD40</f>
        <v>3.6638732302726287</v>
      </c>
      <c r="U40" s="57">
        <f>'Data IBS per Tahun'!AM40</f>
        <v>5.1772680026167803</v>
      </c>
      <c r="V40" s="57">
        <f>'Data IBS per Tahun'!AV40</f>
        <v>4.1512704958083573</v>
      </c>
      <c r="W40" s="57">
        <f>'Data IBS per Tahun'!BE40</f>
        <v>3.0734201437808273</v>
      </c>
      <c r="X40" s="57">
        <f>'Data IBS per Tahun'!BN40</f>
        <v>2.8383428473510679</v>
      </c>
    </row>
    <row r="41" spans="1:24" ht="14.25" x14ac:dyDescent="0.45">
      <c r="A41" s="54">
        <v>18</v>
      </c>
      <c r="B41" s="58" t="s">
        <v>62</v>
      </c>
      <c r="C41" s="57">
        <f>'Data IBS per Tahun'!C41</f>
        <v>66.907638888888883</v>
      </c>
      <c r="D41" s="57">
        <f>'Data IBS per Tahun'!F41</f>
        <v>13.294370087488325</v>
      </c>
      <c r="E41" s="57">
        <f>'Data IBS per Tahun'!O41</f>
        <v>8.9576920729739395</v>
      </c>
      <c r="F41" s="57">
        <f>'Data IBS per Tahun'!X41</f>
        <v>9.0841073459291177</v>
      </c>
      <c r="G41" s="57">
        <f>'Data IBS per Tahun'!AG41</f>
        <v>11.33265935452048</v>
      </c>
      <c r="H41" s="57">
        <f>'Data IBS per Tahun'!AP41</f>
        <v>16.674500175593241</v>
      </c>
      <c r="I41" s="57">
        <f>'Data IBS per Tahun'!AY41</f>
        <v>6.4326442404972681</v>
      </c>
      <c r="J41" s="57">
        <f>'Data IBS per Tahun'!BH41</f>
        <v>9.3969148693785698</v>
      </c>
      <c r="K41" s="57">
        <f>'Data IBS per Tahun'!I41</f>
        <v>5.6245233295326837</v>
      </c>
      <c r="L41" s="57">
        <f>'Data IBS per Tahun'!R41</f>
        <v>8.0669281494458343</v>
      </c>
      <c r="M41" s="57">
        <f>'Data IBS per Tahun'!AA41</f>
        <v>6.498733059098817</v>
      </c>
      <c r="N41" s="57">
        <f>'Data IBS per Tahun'!AJ41</f>
        <v>2.0131575344605235</v>
      </c>
      <c r="O41" s="57">
        <f>'Data IBS per Tahun'!AS41</f>
        <v>5.0594910671654638</v>
      </c>
      <c r="P41" s="57">
        <f>'Data IBS per Tahun'!BB41</f>
        <v>2.0529966340121537</v>
      </c>
      <c r="Q41" s="57">
        <f>'Data IBS per Tahun'!BK41</f>
        <v>3.7835383427678817</v>
      </c>
      <c r="R41" s="57">
        <f>'Data IBS per Tahun'!L41</f>
        <v>5.96955980496893</v>
      </c>
      <c r="S41" s="57">
        <f>'Data IBS per Tahun'!U41</f>
        <v>5.9911925790356122</v>
      </c>
      <c r="T41" s="57">
        <f>'Data IBS per Tahun'!AD41</f>
        <v>7.326071810486928</v>
      </c>
      <c r="U41" s="57">
        <f>'Data IBS per Tahun'!AM41</f>
        <v>7.2725682276262233</v>
      </c>
      <c r="V41" s="57">
        <f>'Data IBS per Tahun'!AV41</f>
        <v>7.1616367440436717</v>
      </c>
      <c r="W41" s="57">
        <f>'Data IBS per Tahun'!BE41</f>
        <v>4.6852055466333935</v>
      </c>
      <c r="X41" s="57">
        <f>'Data IBS per Tahun'!BN41</f>
        <v>5.3641220631647935</v>
      </c>
    </row>
    <row r="42" spans="1:24" ht="14.25" x14ac:dyDescent="0.45">
      <c r="A42" s="54">
        <v>19</v>
      </c>
      <c r="B42" s="58" t="s">
        <v>63</v>
      </c>
      <c r="C42" s="57">
        <f>'Data IBS per Tahun'!C42</f>
        <v>88.029707214493683</v>
      </c>
      <c r="D42" s="57">
        <f>'Data IBS per Tahun'!F42</f>
        <v>0.39376654288572144</v>
      </c>
      <c r="E42" s="57">
        <f>'Data IBS per Tahun'!O42</f>
        <v>0.26802743773647508</v>
      </c>
      <c r="F42" s="57">
        <f>'Data IBS per Tahun'!X42</f>
        <v>1.1837960471006652</v>
      </c>
      <c r="G42" s="57">
        <f>'Data IBS per Tahun'!AG42</f>
        <v>0.59892422681191726</v>
      </c>
      <c r="H42" s="57">
        <f>'Data IBS per Tahun'!AP42</f>
        <v>1.4427548612765901</v>
      </c>
      <c r="I42" s="57">
        <f>'Data IBS per Tahun'!AY42</f>
        <v>0.40064984363740702</v>
      </c>
      <c r="J42" s="57">
        <f>'Data IBS per Tahun'!BH42</f>
        <v>0.21307169707463999</v>
      </c>
      <c r="K42" s="57">
        <f>'Data IBS per Tahun'!I42</f>
        <v>5.2130415136865365</v>
      </c>
      <c r="L42" s="57">
        <f>'Data IBS per Tahun'!R42</f>
        <v>2.1119795226223803</v>
      </c>
      <c r="M42" s="57">
        <f>'Data IBS per Tahun'!AA42</f>
        <v>2.7540222881377141</v>
      </c>
      <c r="N42" s="57">
        <f>'Data IBS per Tahun'!AJ42</f>
        <v>1.8947255449168861</v>
      </c>
      <c r="O42" s="57">
        <f>'Data IBS per Tahun'!AS42</f>
        <v>2.0351766062873091</v>
      </c>
      <c r="P42" s="57">
        <f>'Data IBS per Tahun'!BB42</f>
        <v>1.9676743386295066</v>
      </c>
      <c r="Q42" s="57">
        <f>'Data IBS per Tahun'!BK42</f>
        <v>1.6920473848859239</v>
      </c>
      <c r="R42" s="57">
        <f>'Data IBS per Tahun'!L42</f>
        <v>4.2152206770105751</v>
      </c>
      <c r="S42" s="57">
        <f>'Data IBS per Tahun'!U42</f>
        <v>8.354891024094707</v>
      </c>
      <c r="T42" s="57">
        <f>'Data IBS per Tahun'!AD42</f>
        <v>4.7135711713149568</v>
      </c>
      <c r="U42" s="57">
        <f>'Data IBS per Tahun'!AM42</f>
        <v>2.9513218418611662</v>
      </c>
      <c r="V42" s="57">
        <f>'Data IBS per Tahun'!AV42</f>
        <v>3.250355711625883</v>
      </c>
      <c r="W42" s="57">
        <f>'Data IBS per Tahun'!BE42</f>
        <v>4.0147822551183108</v>
      </c>
      <c r="X42" s="57">
        <f>'Data IBS per Tahun'!BN42</f>
        <v>3.8436935674931219</v>
      </c>
    </row>
    <row r="43" spans="1:24" ht="14.25" x14ac:dyDescent="0.45">
      <c r="A43" s="54">
        <v>21</v>
      </c>
      <c r="B43" s="58" t="s">
        <v>23</v>
      </c>
      <c r="C43" s="57">
        <f>'Data IBS per Tahun'!C43</f>
        <v>77.710719236364028</v>
      </c>
      <c r="D43" s="57">
        <f>'Data IBS per Tahun'!F43</f>
        <v>38.265498903606506</v>
      </c>
      <c r="E43" s="57">
        <f>'Data IBS per Tahun'!O43</f>
        <v>60.58307003249287</v>
      </c>
      <c r="F43" s="57">
        <f>'Data IBS per Tahun'!X43</f>
        <v>67.879695797394163</v>
      </c>
      <c r="G43" s="57">
        <f>'Data IBS per Tahun'!AG43</f>
        <v>49.239770278940654</v>
      </c>
      <c r="H43" s="57">
        <f>'Data IBS per Tahun'!AP43</f>
        <v>61.543692856927414</v>
      </c>
      <c r="I43" s="57">
        <f>'Data IBS per Tahun'!AY43</f>
        <v>49.970920736416971</v>
      </c>
      <c r="J43" s="57">
        <f>'Data IBS per Tahun'!BH43</f>
        <v>52.639083624312356</v>
      </c>
      <c r="K43" s="57">
        <f>'Data IBS per Tahun'!I43</f>
        <v>14.589796095718036</v>
      </c>
      <c r="L43" s="57">
        <f>'Data IBS per Tahun'!R43</f>
        <v>8.8213262846112208</v>
      </c>
      <c r="M43" s="57">
        <f>'Data IBS per Tahun'!AA43</f>
        <v>30.212966079521035</v>
      </c>
      <c r="N43" s="57">
        <f>'Data IBS per Tahun'!AJ43</f>
        <v>5.8262502706090382</v>
      </c>
      <c r="O43" s="57">
        <f>'Data IBS per Tahun'!AS43</f>
        <v>4.5814517102917778</v>
      </c>
      <c r="P43" s="57">
        <f>'Data IBS per Tahun'!BB43</f>
        <v>5.9288808464782887</v>
      </c>
      <c r="Q43" s="57">
        <f>'Data IBS per Tahun'!BK43</f>
        <v>10.280832388117847</v>
      </c>
      <c r="R43" s="57">
        <f>'Data IBS per Tahun'!L43</f>
        <v>17.423993408477294</v>
      </c>
      <c r="S43" s="57">
        <f>'Data IBS per Tahun'!U43</f>
        <v>32.342639679318275</v>
      </c>
      <c r="T43" s="57">
        <f>'Data IBS per Tahun'!AD43</f>
        <v>41.025828691961699</v>
      </c>
      <c r="U43" s="57">
        <f>'Data IBS per Tahun'!AM43</f>
        <v>21.151589262419893</v>
      </c>
      <c r="V43" s="57">
        <f>'Data IBS per Tahun'!AV43</f>
        <v>20.853985974173948</v>
      </c>
      <c r="W43" s="57">
        <f>'Data IBS per Tahun'!BE43</f>
        <v>26.57201532637411</v>
      </c>
      <c r="X43" s="57">
        <f>'Data IBS per Tahun'!BN43</f>
        <v>16.576210369185343</v>
      </c>
    </row>
    <row r="44" spans="1:24" ht="14.25" x14ac:dyDescent="0.45">
      <c r="A44" s="54">
        <v>31</v>
      </c>
      <c r="B44" s="58" t="s">
        <v>64</v>
      </c>
      <c r="C44" s="57">
        <f>'Data IBS per Tahun'!C44</f>
        <v>38.218826762575027</v>
      </c>
      <c r="D44" s="57">
        <f>'Data IBS per Tahun'!F44</f>
        <v>30.348546028602978</v>
      </c>
      <c r="E44" s="57">
        <f>'Data IBS per Tahun'!O44</f>
        <v>21.304112551166842</v>
      </c>
      <c r="F44" s="57">
        <f>'Data IBS per Tahun'!X44</f>
        <v>22.527011621088544</v>
      </c>
      <c r="G44" s="57">
        <f>'Data IBS per Tahun'!AG44</f>
        <v>29.796313012100111</v>
      </c>
      <c r="H44" s="57">
        <f>'Data IBS per Tahun'!AP44</f>
        <v>39.125108560810581</v>
      </c>
      <c r="I44" s="57">
        <f>'Data IBS per Tahun'!AY44</f>
        <v>38.15683227160104</v>
      </c>
      <c r="J44" s="57">
        <f>'Data IBS per Tahun'!BH44</f>
        <v>41.994470392039666</v>
      </c>
      <c r="K44" s="57">
        <f>'Data IBS per Tahun'!I44</f>
        <v>22.975229983916215</v>
      </c>
      <c r="L44" s="57">
        <f>'Data IBS per Tahun'!R44</f>
        <v>8.9645402918349237</v>
      </c>
      <c r="M44" s="57">
        <f>'Data IBS per Tahun'!AA44</f>
        <v>6.2478828591159505</v>
      </c>
      <c r="N44" s="57">
        <f>'Data IBS per Tahun'!AJ44</f>
        <v>2.3314857610368542</v>
      </c>
      <c r="O44" s="57">
        <f>'Data IBS per Tahun'!AS44</f>
        <v>1.7432375412421475</v>
      </c>
      <c r="P44" s="57">
        <f>'Data IBS per Tahun'!BB44</f>
        <v>1.9079393851918016</v>
      </c>
      <c r="Q44" s="57">
        <f>'Data IBS per Tahun'!BK44</f>
        <v>2.2284206034743614</v>
      </c>
      <c r="R44" s="57">
        <f>'Data IBS per Tahun'!L44</f>
        <v>13.75046243305928</v>
      </c>
      <c r="S44" s="57">
        <f>'Data IBS per Tahun'!U44</f>
        <v>9.7301938225287401</v>
      </c>
      <c r="T44" s="57">
        <f>'Data IBS per Tahun'!AD44</f>
        <v>7.4626983174128085</v>
      </c>
      <c r="U44" s="57">
        <f>'Data IBS per Tahun'!AM44</f>
        <v>7.8385217520164252</v>
      </c>
      <c r="V44" s="57">
        <f>'Data IBS per Tahun'!AV44</f>
        <v>6.3943058944865054</v>
      </c>
      <c r="W44" s="57">
        <f>'Data IBS per Tahun'!BE44</f>
        <v>6.6598989419857295</v>
      </c>
      <c r="X44" s="57">
        <f>'Data IBS per Tahun'!BN44</f>
        <v>6.9505584050183185</v>
      </c>
    </row>
    <row r="45" spans="1:24" ht="14.25" x14ac:dyDescent="0.45">
      <c r="A45" s="54">
        <v>32</v>
      </c>
      <c r="B45" s="58" t="s">
        <v>15</v>
      </c>
      <c r="C45" s="57">
        <f>'Data IBS per Tahun'!C45</f>
        <v>36.321701528575787</v>
      </c>
      <c r="D45" s="57">
        <f>'Data IBS per Tahun'!F45</f>
        <v>38.159048027228323</v>
      </c>
      <c r="E45" s="57">
        <f>'Data IBS per Tahun'!O45</f>
        <v>28.604320045328734</v>
      </c>
      <c r="F45" s="57">
        <f>'Data IBS per Tahun'!X45</f>
        <v>32.096999838101183</v>
      </c>
      <c r="G45" s="57">
        <f>'Data IBS per Tahun'!AG45</f>
        <v>30.403132566583025</v>
      </c>
      <c r="H45" s="57">
        <f>'Data IBS per Tahun'!AP45</f>
        <v>36.804962035439026</v>
      </c>
      <c r="I45" s="57">
        <f>'Data IBS per Tahun'!AY45</f>
        <v>38.496741859766644</v>
      </c>
      <c r="J45" s="57">
        <f>'Data IBS per Tahun'!BH45</f>
        <v>38.619669052024818</v>
      </c>
      <c r="K45" s="57">
        <f>'Data IBS per Tahun'!I45</f>
        <v>16.912712196609714</v>
      </c>
      <c r="L45" s="57">
        <f>'Data IBS per Tahun'!R45</f>
        <v>10.145460745470688</v>
      </c>
      <c r="M45" s="57">
        <f>'Data IBS per Tahun'!AA45</f>
        <v>8.339889312701839</v>
      </c>
      <c r="N45" s="57">
        <f>'Data IBS per Tahun'!AJ45</f>
        <v>3.9264977177226732</v>
      </c>
      <c r="O45" s="57">
        <f>'Data IBS per Tahun'!AS45</f>
        <v>3.0317201657253765</v>
      </c>
      <c r="P45" s="57">
        <f>'Data IBS per Tahun'!BB45</f>
        <v>3.1249617752201901</v>
      </c>
      <c r="Q45" s="57">
        <f>'Data IBS per Tahun'!BK45</f>
        <v>4.5195088417254254</v>
      </c>
      <c r="R45" s="57">
        <f>'Data IBS per Tahun'!L45</f>
        <v>10.496624873344121</v>
      </c>
      <c r="S45" s="57">
        <f>'Data IBS per Tahun'!U45</f>
        <v>17.240762694799031</v>
      </c>
      <c r="T45" s="57">
        <f>'Data IBS per Tahun'!AD45</f>
        <v>12.760444202682944</v>
      </c>
      <c r="U45" s="57">
        <f>'Data IBS per Tahun'!AM45</f>
        <v>11.356439002489616</v>
      </c>
      <c r="V45" s="57">
        <f>'Data IBS per Tahun'!AV45</f>
        <v>10.351612410239744</v>
      </c>
      <c r="W45" s="57">
        <f>'Data IBS per Tahun'!BE45</f>
        <v>12.343270647109087</v>
      </c>
      <c r="X45" s="57">
        <f>'Data IBS per Tahun'!BN45</f>
        <v>12.918694621500789</v>
      </c>
    </row>
    <row r="46" spans="1:24" ht="14.25" x14ac:dyDescent="0.45">
      <c r="A46" s="54">
        <v>33</v>
      </c>
      <c r="B46" s="58" t="s">
        <v>16</v>
      </c>
      <c r="C46" s="57">
        <f>'Data IBS per Tahun'!C46</f>
        <v>74.558131852465024</v>
      </c>
      <c r="D46" s="57">
        <f>'Data IBS per Tahun'!F46</f>
        <v>20.383104570680779</v>
      </c>
      <c r="E46" s="57">
        <f>'Data IBS per Tahun'!O46</f>
        <v>17.655951473937829</v>
      </c>
      <c r="F46" s="57">
        <f>'Data IBS per Tahun'!X46</f>
        <v>22.533190867098753</v>
      </c>
      <c r="G46" s="57">
        <f>'Data IBS per Tahun'!AG46</f>
        <v>20.195111820483362</v>
      </c>
      <c r="H46" s="57">
        <f>'Data IBS per Tahun'!AP46</f>
        <v>29.320159442382216</v>
      </c>
      <c r="I46" s="57">
        <f>'Data IBS per Tahun'!AY46</f>
        <v>26.200982284794421</v>
      </c>
      <c r="J46" s="57">
        <f>'Data IBS per Tahun'!BH46</f>
        <v>40.809013799983994</v>
      </c>
      <c r="K46" s="57">
        <f>'Data IBS per Tahun'!I46</f>
        <v>8.5447524819867802</v>
      </c>
      <c r="L46" s="57">
        <f>'Data IBS per Tahun'!R46</f>
        <v>14.513329878373698</v>
      </c>
      <c r="M46" s="57">
        <f>'Data IBS per Tahun'!AA46</f>
        <v>6.6276855372365207</v>
      </c>
      <c r="N46" s="57">
        <f>'Data IBS per Tahun'!AJ46</f>
        <v>3.8185956289368765</v>
      </c>
      <c r="O46" s="57">
        <f>'Data IBS per Tahun'!AS46</f>
        <v>4.5712755534651572</v>
      </c>
      <c r="P46" s="57">
        <f>'Data IBS per Tahun'!BB46</f>
        <v>3.1487283664283194</v>
      </c>
      <c r="Q46" s="57">
        <f>'Data IBS per Tahun'!BK46</f>
        <v>5.0111541921899487</v>
      </c>
      <c r="R46" s="57">
        <f>'Data IBS per Tahun'!L46</f>
        <v>12.895054036919529</v>
      </c>
      <c r="S46" s="57">
        <f>'Data IBS per Tahun'!U46</f>
        <v>19.285071010463927</v>
      </c>
      <c r="T46" s="57">
        <f>'Data IBS per Tahun'!AD46</f>
        <v>12.97819407107051</v>
      </c>
      <c r="U46" s="57">
        <f>'Data IBS per Tahun'!AM46</f>
        <v>13.780822802670063</v>
      </c>
      <c r="V46" s="57">
        <f>'Data IBS per Tahun'!AV46</f>
        <v>15.908353076306483</v>
      </c>
      <c r="W46" s="57">
        <f>'Data IBS per Tahun'!BE46</f>
        <v>13.446227571290553</v>
      </c>
      <c r="X46" s="57">
        <f>'Data IBS per Tahun'!BN46</f>
        <v>17.335353111522743</v>
      </c>
    </row>
    <row r="47" spans="1:24" ht="14.25" x14ac:dyDescent="0.45">
      <c r="A47" s="54">
        <v>34</v>
      </c>
      <c r="B47" s="58" t="s">
        <v>65</v>
      </c>
      <c r="C47" s="57">
        <f>'Data IBS per Tahun'!C47</f>
        <v>77.384182029778884</v>
      </c>
      <c r="D47" s="57">
        <f>'Data IBS per Tahun'!F47</f>
        <v>31.068102571012485</v>
      </c>
      <c r="E47" s="57">
        <f>'Data IBS per Tahun'!O47</f>
        <v>24.157190381524256</v>
      </c>
      <c r="F47" s="57">
        <f>'Data IBS per Tahun'!X47</f>
        <v>28.126208390500899</v>
      </c>
      <c r="G47" s="57">
        <f>'Data IBS per Tahun'!AG47</f>
        <v>19.001619000427848</v>
      </c>
      <c r="H47" s="57">
        <f>'Data IBS per Tahun'!AP47</f>
        <v>29.708308610899209</v>
      </c>
      <c r="I47" s="57">
        <f>'Data IBS per Tahun'!AY47</f>
        <v>29.899443450316838</v>
      </c>
      <c r="J47" s="57">
        <f>'Data IBS per Tahun'!BH47</f>
        <v>30.500255473320848</v>
      </c>
      <c r="K47" s="57">
        <f>'Data IBS per Tahun'!I47</f>
        <v>12.895897005068196</v>
      </c>
      <c r="L47" s="57">
        <f>'Data IBS per Tahun'!R47</f>
        <v>12.971473200440636</v>
      </c>
      <c r="M47" s="57">
        <f>'Data IBS per Tahun'!AA47</f>
        <v>9.9788766590374678</v>
      </c>
      <c r="N47" s="57">
        <f>'Data IBS per Tahun'!AJ47</f>
        <v>5.8022743650080724</v>
      </c>
      <c r="O47" s="57">
        <f>'Data IBS per Tahun'!AS47</f>
        <v>10.487887125281224</v>
      </c>
      <c r="P47" s="57">
        <f>'Data IBS per Tahun'!BB47</f>
        <v>5.4969585844217672</v>
      </c>
      <c r="Q47" s="57">
        <f>'Data IBS per Tahun'!BK47</f>
        <v>6.3158531632815196</v>
      </c>
      <c r="R47" s="57">
        <f>'Data IBS per Tahun'!L47</f>
        <v>24.106810213769645</v>
      </c>
      <c r="S47" s="57">
        <f>'Data IBS per Tahun'!U47</f>
        <v>30.636566637156005</v>
      </c>
      <c r="T47" s="57">
        <f>'Data IBS per Tahun'!AD47</f>
        <v>27.267648400275903</v>
      </c>
      <c r="U47" s="57">
        <f>'Data IBS per Tahun'!AM47</f>
        <v>28.983620626217732</v>
      </c>
      <c r="V47" s="57">
        <f>'Data IBS per Tahun'!AV47</f>
        <v>41.194643287022274</v>
      </c>
      <c r="W47" s="57">
        <f>'Data IBS per Tahun'!BE47</f>
        <v>45.111602661983511</v>
      </c>
      <c r="X47" s="57">
        <f>'Data IBS per Tahun'!BN47</f>
        <v>40.318806630724112</v>
      </c>
    </row>
    <row r="48" spans="1:24" ht="14.25" x14ac:dyDescent="0.45">
      <c r="A48" s="54">
        <v>35</v>
      </c>
      <c r="B48" s="58" t="s">
        <v>14</v>
      </c>
      <c r="C48" s="57">
        <f>'Data IBS per Tahun'!C48</f>
        <v>43.31582197885821</v>
      </c>
      <c r="D48" s="57">
        <f>'Data IBS per Tahun'!F48</f>
        <v>21.309498325981874</v>
      </c>
      <c r="E48" s="57">
        <f>'Data IBS per Tahun'!O48</f>
        <v>18.770607969558899</v>
      </c>
      <c r="F48" s="57">
        <f>'Data IBS per Tahun'!X48</f>
        <v>16.463115653893421</v>
      </c>
      <c r="G48" s="57">
        <f>'Data IBS per Tahun'!AG48</f>
        <v>19.866166953339516</v>
      </c>
      <c r="H48" s="57">
        <f>'Data IBS per Tahun'!AP48</f>
        <v>21.419887898114396</v>
      </c>
      <c r="I48" s="57">
        <f>'Data IBS per Tahun'!AY48</f>
        <v>23.282799626179791</v>
      </c>
      <c r="J48" s="57">
        <f>'Data IBS per Tahun'!BH48</f>
        <v>24.728065738770905</v>
      </c>
      <c r="K48" s="57">
        <f>'Data IBS per Tahun'!I48</f>
        <v>12.104329432734854</v>
      </c>
      <c r="L48" s="57">
        <f>'Data IBS per Tahun'!R48</f>
        <v>8.215949806252965</v>
      </c>
      <c r="M48" s="57">
        <f>'Data IBS per Tahun'!AA48</f>
        <v>6.4942108707081942</v>
      </c>
      <c r="N48" s="57">
        <f>'Data IBS per Tahun'!AJ48</f>
        <v>5.5480337096040122</v>
      </c>
      <c r="O48" s="57">
        <f>'Data IBS per Tahun'!AS48</f>
        <v>5.3759001682324588</v>
      </c>
      <c r="P48" s="57">
        <f>'Data IBS per Tahun'!BB48</f>
        <v>3.7557067401869406</v>
      </c>
      <c r="Q48" s="57">
        <f>'Data IBS per Tahun'!BK48</f>
        <v>4.2804628359093071</v>
      </c>
      <c r="R48" s="57">
        <f>'Data IBS per Tahun'!L48</f>
        <v>11.390852906552048</v>
      </c>
      <c r="S48" s="57">
        <f>'Data IBS per Tahun'!U48</f>
        <v>13.247650133365916</v>
      </c>
      <c r="T48" s="57">
        <f>'Data IBS per Tahun'!AD48</f>
        <v>10.111733884857696</v>
      </c>
      <c r="U48" s="57">
        <f>'Data IBS per Tahun'!AM48</f>
        <v>10.490212538432541</v>
      </c>
      <c r="V48" s="57">
        <f>'Data IBS per Tahun'!AV48</f>
        <v>11.268700538038185</v>
      </c>
      <c r="W48" s="57">
        <f>'Data IBS per Tahun'!BE48</f>
        <v>10.224845056501799</v>
      </c>
      <c r="X48" s="57">
        <f>'Data IBS per Tahun'!BN48</f>
        <v>10.157830617193046</v>
      </c>
    </row>
    <row r="49" spans="1:24" ht="14.25" x14ac:dyDescent="0.45">
      <c r="A49" s="54">
        <v>36</v>
      </c>
      <c r="B49" s="58" t="s">
        <v>18</v>
      </c>
      <c r="C49" s="57">
        <f>'Data IBS per Tahun'!C49</f>
        <v>36.117925642920071</v>
      </c>
      <c r="D49" s="57">
        <f>'Data IBS per Tahun'!F49</f>
        <v>29.487721766550308</v>
      </c>
      <c r="E49" s="57">
        <f>'Data IBS per Tahun'!O49</f>
        <v>25.767125395354601</v>
      </c>
      <c r="F49" s="57">
        <f>'Data IBS per Tahun'!X49</f>
        <v>29.739493119208575</v>
      </c>
      <c r="G49" s="57">
        <f>'Data IBS per Tahun'!AG49</f>
        <v>28.141520618429873</v>
      </c>
      <c r="H49" s="57">
        <f>'Data IBS per Tahun'!AP49</f>
        <v>43.056541090365755</v>
      </c>
      <c r="I49" s="57">
        <f>'Data IBS per Tahun'!AY49</f>
        <v>32.626639115028162</v>
      </c>
      <c r="J49" s="57">
        <f>'Data IBS per Tahun'!BH49</f>
        <v>32.508422005840451</v>
      </c>
      <c r="K49" s="57">
        <f>'Data IBS per Tahun'!I49</f>
        <v>13.444877439969158</v>
      </c>
      <c r="L49" s="57">
        <f>'Data IBS per Tahun'!R49</f>
        <v>10.471198712888672</v>
      </c>
      <c r="M49" s="57">
        <f>'Data IBS per Tahun'!AA49</f>
        <v>8.3349667307577153</v>
      </c>
      <c r="N49" s="57">
        <f>'Data IBS per Tahun'!AJ49</f>
        <v>4.0616758366514061</v>
      </c>
      <c r="O49" s="57">
        <f>'Data IBS per Tahun'!AS49</f>
        <v>3.4915525612530827</v>
      </c>
      <c r="P49" s="57">
        <f>'Data IBS per Tahun'!BB49</f>
        <v>1.9265985909368</v>
      </c>
      <c r="Q49" s="57">
        <f>'Data IBS per Tahun'!BK49</f>
        <v>3.0351018436159705</v>
      </c>
      <c r="R49" s="57">
        <f>'Data IBS per Tahun'!L49</f>
        <v>8.7847271464945234</v>
      </c>
      <c r="S49" s="57">
        <f>'Data IBS per Tahun'!U49</f>
        <v>18.727990987547084</v>
      </c>
      <c r="T49" s="57">
        <f>'Data IBS per Tahun'!AD49</f>
        <v>8.5866855617846163</v>
      </c>
      <c r="U49" s="57">
        <f>'Data IBS per Tahun'!AM49</f>
        <v>9.1370422719104436</v>
      </c>
      <c r="V49" s="57">
        <f>'Data IBS per Tahun'!AV49</f>
        <v>8.7235960519215592</v>
      </c>
      <c r="W49" s="57">
        <f>'Data IBS per Tahun'!BE49</f>
        <v>9.4702089381917425</v>
      </c>
      <c r="X49" s="57">
        <f>'Data IBS per Tahun'!BN49</f>
        <v>9.3963610672990487</v>
      </c>
    </row>
    <row r="50" spans="1:24" ht="14.25" x14ac:dyDescent="0.45">
      <c r="A50" s="54">
        <v>51</v>
      </c>
      <c r="B50" s="58" t="s">
        <v>20</v>
      </c>
      <c r="C50" s="57">
        <f>'Data IBS per Tahun'!C50</f>
        <v>75.207097984399795</v>
      </c>
      <c r="D50" s="57">
        <f>'Data IBS per Tahun'!F50</f>
        <v>16.101761344195907</v>
      </c>
      <c r="E50" s="57">
        <f>'Data IBS per Tahun'!O50</f>
        <v>8.3976863400331414</v>
      </c>
      <c r="F50" s="57">
        <f>'Data IBS per Tahun'!X50</f>
        <v>6.8947506846772377</v>
      </c>
      <c r="G50" s="57">
        <f>'Data IBS per Tahun'!AG50</f>
        <v>11.125486262013364</v>
      </c>
      <c r="H50" s="57">
        <f>'Data IBS per Tahun'!AP50</f>
        <v>9.0141807071906133</v>
      </c>
      <c r="I50" s="57">
        <f>'Data IBS per Tahun'!AY50</f>
        <v>12.880997104284123</v>
      </c>
      <c r="J50" s="57">
        <f>'Data IBS per Tahun'!BH50</f>
        <v>10.593725493494913</v>
      </c>
      <c r="K50" s="57">
        <f>'Data IBS per Tahun'!I50</f>
        <v>8.7534025694036472</v>
      </c>
      <c r="L50" s="57">
        <f>'Data IBS per Tahun'!R50</f>
        <v>4.2480380794387909</v>
      </c>
      <c r="M50" s="57">
        <f>'Data IBS per Tahun'!AA50</f>
        <v>6.3454578880223655</v>
      </c>
      <c r="N50" s="57">
        <f>'Data IBS per Tahun'!AJ50</f>
        <v>6.651955845451436</v>
      </c>
      <c r="O50" s="57">
        <f>'Data IBS per Tahun'!AS50</f>
        <v>9.3284126512517886</v>
      </c>
      <c r="P50" s="57">
        <f>'Data IBS per Tahun'!BB50</f>
        <v>12.099146348573617</v>
      </c>
      <c r="Q50" s="57">
        <f>'Data IBS per Tahun'!BK50</f>
        <v>6.6617066050989857</v>
      </c>
      <c r="R50" s="57">
        <f>'Data IBS per Tahun'!L50</f>
        <v>21.260795789972374</v>
      </c>
      <c r="S50" s="57">
        <f>'Data IBS per Tahun'!U50</f>
        <v>32.707229075565529</v>
      </c>
      <c r="T50" s="57">
        <f>'Data IBS per Tahun'!AD50</f>
        <v>28.632369070391135</v>
      </c>
      <c r="U50" s="57">
        <f>'Data IBS per Tahun'!AM50</f>
        <v>33.146398129573271</v>
      </c>
      <c r="V50" s="57">
        <f>'Data IBS per Tahun'!AV50</f>
        <v>47.068039075910761</v>
      </c>
      <c r="W50" s="57">
        <f>'Data IBS per Tahun'!BE50</f>
        <v>27.057499952348461</v>
      </c>
      <c r="X50" s="57">
        <f>'Data IBS per Tahun'!BN50</f>
        <v>31.453055192924761</v>
      </c>
    </row>
    <row r="51" spans="1:24" ht="14.25" x14ac:dyDescent="0.45">
      <c r="A51" s="54">
        <v>52</v>
      </c>
      <c r="B51" s="58" t="s">
        <v>22</v>
      </c>
      <c r="C51" s="57">
        <f>'Data IBS per Tahun'!C51</f>
        <v>68.24666666666667</v>
      </c>
      <c r="D51" s="57">
        <f>'Data IBS per Tahun'!F51</f>
        <v>0.19869823007315399</v>
      </c>
      <c r="E51" s="57">
        <f>'Data IBS per Tahun'!O51</f>
        <v>0.57835653994746217</v>
      </c>
      <c r="F51" s="57">
        <f>'Data IBS per Tahun'!X51</f>
        <v>0.13216410287628144</v>
      </c>
      <c r="G51" s="57">
        <f>'Data IBS per Tahun'!AG51</f>
        <v>0.24488448763529119</v>
      </c>
      <c r="H51" s="57">
        <f>'Data IBS per Tahun'!AP51</f>
        <v>1.501892019713283</v>
      </c>
      <c r="I51" s="57">
        <f>'Data IBS per Tahun'!AY51</f>
        <v>0.12704507630830683</v>
      </c>
      <c r="J51" s="57">
        <f>'Data IBS per Tahun'!BH51</f>
        <v>1.7255658502723326</v>
      </c>
      <c r="K51" s="57">
        <f>'Data IBS per Tahun'!I51</f>
        <v>3.0479992743624504</v>
      </c>
      <c r="L51" s="57">
        <f>'Data IBS per Tahun'!R51</f>
        <v>3.2977769710945988</v>
      </c>
      <c r="M51" s="57">
        <f>'Data IBS per Tahun'!AA51</f>
        <v>2.2412541729275084</v>
      </c>
      <c r="N51" s="57">
        <f>'Data IBS per Tahun'!AJ51</f>
        <v>4.6209789191764266</v>
      </c>
      <c r="O51" s="57">
        <f>'Data IBS per Tahun'!AS51</f>
        <v>1.9576055353939112</v>
      </c>
      <c r="P51" s="57">
        <f>'Data IBS per Tahun'!BB51</f>
        <v>6.6226115858270456</v>
      </c>
      <c r="Q51" s="57">
        <f>'Data IBS per Tahun'!BK51</f>
        <v>1.95613485719465</v>
      </c>
      <c r="R51" s="57">
        <f>'Data IBS per Tahun'!L51</f>
        <v>3.1068863411249108</v>
      </c>
      <c r="S51" s="57">
        <f>'Data IBS per Tahun'!U51</f>
        <v>10.570637731002845</v>
      </c>
      <c r="T51" s="57">
        <f>'Data IBS per Tahun'!AD51</f>
        <v>5.3632621760881909</v>
      </c>
      <c r="U51" s="57">
        <f>'Data IBS per Tahun'!AM51</f>
        <v>8.5178658392097937</v>
      </c>
      <c r="V51" s="57">
        <f>'Data IBS per Tahun'!AV51</f>
        <v>8.0071301966340869</v>
      </c>
      <c r="W51" s="57">
        <f>'Data IBS per Tahun'!BE51</f>
        <v>8.3914459651973932</v>
      </c>
      <c r="X51" s="57">
        <f>'Data IBS per Tahun'!BN51</f>
        <v>6.81756863111407</v>
      </c>
    </row>
    <row r="52" spans="1:24" ht="14.25" x14ac:dyDescent="0.45">
      <c r="A52" s="54">
        <v>53</v>
      </c>
      <c r="B52" s="58" t="s">
        <v>66</v>
      </c>
      <c r="C52" s="57">
        <f>'Data IBS per Tahun'!C52</f>
        <v>56.023333333333333</v>
      </c>
      <c r="D52" s="57">
        <f>'Data IBS per Tahun'!F52</f>
        <v>0.28042439538072655</v>
      </c>
      <c r="E52" s="57">
        <f>'Data IBS per Tahun'!O52</f>
        <v>0.56501940818556173</v>
      </c>
      <c r="F52" s="57">
        <f>'Data IBS per Tahun'!X52</f>
        <v>1.4060180698913822</v>
      </c>
      <c r="G52" s="57">
        <f>'Data IBS per Tahun'!AG52</f>
        <v>0.59517836124742207</v>
      </c>
      <c r="H52" s="57">
        <f>'Data IBS per Tahun'!AP52</f>
        <v>0.32299412787365545</v>
      </c>
      <c r="I52" s="57">
        <f>'Data IBS per Tahun'!AY52</f>
        <v>0.75804840944112017</v>
      </c>
      <c r="J52" s="57">
        <f>'Data IBS per Tahun'!BH52</f>
        <v>0.9054761245686832</v>
      </c>
      <c r="K52" s="57">
        <f>'Data IBS per Tahun'!I52</f>
        <v>62.284442344335233</v>
      </c>
      <c r="L52" s="57">
        <f>'Data IBS per Tahun'!R52</f>
        <v>33.931123312799308</v>
      </c>
      <c r="M52" s="57">
        <f>'Data IBS per Tahun'!AA52</f>
        <v>21.383124044491367</v>
      </c>
      <c r="N52" s="57">
        <f>'Data IBS per Tahun'!AJ52</f>
        <v>17.637793888937516</v>
      </c>
      <c r="O52" s="57">
        <f>'Data IBS per Tahun'!AS52</f>
        <v>22.239859316201642</v>
      </c>
      <c r="P52" s="57">
        <f>'Data IBS per Tahun'!BB52</f>
        <v>17.873143344104086</v>
      </c>
      <c r="Q52" s="57">
        <f>'Data IBS per Tahun'!BK52</f>
        <v>5.6312176903280937</v>
      </c>
      <c r="R52" s="57">
        <f>'Data IBS per Tahun'!L52</f>
        <v>36.426696642383185</v>
      </c>
      <c r="S52" s="57">
        <f>'Data IBS per Tahun'!U52</f>
        <v>35.663198825502626</v>
      </c>
      <c r="T52" s="57">
        <f>'Data IBS per Tahun'!AD52</f>
        <v>17.526263264429147</v>
      </c>
      <c r="U52" s="57">
        <f>'Data IBS per Tahun'!AM52</f>
        <v>21.125488269151187</v>
      </c>
      <c r="V52" s="57">
        <f>'Data IBS per Tahun'!AV52</f>
        <v>19.271528823112682</v>
      </c>
      <c r="W52" s="57">
        <f>'Data IBS per Tahun'!BE52</f>
        <v>48.528660841979551</v>
      </c>
      <c r="X52" s="57">
        <f>'Data IBS per Tahun'!BN52</f>
        <v>24.304986807867358</v>
      </c>
    </row>
    <row r="53" spans="1:24" ht="14.25" x14ac:dyDescent="0.45">
      <c r="A53" s="54">
        <v>61</v>
      </c>
      <c r="B53" s="58" t="s">
        <v>67</v>
      </c>
      <c r="C53" s="57">
        <f>'Data IBS per Tahun'!C53</f>
        <v>72.314516129032256</v>
      </c>
      <c r="D53" s="57">
        <f>'Data IBS per Tahun'!F53</f>
        <v>1.342485736821704</v>
      </c>
      <c r="E53" s="57">
        <f>'Data IBS per Tahun'!O53</f>
        <v>2.4383213582483791</v>
      </c>
      <c r="F53" s="57">
        <f>'Data IBS per Tahun'!X53</f>
        <v>2.5611411888703359</v>
      </c>
      <c r="G53" s="57">
        <f>'Data IBS per Tahun'!AG53</f>
        <v>2.1543709640507833</v>
      </c>
      <c r="H53" s="57">
        <f>'Data IBS per Tahun'!AP53</f>
        <v>0.92639145493575537</v>
      </c>
      <c r="I53" s="57">
        <f>'Data IBS per Tahun'!AY53</f>
        <v>0.96558961630490348</v>
      </c>
      <c r="J53" s="57">
        <f>'Data IBS per Tahun'!BH53</f>
        <v>2.357319967600072</v>
      </c>
      <c r="K53" s="57">
        <f>'Data IBS per Tahun'!I53</f>
        <v>4.9204656969006475</v>
      </c>
      <c r="L53" s="57">
        <f>'Data IBS per Tahun'!R53</f>
        <v>1.691009525406495</v>
      </c>
      <c r="M53" s="57">
        <f>'Data IBS per Tahun'!AA53</f>
        <v>1.8657996522487605</v>
      </c>
      <c r="N53" s="57">
        <f>'Data IBS per Tahun'!AJ53</f>
        <v>1.2165607201851312</v>
      </c>
      <c r="O53" s="57">
        <f>'Data IBS per Tahun'!AS53</f>
        <v>1.4722528510411033</v>
      </c>
      <c r="P53" s="57">
        <f>'Data IBS per Tahun'!BB53</f>
        <v>0.94295600733960427</v>
      </c>
      <c r="Q53" s="57">
        <f>'Data IBS per Tahun'!BK53</f>
        <v>3.6539796859366711</v>
      </c>
      <c r="R53" s="57">
        <f>'Data IBS per Tahun'!L53</f>
        <v>7.6908923365122801</v>
      </c>
      <c r="S53" s="57">
        <f>'Data IBS per Tahun'!U53</f>
        <v>4.5780053985810714</v>
      </c>
      <c r="T53" s="57">
        <f>'Data IBS per Tahun'!AD53</f>
        <v>3.6018181672013574</v>
      </c>
      <c r="U53" s="57">
        <f>'Data IBS per Tahun'!AM53</f>
        <v>3.6237864543346272</v>
      </c>
      <c r="V53" s="57">
        <f>'Data IBS per Tahun'!AV53</f>
        <v>4.2852117881886702</v>
      </c>
      <c r="W53" s="57">
        <f>'Data IBS per Tahun'!BE53</f>
        <v>4.0963025904663484</v>
      </c>
      <c r="X53" s="57">
        <f>'Data IBS per Tahun'!BN53</f>
        <v>4.9064669863391543</v>
      </c>
    </row>
    <row r="54" spans="1:24" ht="14.25" x14ac:dyDescent="0.45">
      <c r="A54" s="54">
        <v>62</v>
      </c>
      <c r="B54" s="58" t="s">
        <v>68</v>
      </c>
      <c r="C54" s="57">
        <f>'Data IBS per Tahun'!C54</f>
        <v>77.509251313827363</v>
      </c>
      <c r="D54" s="57">
        <f>'Data IBS per Tahun'!F54</f>
        <v>4.6489773354598134E-2</v>
      </c>
      <c r="E54" s="57">
        <f>'Data IBS per Tahun'!O54</f>
        <v>0.19013974111633833</v>
      </c>
      <c r="F54" s="57">
        <f>'Data IBS per Tahun'!X54</f>
        <v>2.9408879126050738E-2</v>
      </c>
      <c r="G54" s="57">
        <f>'Data IBS per Tahun'!AG54</f>
        <v>0.33382461504850303</v>
      </c>
      <c r="H54" s="57">
        <f>'Data IBS per Tahun'!AP54</f>
        <v>5.2878567402043122E-2</v>
      </c>
      <c r="I54" s="57">
        <f>'Data IBS per Tahun'!AY54</f>
        <v>0.25962995955093277</v>
      </c>
      <c r="J54" s="57">
        <f>'Data IBS per Tahun'!BH54</f>
        <v>0.12358943296290475</v>
      </c>
      <c r="K54" s="57">
        <f>'Data IBS per Tahun'!I54</f>
        <v>3.0599320022686189</v>
      </c>
      <c r="L54" s="57">
        <f>'Data IBS per Tahun'!R54</f>
        <v>1.3265180621041432</v>
      </c>
      <c r="M54" s="57">
        <f>'Data IBS per Tahun'!AA54</f>
        <v>0.90525479756897509</v>
      </c>
      <c r="N54" s="57">
        <f>'Data IBS per Tahun'!AJ54</f>
        <v>0.58225184441654176</v>
      </c>
      <c r="O54" s="57">
        <f>'Data IBS per Tahun'!AS54</f>
        <v>0.65767837722079181</v>
      </c>
      <c r="P54" s="57">
        <f>'Data IBS per Tahun'!BB54</f>
        <v>0.69091572690728476</v>
      </c>
      <c r="Q54" s="57">
        <f>'Data IBS per Tahun'!BK54</f>
        <v>1.7589788578939121</v>
      </c>
      <c r="R54" s="57">
        <f>'Data IBS per Tahun'!L54</f>
        <v>3.7171666728672679</v>
      </c>
      <c r="S54" s="57">
        <f>'Data IBS per Tahun'!U54</f>
        <v>2.8405643991704008</v>
      </c>
      <c r="T54" s="57">
        <f>'Data IBS per Tahun'!AD54</f>
        <v>3.0091722270517223</v>
      </c>
      <c r="U54" s="57">
        <f>'Data IBS per Tahun'!AM54</f>
        <v>2.3944658045903271</v>
      </c>
      <c r="V54" s="57">
        <f>'Data IBS per Tahun'!AV54</f>
        <v>2.3053857048016346</v>
      </c>
      <c r="W54" s="57">
        <f>'Data IBS per Tahun'!BE54</f>
        <v>2.6415838908513036</v>
      </c>
      <c r="X54" s="57">
        <f>'Data IBS per Tahun'!BN54</f>
        <v>1.6719875537067936</v>
      </c>
    </row>
    <row r="55" spans="1:24" ht="14.25" x14ac:dyDescent="0.45">
      <c r="A55" s="54">
        <v>63</v>
      </c>
      <c r="B55" s="58" t="s">
        <v>69</v>
      </c>
      <c r="C55" s="57">
        <f>'Data IBS per Tahun'!C55</f>
        <v>68.413124999999994</v>
      </c>
      <c r="D55" s="57">
        <f>'Data IBS per Tahun'!F55</f>
        <v>3.1259433780205863</v>
      </c>
      <c r="E55" s="57">
        <f>'Data IBS per Tahun'!O55</f>
        <v>2.3256622749577982</v>
      </c>
      <c r="F55" s="57">
        <f>'Data IBS per Tahun'!X55</f>
        <v>1.9501823728106387</v>
      </c>
      <c r="G55" s="57">
        <f>'Data IBS per Tahun'!AG55</f>
        <v>4.092268196381375</v>
      </c>
      <c r="H55" s="57">
        <f>'Data IBS per Tahun'!AP55</f>
        <v>3.249150529744675</v>
      </c>
      <c r="I55" s="57">
        <f>'Data IBS per Tahun'!AY55</f>
        <v>2.231237373429642</v>
      </c>
      <c r="J55" s="57">
        <f>'Data IBS per Tahun'!BH55</f>
        <v>2.4362827035708823</v>
      </c>
      <c r="K55" s="57">
        <f>'Data IBS per Tahun'!I55</f>
        <v>5.2826680018947147</v>
      </c>
      <c r="L55" s="57">
        <f>'Data IBS per Tahun'!R55</f>
        <v>2.9637369533049891</v>
      </c>
      <c r="M55" s="57">
        <f>'Data IBS per Tahun'!AA55</f>
        <v>4.6073877929499325</v>
      </c>
      <c r="N55" s="57">
        <f>'Data IBS per Tahun'!AJ55</f>
        <v>5.0755247722063013</v>
      </c>
      <c r="O55" s="57">
        <f>'Data IBS per Tahun'!AS55</f>
        <v>4.0650809439912496</v>
      </c>
      <c r="P55" s="57">
        <f>'Data IBS per Tahun'!BB55</f>
        <v>4.3237991621987266</v>
      </c>
      <c r="Q55" s="57">
        <f>'Data IBS per Tahun'!BK55</f>
        <v>5.7962118130886209</v>
      </c>
      <c r="R55" s="57">
        <f>'Data IBS per Tahun'!L55</f>
        <v>6.8395493952535347</v>
      </c>
      <c r="S55" s="57">
        <f>'Data IBS per Tahun'!U55</f>
        <v>6.9167040736495222</v>
      </c>
      <c r="T55" s="57">
        <f>'Data IBS per Tahun'!AD55</f>
        <v>6.5133272759822045</v>
      </c>
      <c r="U55" s="57">
        <f>'Data IBS per Tahun'!AM55</f>
        <v>6.4657189266370461</v>
      </c>
      <c r="V55" s="57">
        <f>'Data IBS per Tahun'!AV55</f>
        <v>7.2401724750961041</v>
      </c>
      <c r="W55" s="57">
        <f>'Data IBS per Tahun'!BE55</f>
        <v>8.6113481450685398</v>
      </c>
      <c r="X55" s="57">
        <f>'Data IBS per Tahun'!BN55</f>
        <v>9.6717073041062491</v>
      </c>
    </row>
    <row r="56" spans="1:24" ht="14.25" x14ac:dyDescent="0.45">
      <c r="A56" s="54">
        <v>64</v>
      </c>
      <c r="B56" s="58" t="s">
        <v>47</v>
      </c>
      <c r="C56" s="57">
        <f>'Data IBS per Tahun'!C56</f>
        <v>50.526144770635135</v>
      </c>
      <c r="D56" s="57">
        <f>'Data IBS per Tahun'!F56</f>
        <v>1.343861383581932</v>
      </c>
      <c r="E56" s="57">
        <f>'Data IBS per Tahun'!O56</f>
        <v>3.3040116380312652</v>
      </c>
      <c r="F56" s="57">
        <f>'Data IBS per Tahun'!X56</f>
        <v>0.71423590705725915</v>
      </c>
      <c r="G56" s="57">
        <f>'Data IBS per Tahun'!AG56</f>
        <v>12.209639906639188</v>
      </c>
      <c r="H56" s="57">
        <f>'Data IBS per Tahun'!AP56</f>
        <v>13.552515708317161</v>
      </c>
      <c r="I56" s="57">
        <f>'Data IBS per Tahun'!AY56</f>
        <v>1.8437866044995463</v>
      </c>
      <c r="J56" s="57">
        <f>'Data IBS per Tahun'!BH56</f>
        <v>3.1575053238196564</v>
      </c>
      <c r="K56" s="57">
        <f>'Data IBS per Tahun'!I56</f>
        <v>5.1450432663384751</v>
      </c>
      <c r="L56" s="57">
        <f>'Data IBS per Tahun'!R56</f>
        <v>6.4522205139408708</v>
      </c>
      <c r="M56" s="57">
        <f>'Data IBS per Tahun'!AA56</f>
        <v>1.1480205038050895</v>
      </c>
      <c r="N56" s="57">
        <f>'Data IBS per Tahun'!AJ56</f>
        <v>1.8594484474444932</v>
      </c>
      <c r="O56" s="57">
        <f>'Data IBS per Tahun'!AS56</f>
        <v>3.0402764027382272</v>
      </c>
      <c r="P56" s="57">
        <f>'Data IBS per Tahun'!BB56</f>
        <v>4.2204916961395336</v>
      </c>
      <c r="Q56" s="57">
        <f>'Data IBS per Tahun'!BK56</f>
        <v>1.6841995649734494</v>
      </c>
      <c r="R56" s="57">
        <f>'Data IBS per Tahun'!L56</f>
        <v>10.853693834026855</v>
      </c>
      <c r="S56" s="57">
        <f>'Data IBS per Tahun'!U56</f>
        <v>5.644530259166058</v>
      </c>
      <c r="T56" s="57">
        <f>'Data IBS per Tahun'!AD56</f>
        <v>4.9868779635359841</v>
      </c>
      <c r="U56" s="57">
        <f>'Data IBS per Tahun'!AM56</f>
        <v>5.2582553043189248</v>
      </c>
      <c r="V56" s="57">
        <f>'Data IBS per Tahun'!AV56</f>
        <v>4.9882826941820992</v>
      </c>
      <c r="W56" s="57">
        <f>'Data IBS per Tahun'!BE56</f>
        <v>4.6922907135430378</v>
      </c>
      <c r="X56" s="57">
        <f>'Data IBS per Tahun'!BN56</f>
        <v>3.3423863008333417</v>
      </c>
    </row>
    <row r="57" spans="1:24" ht="14.25" x14ac:dyDescent="0.45">
      <c r="A57" s="54">
        <v>65</v>
      </c>
      <c r="B57" s="58" t="s">
        <v>70</v>
      </c>
      <c r="C57" s="57">
        <f>'Data IBS per Tahun'!C57</f>
        <v>88.94517294241794</v>
      </c>
      <c r="D57" s="57">
        <f>'Data IBS per Tahun'!F57</f>
        <v>2.4233882812982643</v>
      </c>
      <c r="E57" s="57">
        <f>'Data IBS per Tahun'!O57</f>
        <v>0.50733316539020679</v>
      </c>
      <c r="F57" s="57">
        <f>'Data IBS per Tahun'!X57</f>
        <v>4.2235194871464078E-2</v>
      </c>
      <c r="G57" s="57">
        <f>'Data IBS per Tahun'!AG57</f>
        <v>2.8232563040807724E-2</v>
      </c>
      <c r="H57" s="57">
        <f>'Data IBS per Tahun'!AP57</f>
        <v>8.8084870703519599E-2</v>
      </c>
      <c r="I57" s="57">
        <f>'Data IBS per Tahun'!AY57</f>
        <v>0</v>
      </c>
      <c r="J57" s="57">
        <f>'Data IBS per Tahun'!BH57</f>
        <v>1.3721916565209691E-4</v>
      </c>
      <c r="K57" s="57">
        <f>'Data IBS per Tahun'!I57</f>
        <v>17.117102540809118</v>
      </c>
      <c r="L57" s="57">
        <f>'Data IBS per Tahun'!R57</f>
        <v>1.9939762061112829</v>
      </c>
      <c r="M57" s="57">
        <f>'Data IBS per Tahun'!AA57</f>
        <v>4.4680615021397658</v>
      </c>
      <c r="N57" s="57">
        <f>'Data IBS per Tahun'!AJ57</f>
        <v>3.2368706334975674</v>
      </c>
      <c r="O57" s="57">
        <f>'Data IBS per Tahun'!AS57</f>
        <v>2.8814717230362938</v>
      </c>
      <c r="P57" s="57">
        <f>'Data IBS per Tahun'!BB57</f>
        <v>7.6128642531703665</v>
      </c>
      <c r="Q57" s="57">
        <f>'Data IBS per Tahun'!BK57</f>
        <v>1.5998640126363404</v>
      </c>
      <c r="R57" s="57">
        <f>'Data IBS per Tahun'!L57</f>
        <v>11.786915495157345</v>
      </c>
      <c r="S57" s="57">
        <f>'Data IBS per Tahun'!U57</f>
        <v>5.5529038492671861</v>
      </c>
      <c r="T57" s="57">
        <f>'Data IBS per Tahun'!AD57</f>
        <v>16.379921633330909</v>
      </c>
      <c r="U57" s="57">
        <f>'Data IBS per Tahun'!AM57</f>
        <v>27.49046557470427</v>
      </c>
      <c r="V57" s="57">
        <f>'Data IBS per Tahun'!AV57</f>
        <v>31.239185131898683</v>
      </c>
      <c r="W57" s="57">
        <f>'Data IBS per Tahun'!BE57</f>
        <v>22.20447114623272</v>
      </c>
      <c r="X57" s="57">
        <f>'Data IBS per Tahun'!BN57</f>
        <v>13.786931341968472</v>
      </c>
    </row>
    <row r="58" spans="1:24" ht="14.25" x14ac:dyDescent="0.45">
      <c r="A58" s="54">
        <v>71</v>
      </c>
      <c r="B58" s="58" t="s">
        <v>71</v>
      </c>
      <c r="C58" s="57">
        <f>'Data IBS per Tahun'!C58</f>
        <v>61.759705882352939</v>
      </c>
      <c r="D58" s="57">
        <f>'Data IBS per Tahun'!F58</f>
        <v>1.6310036026666115</v>
      </c>
      <c r="E58" s="57">
        <f>'Data IBS per Tahun'!O58</f>
        <v>5.356835702428147</v>
      </c>
      <c r="F58" s="57">
        <f>'Data IBS per Tahun'!X58</f>
        <v>2.4960773446258311</v>
      </c>
      <c r="G58" s="57">
        <f>'Data IBS per Tahun'!AG58</f>
        <v>1.7538986380534527</v>
      </c>
      <c r="H58" s="57">
        <f>'Data IBS per Tahun'!AP58</f>
        <v>1.4728782995329095</v>
      </c>
      <c r="I58" s="57">
        <f>'Data IBS per Tahun'!AY58</f>
        <v>1.8692321020211482</v>
      </c>
      <c r="J58" s="57">
        <f>'Data IBS per Tahun'!BH58</f>
        <v>1.0120689241883569</v>
      </c>
      <c r="K58" s="57">
        <f>'Data IBS per Tahun'!I58</f>
        <v>25.433220910252498</v>
      </c>
      <c r="L58" s="57">
        <f>'Data IBS per Tahun'!R58</f>
        <v>6.2382450278739316</v>
      </c>
      <c r="M58" s="57">
        <f>'Data IBS per Tahun'!AA58</f>
        <v>7.270367713908227</v>
      </c>
      <c r="N58" s="57">
        <f>'Data IBS per Tahun'!AJ58</f>
        <v>5.4064740424076696</v>
      </c>
      <c r="O58" s="57">
        <f>'Data IBS per Tahun'!AS58</f>
        <v>2.7081141830156268</v>
      </c>
      <c r="P58" s="57">
        <f>'Data IBS per Tahun'!BB58</f>
        <v>5.9006152164017269</v>
      </c>
      <c r="Q58" s="57">
        <f>'Data IBS per Tahun'!BK58</f>
        <v>3.3716697200396903</v>
      </c>
      <c r="R58" s="57">
        <f>'Data IBS per Tahun'!L58</f>
        <v>5.9520719578020342</v>
      </c>
      <c r="S58" s="57">
        <f>'Data IBS per Tahun'!U58</f>
        <v>13.718278633285234</v>
      </c>
      <c r="T58" s="57">
        <f>'Data IBS per Tahun'!AD58</f>
        <v>8.507778497245619</v>
      </c>
      <c r="U58" s="57">
        <f>'Data IBS per Tahun'!AM58</f>
        <v>11.204321707942281</v>
      </c>
      <c r="V58" s="57">
        <f>'Data IBS per Tahun'!AV58</f>
        <v>5.1931419490119186</v>
      </c>
      <c r="W58" s="57">
        <f>'Data IBS per Tahun'!BE58</f>
        <v>11.020677790546776</v>
      </c>
      <c r="X58" s="57">
        <f>'Data IBS per Tahun'!BN58</f>
        <v>5.044398098322513</v>
      </c>
    </row>
    <row r="59" spans="1:24" ht="14.25" x14ac:dyDescent="0.45">
      <c r="A59" s="54">
        <v>72</v>
      </c>
      <c r="B59" s="58" t="s">
        <v>72</v>
      </c>
      <c r="C59" s="57">
        <f>'Data IBS per Tahun'!C59</f>
        <v>73.008181818181825</v>
      </c>
      <c r="D59" s="57">
        <f>'Data IBS per Tahun'!F59</f>
        <v>6.3964781868707021E-2</v>
      </c>
      <c r="E59" s="57">
        <f>'Data IBS per Tahun'!O59</f>
        <v>8.4043373601703752</v>
      </c>
      <c r="F59" s="57">
        <f>'Data IBS per Tahun'!X59</f>
        <v>42.694482220187702</v>
      </c>
      <c r="G59" s="57">
        <f>'Data IBS per Tahun'!AG59</f>
        <v>38.83103743094933</v>
      </c>
      <c r="H59" s="57">
        <f>'Data IBS per Tahun'!AP59</f>
        <v>27.737704492019478</v>
      </c>
      <c r="I59" s="57">
        <f>'Data IBS per Tahun'!AY59</f>
        <v>15.355481760087789</v>
      </c>
      <c r="J59" s="57">
        <f>'Data IBS per Tahun'!BH59</f>
        <v>23.940797840935218</v>
      </c>
      <c r="K59" s="57">
        <f>'Data IBS per Tahun'!I59</f>
        <v>4.9553659362369986</v>
      </c>
      <c r="L59" s="57">
        <f>'Data IBS per Tahun'!R59</f>
        <v>1.9209225949379853</v>
      </c>
      <c r="M59" s="57">
        <f>'Data IBS per Tahun'!AA59</f>
        <v>10.40986890821878</v>
      </c>
      <c r="N59" s="57">
        <f>'Data IBS per Tahun'!AJ59</f>
        <v>0.66521502467559446</v>
      </c>
      <c r="O59" s="57">
        <f>'Data IBS per Tahun'!AS59</f>
        <v>9.2492192679168159</v>
      </c>
      <c r="P59" s="57">
        <f>'Data IBS per Tahun'!BB59</f>
        <v>1.0383625709949198</v>
      </c>
      <c r="Q59" s="57">
        <f>'Data IBS per Tahun'!BK59</f>
        <v>8.6277215789434756</v>
      </c>
      <c r="R59" s="57">
        <f>'Data IBS per Tahun'!L59</f>
        <v>6.3668053129265072</v>
      </c>
      <c r="S59" s="57">
        <f>'Data IBS per Tahun'!U59</f>
        <v>7.4336828097802341</v>
      </c>
      <c r="T59" s="57">
        <f>'Data IBS per Tahun'!AD59</f>
        <v>15.817207565437604</v>
      </c>
      <c r="U59" s="57">
        <f>'Data IBS per Tahun'!AM59</f>
        <v>2.3138572617987334</v>
      </c>
      <c r="V59" s="57">
        <f>'Data IBS per Tahun'!AV59</f>
        <v>6.630134349375</v>
      </c>
      <c r="W59" s="57">
        <f>'Data IBS per Tahun'!BE59</f>
        <v>2.2537919656123386</v>
      </c>
      <c r="X59" s="57">
        <f>'Data IBS per Tahun'!BN59</f>
        <v>3.5546786408300806</v>
      </c>
    </row>
    <row r="60" spans="1:24" ht="14.25" x14ac:dyDescent="0.45">
      <c r="A60" s="54">
        <v>73</v>
      </c>
      <c r="B60" s="58" t="s">
        <v>73</v>
      </c>
      <c r="C60" s="57">
        <f>'Data IBS per Tahun'!C60</f>
        <v>67.40150537634409</v>
      </c>
      <c r="D60" s="57">
        <f>'Data IBS per Tahun'!F60</f>
        <v>15.628928388257011</v>
      </c>
      <c r="E60" s="57">
        <f>'Data IBS per Tahun'!O60</f>
        <v>18.878298395788093</v>
      </c>
      <c r="F60" s="57">
        <f>'Data IBS per Tahun'!X60</f>
        <v>9.9411234824867893</v>
      </c>
      <c r="G60" s="57">
        <f>'Data IBS per Tahun'!AG60</f>
        <v>16.941742353930103</v>
      </c>
      <c r="H60" s="57">
        <f>'Data IBS per Tahun'!AP60</f>
        <v>20.233979383582149</v>
      </c>
      <c r="I60" s="57">
        <f>'Data IBS per Tahun'!AY60</f>
        <v>11.465989507523524</v>
      </c>
      <c r="J60" s="57">
        <f>'Data IBS per Tahun'!BH60</f>
        <v>14.274308917073364</v>
      </c>
      <c r="K60" s="57">
        <f>'Data IBS per Tahun'!I60</f>
        <v>12.991041570652872</v>
      </c>
      <c r="L60" s="57">
        <f>'Data IBS per Tahun'!R60</f>
        <v>27.354813095605429</v>
      </c>
      <c r="M60" s="57">
        <f>'Data IBS per Tahun'!AA60</f>
        <v>17.864954480743066</v>
      </c>
      <c r="N60" s="57">
        <f>'Data IBS per Tahun'!AJ60</f>
        <v>9.9138220113651538</v>
      </c>
      <c r="O60" s="57">
        <f>'Data IBS per Tahun'!AS60</f>
        <v>12.738019035706127</v>
      </c>
      <c r="P60" s="57">
        <f>'Data IBS per Tahun'!BB60</f>
        <v>5.7876690298569349</v>
      </c>
      <c r="Q60" s="57">
        <f>'Data IBS per Tahun'!BK60</f>
        <v>17.717013386932578</v>
      </c>
      <c r="R60" s="57">
        <f>'Data IBS per Tahun'!L60</f>
        <v>10.285309812881561</v>
      </c>
      <c r="S60" s="57">
        <f>'Data IBS per Tahun'!U60</f>
        <v>17.334405323516631</v>
      </c>
      <c r="T60" s="57">
        <f>'Data IBS per Tahun'!AD60</f>
        <v>13.105911232344763</v>
      </c>
      <c r="U60" s="57">
        <f>'Data IBS per Tahun'!AM60</f>
        <v>7.8338557334523298</v>
      </c>
      <c r="V60" s="57">
        <f>'Data IBS per Tahun'!AV60</f>
        <v>11.547702596232405</v>
      </c>
      <c r="W60" s="57">
        <f>'Data IBS per Tahun'!BE60</f>
        <v>6.6471561042674825</v>
      </c>
      <c r="X60" s="57">
        <f>'Data IBS per Tahun'!BN60</f>
        <v>8.0368132932842951</v>
      </c>
    </row>
    <row r="61" spans="1:24" ht="14.25" x14ac:dyDescent="0.45">
      <c r="A61" s="54">
        <v>74</v>
      </c>
      <c r="B61" s="58" t="s">
        <v>74</v>
      </c>
      <c r="C61" s="57">
        <f>'Data IBS per Tahun'!C61</f>
        <v>96.578947368421055</v>
      </c>
      <c r="D61" s="57">
        <f>'Data IBS per Tahun'!F61</f>
        <v>0.23156513296862685</v>
      </c>
      <c r="E61" s="57">
        <f>'Data IBS per Tahun'!O61</f>
        <v>9.8758265460635464</v>
      </c>
      <c r="F61" s="57">
        <f>'Data IBS per Tahun'!X61</f>
        <v>0.31421817305453648</v>
      </c>
      <c r="G61" s="57">
        <f>'Data IBS per Tahun'!AG61</f>
        <v>0.11415373135404003</v>
      </c>
      <c r="H61" s="57">
        <f>'Data IBS per Tahun'!AP61</f>
        <v>8.698974380650812</v>
      </c>
      <c r="I61" s="57">
        <f>'Data IBS per Tahun'!AY61</f>
        <v>4.2002554666063134E-4</v>
      </c>
      <c r="J61" s="57">
        <f>'Data IBS per Tahun'!BH61</f>
        <v>4.2632967497617386E-2</v>
      </c>
      <c r="K61" s="57">
        <f>'Data IBS per Tahun'!I61</f>
        <v>8.2773203376280282</v>
      </c>
      <c r="L61" s="57">
        <f>'Data IBS per Tahun'!R61</f>
        <v>4.5229968940315857</v>
      </c>
      <c r="M61" s="57">
        <f>'Data IBS per Tahun'!AA61</f>
        <v>70.809300219034057</v>
      </c>
      <c r="N61" s="57">
        <f>'Data IBS per Tahun'!AJ61</f>
        <v>18.633337320292071</v>
      </c>
      <c r="O61" s="57">
        <f>'Data IBS per Tahun'!AS61</f>
        <v>78.212285400365715</v>
      </c>
      <c r="P61" s="57">
        <f>'Data IBS per Tahun'!BB61</f>
        <v>4.012194792596981</v>
      </c>
      <c r="Q61" s="57">
        <f>'Data IBS per Tahun'!BK61</f>
        <v>8.0818564220287943</v>
      </c>
      <c r="R61" s="57">
        <f>'Data IBS per Tahun'!L61</f>
        <v>30.414061682690118</v>
      </c>
      <c r="S61" s="57">
        <f>'Data IBS per Tahun'!U61</f>
        <v>10.688253645005503</v>
      </c>
      <c r="T61" s="57">
        <f>'Data IBS per Tahun'!AD61</f>
        <v>13.10364149701417</v>
      </c>
      <c r="U61" s="57">
        <f>'Data IBS per Tahun'!AM61</f>
        <v>6.4143527550211941</v>
      </c>
      <c r="V61" s="57">
        <f>'Data IBS per Tahun'!AV61</f>
        <v>10.831296708810685</v>
      </c>
      <c r="W61" s="57">
        <f>'Data IBS per Tahun'!BE61</f>
        <v>6.709324927119753</v>
      </c>
      <c r="X61" s="57">
        <f>'Data IBS per Tahun'!BN61</f>
        <v>7.7072352711820873</v>
      </c>
    </row>
    <row r="62" spans="1:24" ht="14.25" x14ac:dyDescent="0.45">
      <c r="A62" s="54">
        <v>75</v>
      </c>
      <c r="B62" s="58" t="s">
        <v>75</v>
      </c>
      <c r="C62" s="57">
        <f>'Data IBS per Tahun'!C62</f>
        <v>100</v>
      </c>
      <c r="D62" s="57">
        <f>'Data IBS per Tahun'!F62</f>
        <v>1.9962619298038233</v>
      </c>
      <c r="E62" s="57">
        <f>'Data IBS per Tahun'!O62</f>
        <v>2.4412346968151115</v>
      </c>
      <c r="F62" s="57">
        <f>'Data IBS per Tahun'!X62</f>
        <v>0.30361473998044092</v>
      </c>
      <c r="G62" s="57">
        <f>'Data IBS per Tahun'!AG62</f>
        <v>0.92708276243650722</v>
      </c>
      <c r="H62" s="57">
        <f>'Data IBS per Tahun'!AP62</f>
        <v>0</v>
      </c>
      <c r="I62" s="57">
        <f>'Data IBS per Tahun'!AY62</f>
        <v>4.5558423235780845</v>
      </c>
      <c r="J62" s="57">
        <f>'Data IBS per Tahun'!BH62</f>
        <v>3.0996533111413281E-2</v>
      </c>
      <c r="K62" s="57">
        <f>'Data IBS per Tahun'!I62</f>
        <v>23.724146504166459</v>
      </c>
      <c r="L62" s="57">
        <f>'Data IBS per Tahun'!R62</f>
        <v>7.3412399919823317</v>
      </c>
      <c r="M62" s="57">
        <f>'Data IBS per Tahun'!AA62</f>
        <v>5.7574682714296426</v>
      </c>
      <c r="N62" s="57">
        <f>'Data IBS per Tahun'!AJ62</f>
        <v>9.2722560969771202</v>
      </c>
      <c r="O62" s="57">
        <f>'Data IBS per Tahun'!AS62</f>
        <v>7.6977043414841422</v>
      </c>
      <c r="P62" s="57">
        <f>'Data IBS per Tahun'!BB62</f>
        <v>0.90034100570871822</v>
      </c>
      <c r="Q62" s="57">
        <f>'Data IBS per Tahun'!BK62</f>
        <v>3.2753999887270111</v>
      </c>
      <c r="R62" s="57">
        <f>'Data IBS per Tahun'!L62</f>
        <v>12.896910385757677</v>
      </c>
      <c r="S62" s="57">
        <f>'Data IBS per Tahun'!U62</f>
        <v>27.747492352456284</v>
      </c>
      <c r="T62" s="57">
        <f>'Data IBS per Tahun'!AD62</f>
        <v>23.418356611559044</v>
      </c>
      <c r="U62" s="57">
        <f>'Data IBS per Tahun'!AM62</f>
        <v>36.362711888868091</v>
      </c>
      <c r="V62" s="57">
        <f>'Data IBS per Tahun'!AV62</f>
        <v>22.71175068858496</v>
      </c>
      <c r="W62" s="57">
        <f>'Data IBS per Tahun'!BE62</f>
        <v>8.510698738600837</v>
      </c>
      <c r="X62" s="57">
        <f>'Data IBS per Tahun'!BN62</f>
        <v>12.239236813290013</v>
      </c>
    </row>
    <row r="63" spans="1:24" ht="14.25" x14ac:dyDescent="0.45">
      <c r="A63" s="54">
        <v>76</v>
      </c>
      <c r="B63" s="58" t="s">
        <v>76</v>
      </c>
      <c r="C63" s="57">
        <f>'Data IBS per Tahun'!C63</f>
        <v>80</v>
      </c>
      <c r="D63" s="57">
        <f>'Data IBS per Tahun'!F63</f>
        <v>0.29562665500740692</v>
      </c>
      <c r="E63" s="57">
        <f>'Data IBS per Tahun'!O63</f>
        <v>5.6989035074917781E-2</v>
      </c>
      <c r="F63" s="57">
        <f>'Data IBS per Tahun'!X63</f>
        <v>7.1835252209130618E-2</v>
      </c>
      <c r="G63" s="57">
        <f>'Data IBS per Tahun'!AG63</f>
        <v>1.1620676264499098E-2</v>
      </c>
      <c r="H63" s="57">
        <f>'Data IBS per Tahun'!AP63</f>
        <v>2.0789696467216675E-3</v>
      </c>
      <c r="I63" s="57">
        <f>'Data IBS per Tahun'!AY63</f>
        <v>5.8151252913279826E-3</v>
      </c>
      <c r="J63" s="57">
        <f>'Data IBS per Tahun'!BH63</f>
        <v>6.4817790059026803E-3</v>
      </c>
      <c r="K63" s="57">
        <f>'Data IBS per Tahun'!I63</f>
        <v>3.6475261360097972</v>
      </c>
      <c r="L63" s="57">
        <f>'Data IBS per Tahun'!R63</f>
        <v>2.6881853212722078</v>
      </c>
      <c r="M63" s="57">
        <f>'Data IBS per Tahun'!AA63</f>
        <v>0.52863810200710371</v>
      </c>
      <c r="N63" s="57">
        <f>'Data IBS per Tahun'!AJ63</f>
        <v>1.3618206097794021</v>
      </c>
      <c r="O63" s="57">
        <f>'Data IBS per Tahun'!AS63</f>
        <v>1.76194113387857</v>
      </c>
      <c r="P63" s="57">
        <f>'Data IBS per Tahun'!BB63</f>
        <v>0.74570731683286351</v>
      </c>
      <c r="Q63" s="57">
        <f>'Data IBS per Tahun'!BK63</f>
        <v>0.87029948674244328</v>
      </c>
      <c r="R63" s="57">
        <f>'Data IBS per Tahun'!L63</f>
        <v>2.7606268400874256</v>
      </c>
      <c r="S63" s="57">
        <f>'Data IBS per Tahun'!U63</f>
        <v>4.0382567799252342</v>
      </c>
      <c r="T63" s="57">
        <f>'Data IBS per Tahun'!AD63</f>
        <v>1.5341887808451244</v>
      </c>
      <c r="U63" s="57">
        <f>'Data IBS per Tahun'!AM63</f>
        <v>1.7694039741710057</v>
      </c>
      <c r="V63" s="57">
        <f>'Data IBS per Tahun'!AV63</f>
        <v>1.1653815269749401</v>
      </c>
      <c r="W63" s="57">
        <f>'Data IBS per Tahun'!BE63</f>
        <v>0.98692987792402798</v>
      </c>
      <c r="X63" s="57">
        <f>'Data IBS per Tahun'!BN63</f>
        <v>0.96765790423950415</v>
      </c>
    </row>
    <row r="64" spans="1:24" ht="14.25" x14ac:dyDescent="0.45">
      <c r="A64" s="54">
        <v>81</v>
      </c>
      <c r="B64" s="58" t="s">
        <v>77</v>
      </c>
      <c r="C64" s="57">
        <f>'Data IBS per Tahun'!C64</f>
        <v>93.843571428571423</v>
      </c>
      <c r="D64" s="57">
        <f>'Data IBS per Tahun'!F64</f>
        <v>7.864306856810957E-2</v>
      </c>
      <c r="E64" s="57">
        <f>'Data IBS per Tahun'!O64</f>
        <v>0.20272700406217986</v>
      </c>
      <c r="F64" s="57">
        <f>'Data IBS per Tahun'!X64</f>
        <v>0.24894607854385695</v>
      </c>
      <c r="G64" s="57">
        <f>'Data IBS per Tahun'!AG64</f>
        <v>0.47314569071883483</v>
      </c>
      <c r="H64" s="57">
        <f>'Data IBS per Tahun'!AP64</f>
        <v>5.1670252087157786E-3</v>
      </c>
      <c r="I64" s="57">
        <f>'Data IBS per Tahun'!AY64</f>
        <v>35.473711386275475</v>
      </c>
      <c r="J64" s="57">
        <f>'Data IBS per Tahun'!BH64</f>
        <v>3.3386869809810849</v>
      </c>
      <c r="K64" s="57">
        <f>'Data IBS per Tahun'!I64</f>
        <v>7.3020659992665689</v>
      </c>
      <c r="L64" s="57">
        <f>'Data IBS per Tahun'!R64</f>
        <v>14.299381108750744</v>
      </c>
      <c r="M64" s="57">
        <f>'Data IBS per Tahun'!AA64</f>
        <v>4.3707598240093946</v>
      </c>
      <c r="N64" s="57">
        <f>'Data IBS per Tahun'!AJ64</f>
        <v>4.9432964154800167</v>
      </c>
      <c r="O64" s="57">
        <f>'Data IBS per Tahun'!AS64</f>
        <v>6.767588230023784</v>
      </c>
      <c r="P64" s="57">
        <f>'Data IBS per Tahun'!BB64</f>
        <v>18.154757785900465</v>
      </c>
      <c r="Q64" s="57">
        <f>'Data IBS per Tahun'!BK64</f>
        <v>114.32554433622909</v>
      </c>
      <c r="R64" s="57">
        <f>'Data IBS per Tahun'!L64</f>
        <v>6.3150248574549597</v>
      </c>
      <c r="S64" s="57">
        <f>'Data IBS per Tahun'!U64</f>
        <v>37.228124810572886</v>
      </c>
      <c r="T64" s="57">
        <f>'Data IBS per Tahun'!AD64</f>
        <v>18.973007304675129</v>
      </c>
      <c r="U64" s="57">
        <f>'Data IBS per Tahun'!AM64</f>
        <v>26.859455188919846</v>
      </c>
      <c r="V64" s="57">
        <f>'Data IBS per Tahun'!AV64</f>
        <v>30.834927126670102</v>
      </c>
      <c r="W64" s="57">
        <f>'Data IBS per Tahun'!BE64</f>
        <v>14.584414205358801</v>
      </c>
      <c r="X64" s="57">
        <f>'Data IBS per Tahun'!BN64</f>
        <v>49.60144506670963</v>
      </c>
    </row>
    <row r="65" spans="1:24" ht="14.25" x14ac:dyDescent="0.45">
      <c r="A65" s="54">
        <v>82</v>
      </c>
      <c r="B65" s="58" t="s">
        <v>78</v>
      </c>
      <c r="C65" s="57">
        <f>'Data IBS per Tahun'!C65</f>
        <v>0</v>
      </c>
      <c r="D65" s="57">
        <f>'Data IBS per Tahun'!F65</f>
        <v>0</v>
      </c>
      <c r="E65" s="57">
        <f>'Data IBS per Tahun'!O65</f>
        <v>20.591644422164336</v>
      </c>
      <c r="F65" s="57">
        <f>'Data IBS per Tahun'!X65</f>
        <v>40.710974706530337</v>
      </c>
      <c r="G65" s="57">
        <f>'Data IBS per Tahun'!AG65</f>
        <v>16.430022552100247</v>
      </c>
      <c r="H65" s="57">
        <f>'Data IBS per Tahun'!AP65</f>
        <v>14.752443698014128</v>
      </c>
      <c r="I65" s="57">
        <f>'Data IBS per Tahun'!AY65</f>
        <v>4.6952013901411327</v>
      </c>
      <c r="J65" s="57">
        <f>'Data IBS per Tahun'!BH65</f>
        <v>3.9042777175094798</v>
      </c>
      <c r="K65" s="57">
        <f>'Data IBS per Tahun'!I65</f>
        <v>19.943122003226307</v>
      </c>
      <c r="L65" s="57">
        <f>'Data IBS per Tahun'!R65</f>
        <v>5.122116106886911</v>
      </c>
      <c r="M65" s="57">
        <f>'Data IBS per Tahun'!AA65</f>
        <v>4.939844491240394</v>
      </c>
      <c r="N65" s="57">
        <f>'Data IBS per Tahun'!AJ65</f>
        <v>1.0263553892258417</v>
      </c>
      <c r="O65" s="57">
        <f>'Data IBS per Tahun'!AS65</f>
        <v>0.54003752767109237</v>
      </c>
      <c r="P65" s="57">
        <f>'Data IBS per Tahun'!BB65</f>
        <v>1.1379805774804272</v>
      </c>
      <c r="Q65" s="57">
        <f>'Data IBS per Tahun'!BK65</f>
        <v>5.4482113584284084</v>
      </c>
      <c r="R65" s="57">
        <f>'Data IBS per Tahun'!L65</f>
        <v>20.472653831203637</v>
      </c>
      <c r="S65" s="57">
        <f>'Data IBS per Tahun'!U65</f>
        <v>41.14502853768289</v>
      </c>
      <c r="T65" s="57">
        <f>'Data IBS per Tahun'!AD65</f>
        <v>9.5109058883610338</v>
      </c>
      <c r="U65" s="57">
        <f>'Data IBS per Tahun'!AM65</f>
        <v>4.7227704377085793</v>
      </c>
      <c r="V65" s="57">
        <f>'Data IBS per Tahun'!AV65</f>
        <v>1.2145429250300366</v>
      </c>
      <c r="W65" s="57">
        <f>'Data IBS per Tahun'!BE65</f>
        <v>1.6912927359479721</v>
      </c>
      <c r="X65" s="57">
        <f>'Data IBS per Tahun'!BN65</f>
        <v>18.046390103937199</v>
      </c>
    </row>
    <row r="66" spans="1:24" ht="14.25" x14ac:dyDescent="0.45">
      <c r="A66" s="54">
        <v>91</v>
      </c>
      <c r="B66" s="58" t="s">
        <v>79</v>
      </c>
      <c r="C66" s="57">
        <f>'Data IBS per Tahun'!C66</f>
        <v>80.656000000000006</v>
      </c>
      <c r="D66" s="57">
        <f>'Data IBS per Tahun'!F66</f>
        <v>3.7155316166160226</v>
      </c>
      <c r="E66" s="57">
        <f>'Data IBS per Tahun'!O66</f>
        <v>1.9568961850073132</v>
      </c>
      <c r="F66" s="57">
        <f>'Data IBS per Tahun'!X66</f>
        <v>19.61849615127538</v>
      </c>
      <c r="G66" s="57">
        <f>'Data IBS per Tahun'!AG66</f>
        <v>0.57229797816580308</v>
      </c>
      <c r="H66" s="57">
        <f>'Data IBS per Tahun'!AP66</f>
        <v>11.568948692123898</v>
      </c>
      <c r="I66" s="57">
        <f>'Data IBS per Tahun'!AY66</f>
        <v>0.46113168877469168</v>
      </c>
      <c r="J66" s="57">
        <f>'Data IBS per Tahun'!BH66</f>
        <v>0.43200523107509003</v>
      </c>
      <c r="K66" s="57">
        <f>'Data IBS per Tahun'!I66</f>
        <v>10.782682498017721</v>
      </c>
      <c r="L66" s="57">
        <f>'Data IBS per Tahun'!R66</f>
        <v>3.0197820944077818</v>
      </c>
      <c r="M66" s="57">
        <f>'Data IBS per Tahun'!AA66</f>
        <v>8.1850185411716847</v>
      </c>
      <c r="N66" s="57">
        <f>'Data IBS per Tahun'!AJ66</f>
        <v>5.6827222665806074</v>
      </c>
      <c r="O66" s="57">
        <f>'Data IBS per Tahun'!AS66</f>
        <v>15.136997528781789</v>
      </c>
      <c r="P66" s="57">
        <f>'Data IBS per Tahun'!BB66</f>
        <v>4.421207073537226</v>
      </c>
      <c r="Q66" s="57">
        <f>'Data IBS per Tahun'!BK66</f>
        <v>6.8277943428335082</v>
      </c>
      <c r="R66" s="57">
        <f>'Data IBS per Tahun'!L66</f>
        <v>4.1516194469031005</v>
      </c>
      <c r="S66" s="57">
        <f>'Data IBS per Tahun'!U66</f>
        <v>4.0981423061986737</v>
      </c>
      <c r="T66" s="57">
        <f>'Data IBS per Tahun'!AD66</f>
        <v>6.2343977939275543</v>
      </c>
      <c r="U66" s="57">
        <f>'Data IBS per Tahun'!AM66</f>
        <v>6.4160511188274985</v>
      </c>
      <c r="V66" s="57">
        <f>'Data IBS per Tahun'!AV66</f>
        <v>10.63428462818707</v>
      </c>
      <c r="W66" s="57">
        <f>'Data IBS per Tahun'!BE66</f>
        <v>13.726235355532236</v>
      </c>
      <c r="X66" s="57">
        <f>'Data IBS per Tahun'!BN66</f>
        <v>15.932286562032971</v>
      </c>
    </row>
    <row r="67" spans="1:24" ht="14.25" x14ac:dyDescent="0.45">
      <c r="A67" s="54">
        <v>92</v>
      </c>
      <c r="B67" s="58" t="s">
        <v>97</v>
      </c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</row>
    <row r="68" spans="1:24" ht="14.25" x14ac:dyDescent="0.45">
      <c r="A68" s="54">
        <v>94</v>
      </c>
      <c r="B68" s="58" t="s">
        <v>80</v>
      </c>
      <c r="C68" s="57">
        <f>'Data IBS per Tahun'!C68</f>
        <v>67.930430626477431</v>
      </c>
      <c r="D68" s="57">
        <f>'Data IBS per Tahun'!F68</f>
        <v>9.9857625028971202E-3</v>
      </c>
      <c r="E68" s="57">
        <f>'Data IBS per Tahun'!O68</f>
        <v>1.2506562580381781</v>
      </c>
      <c r="F68" s="57">
        <f>'Data IBS per Tahun'!X68</f>
        <v>2.8957581663838079</v>
      </c>
      <c r="G68" s="57">
        <f>'Data IBS per Tahun'!AG68</f>
        <v>0.43548774996865952</v>
      </c>
      <c r="H68" s="57">
        <f>'Data IBS per Tahun'!AP68</f>
        <v>0.74513800286181509</v>
      </c>
      <c r="I68" s="57">
        <f>'Data IBS per Tahun'!AY68</f>
        <v>0.9138278929293433</v>
      </c>
      <c r="J68" s="57">
        <f>'Data IBS per Tahun'!BH68</f>
        <v>3.1100895650398128E-2</v>
      </c>
      <c r="K68" s="57">
        <f>'Data IBS per Tahun'!I68</f>
        <v>7.0408038561705553</v>
      </c>
      <c r="L68" s="57">
        <f>'Data IBS per Tahun'!R68</f>
        <v>1.9128884064816998</v>
      </c>
      <c r="M68" s="57">
        <f>'Data IBS per Tahun'!AA68</f>
        <v>2.6623435068825549</v>
      </c>
      <c r="N68" s="57">
        <f>'Data IBS per Tahun'!AJ68</f>
        <v>1.5108948837375906</v>
      </c>
      <c r="O68" s="57">
        <f>'Data IBS per Tahun'!AS68</f>
        <v>0.81754264945510335</v>
      </c>
      <c r="P68" s="57">
        <f>'Data IBS per Tahun'!BB68</f>
        <v>5.2310209430483541</v>
      </c>
      <c r="Q68" s="57">
        <f>'Data IBS per Tahun'!BK68</f>
        <v>3.8986786644940619</v>
      </c>
      <c r="R68" s="57">
        <f>'Data IBS per Tahun'!L68</f>
        <v>6.2228347442757324</v>
      </c>
      <c r="S68" s="57">
        <f>'Data IBS per Tahun'!U68</f>
        <v>8.4644951249780558</v>
      </c>
      <c r="T68" s="57">
        <f>'Data IBS per Tahun'!AD68</f>
        <v>3.9623963418190575</v>
      </c>
      <c r="U68" s="57">
        <f>'Data IBS per Tahun'!AM68</f>
        <v>10.089421508061998</v>
      </c>
      <c r="V68" s="57">
        <f>'Data IBS per Tahun'!AV68</f>
        <v>8.8441953125889921</v>
      </c>
      <c r="W68" s="57">
        <f>'Data IBS per Tahun'!BE68</f>
        <v>15.81756406603381</v>
      </c>
      <c r="X68" s="57">
        <f>'Data IBS per Tahun'!BN68</f>
        <v>15.756958591050033</v>
      </c>
    </row>
    <row r="69" spans="1:24" ht="14.25" x14ac:dyDescent="0.45">
      <c r="A69" s="54">
        <v>95</v>
      </c>
      <c r="B69" s="58" t="s">
        <v>98</v>
      </c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7"/>
      <c r="T69" s="57"/>
      <c r="U69" s="57"/>
      <c r="V69" s="57"/>
      <c r="W69" s="57"/>
      <c r="X69" s="57"/>
    </row>
    <row r="70" spans="1:24" ht="14.25" x14ac:dyDescent="0.45">
      <c r="A70" s="54">
        <v>96</v>
      </c>
      <c r="B70" s="58" t="s">
        <v>99</v>
      </c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7"/>
      <c r="T70" s="57"/>
      <c r="U70" s="57"/>
      <c r="V70" s="57"/>
      <c r="W70" s="57"/>
      <c r="X70" s="57"/>
    </row>
    <row r="71" spans="1:24" ht="14.25" x14ac:dyDescent="0.45">
      <c r="A71" s="54">
        <v>97</v>
      </c>
      <c r="B71" s="58" t="s">
        <v>100</v>
      </c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7"/>
      <c r="T71" s="57"/>
      <c r="U71" s="57"/>
      <c r="V71" s="57"/>
      <c r="W71" s="57"/>
      <c r="X71" s="57"/>
    </row>
    <row r="72" spans="1:24" ht="14.25" x14ac:dyDescent="0.45">
      <c r="A72" s="51"/>
      <c r="B72" s="52"/>
      <c r="C72" s="59"/>
    </row>
    <row r="73" spans="1:24" ht="14.25" x14ac:dyDescent="0.45">
      <c r="A73" s="51"/>
      <c r="B73" s="52"/>
      <c r="C73" s="59"/>
    </row>
    <row r="74" spans="1:24" ht="14.25" x14ac:dyDescent="0.45">
      <c r="A74" s="52"/>
      <c r="B74" s="52"/>
      <c r="C74" s="59"/>
    </row>
    <row r="75" spans="1:24" ht="14.25" x14ac:dyDescent="0.45">
      <c r="A75" s="52"/>
      <c r="B75" s="52"/>
      <c r="C75" s="59"/>
    </row>
    <row r="76" spans="1:24" ht="14.25" x14ac:dyDescent="0.45">
      <c r="A76" s="52"/>
      <c r="B76" s="52"/>
      <c r="C76" s="59"/>
    </row>
    <row r="77" spans="1:24" ht="14.25" x14ac:dyDescent="0.45">
      <c r="A77" s="52"/>
      <c r="B77" s="52"/>
      <c r="C77" s="59"/>
    </row>
    <row r="78" spans="1:24" ht="14.25" x14ac:dyDescent="0.45">
      <c r="A78" s="52"/>
      <c r="B78" s="52"/>
      <c r="C78" s="59"/>
    </row>
    <row r="79" spans="1:24" ht="14.25" x14ac:dyDescent="0.45">
      <c r="A79" s="52"/>
      <c r="B79" s="52"/>
      <c r="C79" s="59"/>
    </row>
    <row r="80" spans="1:24" ht="14.25" x14ac:dyDescent="0.45">
      <c r="A80" s="52"/>
      <c r="B80" s="52"/>
      <c r="C80" s="59"/>
    </row>
    <row r="81" spans="1:3" ht="14.25" x14ac:dyDescent="0.45">
      <c r="A81" s="52"/>
      <c r="B81" s="52"/>
      <c r="C81" s="59"/>
    </row>
    <row r="82" spans="1:3" ht="14.25" x14ac:dyDescent="0.45">
      <c r="A82" s="52"/>
      <c r="B82" s="52"/>
      <c r="C82" s="59"/>
    </row>
    <row r="83" spans="1:3" ht="14.25" x14ac:dyDescent="0.45">
      <c r="A83" s="2"/>
      <c r="B83" s="52"/>
      <c r="C83" s="59"/>
    </row>
    <row r="84" spans="1:3" ht="14.25" x14ac:dyDescent="0.45">
      <c r="A84" s="2"/>
      <c r="B84" s="52"/>
      <c r="C84" s="59"/>
    </row>
    <row r="85" spans="1:3" ht="14.25" x14ac:dyDescent="0.45">
      <c r="A85" s="2"/>
      <c r="B85" s="52"/>
      <c r="C85" s="59"/>
    </row>
    <row r="86" spans="1:3" ht="14.25" x14ac:dyDescent="0.45">
      <c r="A86" s="2"/>
      <c r="B86" s="52"/>
      <c r="C86" s="59"/>
    </row>
    <row r="87" spans="1:3" ht="14.25" x14ac:dyDescent="0.45">
      <c r="A87" s="2"/>
      <c r="B87" s="52"/>
      <c r="C87" s="59"/>
    </row>
    <row r="88" spans="1:3" ht="14.25" x14ac:dyDescent="0.45">
      <c r="A88" s="2"/>
      <c r="B88" s="52"/>
      <c r="C88" s="59"/>
    </row>
    <row r="89" spans="1:3" ht="14.25" x14ac:dyDescent="0.45">
      <c r="A89" s="2"/>
      <c r="B89" s="52"/>
      <c r="C89" s="59"/>
    </row>
    <row r="90" spans="1:3" ht="14.25" x14ac:dyDescent="0.45">
      <c r="A90" s="2"/>
      <c r="B90" s="52"/>
      <c r="C90" s="59"/>
    </row>
    <row r="91" spans="1:3" ht="14.25" x14ac:dyDescent="0.45">
      <c r="A91" s="2"/>
      <c r="B91" s="52"/>
      <c r="C91" s="59"/>
    </row>
    <row r="92" spans="1:3" ht="14.25" x14ac:dyDescent="0.45">
      <c r="A92" s="2"/>
      <c r="B92" s="52"/>
      <c r="C92" s="59"/>
    </row>
    <row r="93" spans="1:3" ht="14.25" x14ac:dyDescent="0.45">
      <c r="A93" s="2"/>
      <c r="B93" s="52"/>
      <c r="C93" s="59"/>
    </row>
    <row r="94" spans="1:3" ht="14.25" x14ac:dyDescent="0.45">
      <c r="A94" s="2"/>
      <c r="B94" s="52"/>
      <c r="C94" s="59"/>
    </row>
    <row r="95" spans="1:3" ht="14.25" x14ac:dyDescent="0.45">
      <c r="A95" s="2"/>
      <c r="B95" s="52"/>
      <c r="C95" s="59"/>
    </row>
    <row r="96" spans="1:3" ht="14.25" x14ac:dyDescent="0.45">
      <c r="A96" s="2"/>
      <c r="C96" s="59"/>
    </row>
    <row r="97" spans="1:3" ht="14.25" x14ac:dyDescent="0.45">
      <c r="A97" s="2"/>
      <c r="C97" s="59"/>
    </row>
    <row r="98" spans="1:3" ht="14.25" x14ac:dyDescent="0.45">
      <c r="A98" s="2"/>
      <c r="C98" s="59"/>
    </row>
    <row r="99" spans="1:3" x14ac:dyDescent="0.35">
      <c r="A99" s="2"/>
      <c r="C99" s="50"/>
    </row>
    <row r="100" spans="1:3" x14ac:dyDescent="0.35">
      <c r="A100" s="2"/>
      <c r="C100" s="50"/>
    </row>
    <row r="101" spans="1:3" x14ac:dyDescent="0.35">
      <c r="A101" s="2"/>
      <c r="C101" s="50"/>
    </row>
    <row r="102" spans="1:3" x14ac:dyDescent="0.35">
      <c r="A102" s="2"/>
      <c r="C102" s="50"/>
    </row>
    <row r="103" spans="1:3" x14ac:dyDescent="0.35">
      <c r="A103" s="2"/>
      <c r="C103" s="50"/>
    </row>
    <row r="104" spans="1:3" x14ac:dyDescent="0.35">
      <c r="A104" s="2"/>
      <c r="C104" s="50"/>
    </row>
    <row r="105" spans="1:3" x14ac:dyDescent="0.35">
      <c r="A105" s="2"/>
      <c r="C105" s="50"/>
    </row>
    <row r="106" spans="1:3" x14ac:dyDescent="0.35">
      <c r="A106" s="2"/>
      <c r="C106" s="50"/>
    </row>
    <row r="107" spans="1:3" x14ac:dyDescent="0.35">
      <c r="A107" s="2"/>
      <c r="C107" s="50"/>
    </row>
    <row r="108" spans="1:3" x14ac:dyDescent="0.35">
      <c r="A108" s="2"/>
      <c r="C108" s="50"/>
    </row>
    <row r="109" spans="1:3" x14ac:dyDescent="0.35">
      <c r="A109" s="2"/>
      <c r="C109" s="50"/>
    </row>
    <row r="110" spans="1:3" x14ac:dyDescent="0.35">
      <c r="A110" s="2"/>
      <c r="C110" s="50"/>
    </row>
    <row r="111" spans="1:3" x14ac:dyDescent="0.35">
      <c r="A111" s="2"/>
      <c r="C111" s="50"/>
    </row>
    <row r="112" spans="1:3" x14ac:dyDescent="0.35">
      <c r="A112" s="2"/>
      <c r="C112" s="50"/>
    </row>
    <row r="113" spans="1:3" x14ac:dyDescent="0.35">
      <c r="A113" s="2"/>
      <c r="C113" s="50"/>
    </row>
    <row r="114" spans="1:3" x14ac:dyDescent="0.35">
      <c r="A114" s="2"/>
      <c r="C114" s="50"/>
    </row>
    <row r="115" spans="1:3" x14ac:dyDescent="0.35">
      <c r="A115" s="2"/>
      <c r="C115" s="50"/>
    </row>
    <row r="116" spans="1:3" x14ac:dyDescent="0.35">
      <c r="A116" s="2"/>
      <c r="C116" s="50"/>
    </row>
    <row r="117" spans="1:3" x14ac:dyDescent="0.35">
      <c r="A117" s="2"/>
      <c r="C117" s="50"/>
    </row>
    <row r="118" spans="1:3" x14ac:dyDescent="0.35">
      <c r="A118" s="2"/>
      <c r="C118" s="50"/>
    </row>
    <row r="119" spans="1:3" x14ac:dyDescent="0.35">
      <c r="A119" s="2"/>
      <c r="C119" s="50"/>
    </row>
    <row r="120" spans="1:3" x14ac:dyDescent="0.35">
      <c r="A120" s="2"/>
      <c r="C120" s="50"/>
    </row>
    <row r="121" spans="1:3" x14ac:dyDescent="0.35">
      <c r="A121" s="2"/>
      <c r="C121" s="50"/>
    </row>
    <row r="122" spans="1:3" x14ac:dyDescent="0.35">
      <c r="A122" s="2"/>
      <c r="C122" s="50"/>
    </row>
    <row r="123" spans="1:3" x14ac:dyDescent="0.35">
      <c r="A123" s="2"/>
      <c r="C123" s="50"/>
    </row>
    <row r="124" spans="1:3" x14ac:dyDescent="0.35">
      <c r="A124" s="2"/>
      <c r="C124" s="50"/>
    </row>
    <row r="125" spans="1:3" x14ac:dyDescent="0.35">
      <c r="A125" s="2"/>
      <c r="C125" s="50"/>
    </row>
    <row r="126" spans="1:3" x14ac:dyDescent="0.35">
      <c r="A126" s="2"/>
      <c r="C126" s="50"/>
    </row>
    <row r="127" spans="1:3" x14ac:dyDescent="0.35">
      <c r="A127" s="2"/>
      <c r="C127" s="50"/>
    </row>
    <row r="128" spans="1:3" x14ac:dyDescent="0.35">
      <c r="A128" s="2"/>
      <c r="C128" s="50"/>
    </row>
    <row r="129" spans="1:3" x14ac:dyDescent="0.35">
      <c r="A129" s="2"/>
      <c r="C129" s="50"/>
    </row>
    <row r="130" spans="1:3" x14ac:dyDescent="0.35">
      <c r="A130" s="2"/>
      <c r="C130" s="50"/>
    </row>
    <row r="131" spans="1:3" x14ac:dyDescent="0.35">
      <c r="A131" s="2"/>
      <c r="C131" s="50"/>
    </row>
    <row r="132" spans="1:3" x14ac:dyDescent="0.35">
      <c r="A132" s="2"/>
      <c r="C132" s="50"/>
    </row>
    <row r="133" spans="1:3" x14ac:dyDescent="0.35">
      <c r="A133" s="2"/>
      <c r="C133" s="50"/>
    </row>
    <row r="134" spans="1:3" x14ac:dyDescent="0.35">
      <c r="A134" s="2"/>
      <c r="C134" s="50"/>
    </row>
    <row r="135" spans="1:3" x14ac:dyDescent="0.35">
      <c r="A135" s="2"/>
      <c r="C135" s="50"/>
    </row>
    <row r="136" spans="1:3" x14ac:dyDescent="0.35">
      <c r="A136" s="2"/>
      <c r="C136" s="50"/>
    </row>
    <row r="137" spans="1:3" x14ac:dyDescent="0.35">
      <c r="A137" s="2"/>
      <c r="C137" s="50"/>
    </row>
    <row r="138" spans="1:3" x14ac:dyDescent="0.35">
      <c r="A138" s="2"/>
      <c r="C138" s="50"/>
    </row>
    <row r="139" spans="1:3" x14ac:dyDescent="0.35">
      <c r="A139" s="2"/>
      <c r="C139" s="50"/>
    </row>
    <row r="140" spans="1:3" x14ac:dyDescent="0.35">
      <c r="A140" s="2"/>
      <c r="C140" s="50"/>
    </row>
    <row r="141" spans="1:3" x14ac:dyDescent="0.35">
      <c r="A141" s="2"/>
      <c r="C141" s="50"/>
    </row>
    <row r="142" spans="1:3" x14ac:dyDescent="0.35">
      <c r="A142" s="2"/>
      <c r="C142" s="50"/>
    </row>
    <row r="143" spans="1:3" x14ac:dyDescent="0.35">
      <c r="A143" s="2"/>
      <c r="C143" s="50"/>
    </row>
    <row r="144" spans="1:3" x14ac:dyDescent="0.35">
      <c r="A144" s="2"/>
      <c r="C144" s="50"/>
    </row>
    <row r="145" spans="1:3" x14ac:dyDescent="0.35">
      <c r="A145" s="2"/>
      <c r="C145" s="50"/>
    </row>
    <row r="146" spans="1:3" x14ac:dyDescent="0.35">
      <c r="A146" s="2"/>
      <c r="C146" s="50"/>
    </row>
    <row r="147" spans="1:3" x14ac:dyDescent="0.35">
      <c r="A147" s="2"/>
      <c r="C147" s="50"/>
    </row>
    <row r="148" spans="1:3" x14ac:dyDescent="0.35">
      <c r="A148" s="2"/>
      <c r="C148" s="50"/>
    </row>
    <row r="149" spans="1:3" x14ac:dyDescent="0.35">
      <c r="A149" s="2"/>
      <c r="C149" s="50"/>
    </row>
    <row r="150" spans="1:3" x14ac:dyDescent="0.35">
      <c r="A150" s="2"/>
      <c r="C150" s="50"/>
    </row>
    <row r="151" spans="1:3" x14ac:dyDescent="0.35">
      <c r="A151" s="2"/>
      <c r="C151" s="50"/>
    </row>
    <row r="152" spans="1:3" x14ac:dyDescent="0.35">
      <c r="A152" s="2"/>
      <c r="C152" s="50"/>
    </row>
    <row r="153" spans="1:3" x14ac:dyDescent="0.35">
      <c r="A153" s="2"/>
      <c r="C153" s="50"/>
    </row>
    <row r="154" spans="1:3" x14ac:dyDescent="0.35">
      <c r="A154" s="2"/>
      <c r="C154" s="50"/>
    </row>
    <row r="155" spans="1:3" x14ac:dyDescent="0.35">
      <c r="A155" s="2"/>
      <c r="C155" s="50"/>
    </row>
    <row r="156" spans="1:3" x14ac:dyDescent="0.35">
      <c r="A156" s="2"/>
      <c r="C156" s="50"/>
    </row>
    <row r="157" spans="1:3" x14ac:dyDescent="0.35">
      <c r="A157" s="2"/>
      <c r="C157" s="50"/>
    </row>
    <row r="158" spans="1:3" x14ac:dyDescent="0.35">
      <c r="A158" s="2"/>
      <c r="C158" s="50"/>
    </row>
    <row r="159" spans="1:3" x14ac:dyDescent="0.35">
      <c r="A159" s="2"/>
      <c r="C159" s="50"/>
    </row>
    <row r="160" spans="1:3" x14ac:dyDescent="0.35">
      <c r="A160" s="2"/>
      <c r="C160" s="50"/>
    </row>
    <row r="161" spans="1:3" x14ac:dyDescent="0.35">
      <c r="A161" s="2"/>
      <c r="C161" s="50"/>
    </row>
    <row r="162" spans="1:3" x14ac:dyDescent="0.35">
      <c r="A162" s="2"/>
      <c r="C162" s="50"/>
    </row>
    <row r="163" spans="1:3" x14ac:dyDescent="0.35">
      <c r="A163" s="2"/>
      <c r="C163" s="50"/>
    </row>
    <row r="164" spans="1:3" x14ac:dyDescent="0.35">
      <c r="A164" s="2"/>
      <c r="C164" s="50"/>
    </row>
    <row r="165" spans="1:3" x14ac:dyDescent="0.35">
      <c r="A165" s="2"/>
      <c r="C165" s="50"/>
    </row>
    <row r="166" spans="1:3" x14ac:dyDescent="0.35">
      <c r="A166" s="2"/>
      <c r="C166" s="50"/>
    </row>
    <row r="167" spans="1:3" x14ac:dyDescent="0.35">
      <c r="A167" s="2"/>
      <c r="C167" s="50"/>
    </row>
    <row r="168" spans="1:3" x14ac:dyDescent="0.35">
      <c r="A168" s="2"/>
      <c r="C168" s="50"/>
    </row>
    <row r="169" spans="1:3" x14ac:dyDescent="0.35">
      <c r="A169" s="2"/>
      <c r="C169" s="50"/>
    </row>
    <row r="170" spans="1:3" x14ac:dyDescent="0.35">
      <c r="A170" s="2"/>
      <c r="C170" s="50"/>
    </row>
    <row r="171" spans="1:3" x14ac:dyDescent="0.35">
      <c r="A171" s="2"/>
      <c r="C171" s="50"/>
    </row>
    <row r="172" spans="1:3" x14ac:dyDescent="0.35">
      <c r="A172" s="2"/>
      <c r="C172" s="50"/>
    </row>
    <row r="173" spans="1:3" x14ac:dyDescent="0.35">
      <c r="A173" s="2"/>
      <c r="C173" s="50"/>
    </row>
    <row r="174" spans="1:3" x14ac:dyDescent="0.35">
      <c r="A174" s="2"/>
      <c r="C174" s="50"/>
    </row>
    <row r="175" spans="1:3" x14ac:dyDescent="0.35">
      <c r="A175" s="2"/>
      <c r="C175" s="50"/>
    </row>
    <row r="176" spans="1:3" x14ac:dyDescent="0.35">
      <c r="A176" s="2"/>
      <c r="C176" s="50"/>
    </row>
    <row r="177" spans="1:3" x14ac:dyDescent="0.35">
      <c r="A177" s="2"/>
      <c r="C177" s="50"/>
    </row>
    <row r="178" spans="1:3" x14ac:dyDescent="0.35">
      <c r="A178" s="2"/>
      <c r="C178" s="50"/>
    </row>
    <row r="179" spans="1:3" x14ac:dyDescent="0.35">
      <c r="A179" s="2"/>
      <c r="C179" s="50"/>
    </row>
    <row r="180" spans="1:3" x14ac:dyDescent="0.35">
      <c r="A180" s="2"/>
      <c r="C180" s="50"/>
    </row>
    <row r="181" spans="1:3" x14ac:dyDescent="0.35">
      <c r="A181" s="2"/>
      <c r="C181" s="50"/>
    </row>
    <row r="182" spans="1:3" x14ac:dyDescent="0.35">
      <c r="A182" s="2"/>
      <c r="C182" s="50"/>
    </row>
    <row r="183" spans="1:3" x14ac:dyDescent="0.35">
      <c r="A183" s="2"/>
      <c r="C183" s="50"/>
    </row>
    <row r="184" spans="1:3" x14ac:dyDescent="0.35">
      <c r="A184" s="2"/>
      <c r="C184" s="50"/>
    </row>
    <row r="185" spans="1:3" x14ac:dyDescent="0.35">
      <c r="A185" s="2"/>
      <c r="C185" s="50"/>
    </row>
    <row r="186" spans="1:3" x14ac:dyDescent="0.35">
      <c r="A186" s="2"/>
      <c r="C186" s="50"/>
    </row>
    <row r="187" spans="1:3" x14ac:dyDescent="0.35">
      <c r="A187" s="2"/>
      <c r="C187" s="50"/>
    </row>
    <row r="188" spans="1:3" x14ac:dyDescent="0.35">
      <c r="A188" s="2"/>
      <c r="C188" s="50"/>
    </row>
    <row r="189" spans="1:3" x14ac:dyDescent="0.35">
      <c r="A189" s="2"/>
      <c r="C189" s="50"/>
    </row>
    <row r="190" spans="1:3" x14ac:dyDescent="0.35">
      <c r="A190" s="2"/>
      <c r="C190" s="50"/>
    </row>
    <row r="191" spans="1:3" x14ac:dyDescent="0.35">
      <c r="A191" s="2"/>
      <c r="C191" s="50"/>
    </row>
    <row r="192" spans="1:3" x14ac:dyDescent="0.35">
      <c r="A192" s="2"/>
      <c r="C192" s="50"/>
    </row>
    <row r="193" spans="1:3" x14ac:dyDescent="0.35">
      <c r="A193" s="2"/>
      <c r="C193" s="50"/>
    </row>
    <row r="194" spans="1:3" x14ac:dyDescent="0.35">
      <c r="A194" s="2"/>
      <c r="C194" s="50"/>
    </row>
    <row r="195" spans="1:3" x14ac:dyDescent="0.35">
      <c r="A195" s="2"/>
      <c r="C195" s="50"/>
    </row>
    <row r="196" spans="1:3" x14ac:dyDescent="0.35">
      <c r="A196" s="2"/>
      <c r="C196" s="50"/>
    </row>
    <row r="197" spans="1:3" x14ac:dyDescent="0.35">
      <c r="A197" s="2"/>
      <c r="C197" s="50"/>
    </row>
    <row r="198" spans="1:3" x14ac:dyDescent="0.35">
      <c r="A198" s="2"/>
      <c r="C198" s="50"/>
    </row>
    <row r="199" spans="1:3" x14ac:dyDescent="0.35">
      <c r="A199" s="2"/>
      <c r="C199" s="50"/>
    </row>
    <row r="200" spans="1:3" x14ac:dyDescent="0.35">
      <c r="A200" s="2"/>
      <c r="C200" s="50"/>
    </row>
    <row r="201" spans="1:3" x14ac:dyDescent="0.35">
      <c r="A201" s="2"/>
      <c r="C201" s="50"/>
    </row>
    <row r="202" spans="1:3" x14ac:dyDescent="0.35">
      <c r="A202" s="2"/>
      <c r="C202" s="50"/>
    </row>
    <row r="203" spans="1:3" x14ac:dyDescent="0.35">
      <c r="A203" s="2"/>
      <c r="C203" s="50"/>
    </row>
    <row r="204" spans="1:3" x14ac:dyDescent="0.35">
      <c r="A204" s="2"/>
      <c r="C204" s="50"/>
    </row>
    <row r="205" spans="1:3" x14ac:dyDescent="0.35">
      <c r="A205" s="2"/>
      <c r="C205" s="50"/>
    </row>
    <row r="206" spans="1:3" x14ac:dyDescent="0.35">
      <c r="A206" s="2"/>
      <c r="C206" s="50"/>
    </row>
    <row r="207" spans="1:3" x14ac:dyDescent="0.35">
      <c r="A207" s="2"/>
      <c r="C207" s="50"/>
    </row>
    <row r="208" spans="1:3" x14ac:dyDescent="0.35">
      <c r="A208" s="2"/>
      <c r="C208" s="50"/>
    </row>
    <row r="209" spans="1:3" x14ac:dyDescent="0.35">
      <c r="A209" s="2"/>
      <c r="C209" s="50"/>
    </row>
    <row r="210" spans="1:3" x14ac:dyDescent="0.35">
      <c r="A210" s="2"/>
      <c r="C210" s="50"/>
    </row>
    <row r="211" spans="1:3" x14ac:dyDescent="0.35">
      <c r="A211" s="2"/>
      <c r="C211" s="50"/>
    </row>
    <row r="212" spans="1:3" x14ac:dyDescent="0.35">
      <c r="A212" s="2"/>
      <c r="C212" s="50"/>
    </row>
    <row r="213" spans="1:3" x14ac:dyDescent="0.35">
      <c r="A213" s="2"/>
      <c r="C213" s="50"/>
    </row>
    <row r="214" spans="1:3" x14ac:dyDescent="0.35">
      <c r="A214" s="2"/>
      <c r="C214" s="50"/>
    </row>
    <row r="215" spans="1:3" x14ac:dyDescent="0.35">
      <c r="A215" s="2"/>
      <c r="C215" s="50"/>
    </row>
    <row r="216" spans="1:3" x14ac:dyDescent="0.35">
      <c r="A216" s="2"/>
      <c r="C216" s="50"/>
    </row>
    <row r="217" spans="1:3" x14ac:dyDescent="0.35">
      <c r="A217" s="2"/>
      <c r="C217" s="50"/>
    </row>
    <row r="218" spans="1:3" x14ac:dyDescent="0.35">
      <c r="A218" s="2"/>
      <c r="C218" s="50"/>
    </row>
    <row r="219" spans="1:3" x14ac:dyDescent="0.35">
      <c r="A219" s="2"/>
      <c r="C219" s="50"/>
    </row>
    <row r="220" spans="1:3" x14ac:dyDescent="0.35">
      <c r="A220" s="2"/>
      <c r="C220" s="50"/>
    </row>
    <row r="221" spans="1:3" x14ac:dyDescent="0.35">
      <c r="A221" s="2"/>
      <c r="C221" s="50"/>
    </row>
    <row r="222" spans="1:3" x14ac:dyDescent="0.35">
      <c r="A222" s="2"/>
      <c r="C222" s="50"/>
    </row>
    <row r="223" spans="1:3" x14ac:dyDescent="0.35">
      <c r="A223" s="2"/>
      <c r="C223" s="50"/>
    </row>
    <row r="224" spans="1:3" x14ac:dyDescent="0.35">
      <c r="A224" s="2"/>
      <c r="C224" s="50"/>
    </row>
    <row r="225" spans="1:3" x14ac:dyDescent="0.35">
      <c r="A225" s="2"/>
      <c r="C225" s="50"/>
    </row>
    <row r="226" spans="1:3" x14ac:dyDescent="0.35">
      <c r="A226" s="2"/>
      <c r="C226" s="50"/>
    </row>
    <row r="227" spans="1:3" x14ac:dyDescent="0.35">
      <c r="A227" s="2"/>
      <c r="C227" s="50"/>
    </row>
    <row r="228" spans="1:3" x14ac:dyDescent="0.35">
      <c r="A228" s="2"/>
      <c r="C228" s="50"/>
    </row>
    <row r="229" spans="1:3" x14ac:dyDescent="0.35">
      <c r="A229" s="2"/>
      <c r="C229" s="50"/>
    </row>
    <row r="230" spans="1:3" x14ac:dyDescent="0.35">
      <c r="A230" s="2"/>
      <c r="C230" s="50"/>
    </row>
    <row r="231" spans="1:3" x14ac:dyDescent="0.35">
      <c r="A231" s="2"/>
      <c r="C231" s="50"/>
    </row>
    <row r="232" spans="1:3" x14ac:dyDescent="0.35">
      <c r="A232" s="2"/>
      <c r="C232" s="50"/>
    </row>
    <row r="233" spans="1:3" x14ac:dyDescent="0.35">
      <c r="A233" s="2"/>
      <c r="C233" s="50"/>
    </row>
    <row r="234" spans="1:3" x14ac:dyDescent="0.35">
      <c r="A234" s="2"/>
      <c r="C234" s="50"/>
    </row>
    <row r="235" spans="1:3" x14ac:dyDescent="0.35">
      <c r="A235" s="2"/>
      <c r="C235" s="50"/>
    </row>
    <row r="236" spans="1:3" x14ac:dyDescent="0.35">
      <c r="A236" s="2"/>
      <c r="C236" s="50"/>
    </row>
    <row r="237" spans="1:3" x14ac:dyDescent="0.35">
      <c r="A237" s="2"/>
      <c r="C237" s="50"/>
    </row>
    <row r="238" spans="1:3" x14ac:dyDescent="0.35">
      <c r="A238" s="2"/>
      <c r="C238" s="50"/>
    </row>
    <row r="239" spans="1:3" x14ac:dyDescent="0.35">
      <c r="A239" s="2"/>
      <c r="C239" s="50"/>
    </row>
    <row r="240" spans="1:3" x14ac:dyDescent="0.35">
      <c r="A240" s="2"/>
      <c r="C240" s="50"/>
    </row>
    <row r="241" spans="1:3" x14ac:dyDescent="0.35">
      <c r="A241" s="2"/>
      <c r="C241" s="50"/>
    </row>
    <row r="242" spans="1:3" x14ac:dyDescent="0.35">
      <c r="A242" s="2"/>
      <c r="C242" s="50"/>
    </row>
    <row r="243" spans="1:3" x14ac:dyDescent="0.35">
      <c r="A243" s="2"/>
      <c r="C243" s="50"/>
    </row>
    <row r="244" spans="1:3" x14ac:dyDescent="0.35">
      <c r="A244" s="2"/>
      <c r="C244" s="50"/>
    </row>
    <row r="245" spans="1:3" x14ac:dyDescent="0.35">
      <c r="A245" s="2"/>
      <c r="C245" s="50"/>
    </row>
    <row r="246" spans="1:3" x14ac:dyDescent="0.35">
      <c r="A246" s="2"/>
      <c r="C246" s="50"/>
    </row>
    <row r="247" spans="1:3" x14ac:dyDescent="0.35">
      <c r="A247" s="2"/>
      <c r="C247" s="50"/>
    </row>
    <row r="248" spans="1:3" x14ac:dyDescent="0.35">
      <c r="A248" s="2"/>
      <c r="C248" s="50"/>
    </row>
    <row r="249" spans="1:3" x14ac:dyDescent="0.35">
      <c r="A249" s="2"/>
      <c r="C249" s="50"/>
    </row>
    <row r="250" spans="1:3" x14ac:dyDescent="0.35">
      <c r="A250" s="2"/>
      <c r="C250" s="50"/>
    </row>
    <row r="251" spans="1:3" x14ac:dyDescent="0.35">
      <c r="A251" s="2"/>
      <c r="C251" s="50"/>
    </row>
    <row r="252" spans="1:3" x14ac:dyDescent="0.35">
      <c r="A252" s="2"/>
      <c r="C252" s="50"/>
    </row>
    <row r="253" spans="1:3" x14ac:dyDescent="0.35">
      <c r="A253" s="2"/>
      <c r="C253" s="50"/>
    </row>
    <row r="254" spans="1:3" x14ac:dyDescent="0.35">
      <c r="A254" s="2"/>
      <c r="C254" s="50"/>
    </row>
    <row r="255" spans="1:3" x14ac:dyDescent="0.35">
      <c r="A255" s="2"/>
      <c r="C255" s="50"/>
    </row>
    <row r="256" spans="1:3" x14ac:dyDescent="0.35">
      <c r="A256" s="2"/>
      <c r="C256" s="50"/>
    </row>
    <row r="257" spans="1:3" x14ac:dyDescent="0.35">
      <c r="A257" s="2"/>
      <c r="C257" s="50"/>
    </row>
    <row r="258" spans="1:3" x14ac:dyDescent="0.35">
      <c r="A258" s="2"/>
      <c r="C258" s="50"/>
    </row>
    <row r="259" spans="1:3" x14ac:dyDescent="0.35">
      <c r="A259" s="2"/>
      <c r="C259" s="50"/>
    </row>
    <row r="260" spans="1:3" x14ac:dyDescent="0.35">
      <c r="A260" s="2"/>
      <c r="C260" s="50"/>
    </row>
    <row r="261" spans="1:3" x14ac:dyDescent="0.35">
      <c r="A261" s="2"/>
      <c r="C261" s="50"/>
    </row>
    <row r="262" spans="1:3" x14ac:dyDescent="0.35">
      <c r="A262" s="2"/>
      <c r="C262" s="50"/>
    </row>
    <row r="263" spans="1:3" x14ac:dyDescent="0.35">
      <c r="A263" s="2"/>
      <c r="C263" s="50"/>
    </row>
    <row r="264" spans="1:3" x14ac:dyDescent="0.35">
      <c r="A264" s="2"/>
      <c r="C264" s="50"/>
    </row>
    <row r="265" spans="1:3" x14ac:dyDescent="0.35">
      <c r="A265" s="2"/>
      <c r="C265" s="50"/>
    </row>
    <row r="266" spans="1:3" x14ac:dyDescent="0.35">
      <c r="A266" s="2"/>
      <c r="C266" s="50"/>
    </row>
    <row r="267" spans="1:3" x14ac:dyDescent="0.35">
      <c r="A267" s="2"/>
      <c r="C267" s="50"/>
    </row>
    <row r="268" spans="1:3" x14ac:dyDescent="0.35">
      <c r="A268" s="2"/>
      <c r="C268" s="50"/>
    </row>
    <row r="269" spans="1:3" x14ac:dyDescent="0.35">
      <c r="A269" s="2"/>
      <c r="C269" s="50"/>
    </row>
    <row r="270" spans="1:3" x14ac:dyDescent="0.35">
      <c r="A270" s="2"/>
      <c r="C270" s="50"/>
    </row>
    <row r="271" spans="1:3" x14ac:dyDescent="0.35">
      <c r="A271" s="2"/>
      <c r="C271" s="50"/>
    </row>
    <row r="272" spans="1:3" x14ac:dyDescent="0.35">
      <c r="A272" s="2"/>
      <c r="C272" s="50"/>
    </row>
    <row r="273" spans="1:3" x14ac:dyDescent="0.35">
      <c r="A273" s="2"/>
      <c r="C273" s="50"/>
    </row>
    <row r="274" spans="1:3" x14ac:dyDescent="0.35">
      <c r="A274" s="2"/>
      <c r="C274" s="50"/>
    </row>
    <row r="275" spans="1:3" x14ac:dyDescent="0.35">
      <c r="A275" s="2"/>
      <c r="C275" s="50"/>
    </row>
    <row r="276" spans="1:3" x14ac:dyDescent="0.35">
      <c r="A276" s="2"/>
      <c r="C276" s="50"/>
    </row>
    <row r="277" spans="1:3" x14ac:dyDescent="0.35">
      <c r="A277" s="2"/>
      <c r="C277" s="50"/>
    </row>
    <row r="278" spans="1:3" x14ac:dyDescent="0.35">
      <c r="A278" s="2"/>
      <c r="C278" s="50"/>
    </row>
    <row r="279" spans="1:3" x14ac:dyDescent="0.35">
      <c r="A279" s="2"/>
      <c r="C279" s="50"/>
    </row>
    <row r="280" spans="1:3" x14ac:dyDescent="0.35">
      <c r="A280" s="2"/>
      <c r="C280" s="50"/>
    </row>
    <row r="281" spans="1:3" x14ac:dyDescent="0.35">
      <c r="A281" s="2"/>
      <c r="C281" s="50"/>
    </row>
    <row r="282" spans="1:3" x14ac:dyDescent="0.35">
      <c r="A282" s="2"/>
      <c r="C282" s="50"/>
    </row>
    <row r="283" spans="1:3" x14ac:dyDescent="0.35">
      <c r="A283" s="2"/>
      <c r="C283" s="50"/>
    </row>
    <row r="284" spans="1:3" x14ac:dyDescent="0.35">
      <c r="A284" s="2"/>
      <c r="C284" s="50"/>
    </row>
    <row r="285" spans="1:3" x14ac:dyDescent="0.35">
      <c r="A285" s="2"/>
      <c r="C285" s="50"/>
    </row>
    <row r="286" spans="1:3" x14ac:dyDescent="0.35">
      <c r="A286" s="2"/>
      <c r="C286" s="50"/>
    </row>
    <row r="287" spans="1:3" x14ac:dyDescent="0.35">
      <c r="A287" s="2"/>
      <c r="C287" s="50"/>
    </row>
    <row r="288" spans="1:3" x14ac:dyDescent="0.35">
      <c r="A288" s="2"/>
      <c r="C288" s="50"/>
    </row>
    <row r="289" spans="1:3" x14ac:dyDescent="0.35">
      <c r="A289" s="2"/>
      <c r="C289" s="50"/>
    </row>
    <row r="290" spans="1:3" x14ac:dyDescent="0.35">
      <c r="A290" s="2"/>
      <c r="C290" s="50"/>
    </row>
    <row r="291" spans="1:3" x14ac:dyDescent="0.35">
      <c r="A291" s="2"/>
      <c r="C291" s="50"/>
    </row>
    <row r="292" spans="1:3" x14ac:dyDescent="0.35">
      <c r="A292" s="2"/>
      <c r="C292" s="50"/>
    </row>
    <row r="293" spans="1:3" x14ac:dyDescent="0.35">
      <c r="A293" s="2"/>
      <c r="C293" s="50"/>
    </row>
    <row r="294" spans="1:3" x14ac:dyDescent="0.35">
      <c r="A294" s="2"/>
      <c r="C294" s="50"/>
    </row>
    <row r="295" spans="1:3" x14ac:dyDescent="0.35">
      <c r="A295" s="2"/>
      <c r="C295" s="50"/>
    </row>
    <row r="296" spans="1:3" x14ac:dyDescent="0.35">
      <c r="A296" s="2"/>
      <c r="C296" s="50"/>
    </row>
    <row r="297" spans="1:3" x14ac:dyDescent="0.35">
      <c r="A297" s="2"/>
      <c r="C297" s="50"/>
    </row>
    <row r="298" spans="1:3" x14ac:dyDescent="0.35">
      <c r="A298" s="2"/>
      <c r="C298" s="50"/>
    </row>
    <row r="299" spans="1:3" x14ac:dyDescent="0.35">
      <c r="A299" s="2"/>
      <c r="C299" s="50"/>
    </row>
    <row r="300" spans="1:3" x14ac:dyDescent="0.35">
      <c r="A300" s="2"/>
      <c r="C300" s="50"/>
    </row>
    <row r="301" spans="1:3" x14ac:dyDescent="0.35">
      <c r="A301" s="2"/>
      <c r="C301" s="50"/>
    </row>
    <row r="302" spans="1:3" x14ac:dyDescent="0.35">
      <c r="A302" s="2"/>
      <c r="C302" s="50"/>
    </row>
    <row r="303" spans="1:3" x14ac:dyDescent="0.35">
      <c r="A303" s="2"/>
      <c r="C303" s="50"/>
    </row>
    <row r="304" spans="1:3" x14ac:dyDescent="0.35">
      <c r="A304" s="2"/>
      <c r="C304" s="50"/>
    </row>
    <row r="305" spans="1:3" x14ac:dyDescent="0.35">
      <c r="A305" s="2"/>
      <c r="C305" s="50"/>
    </row>
    <row r="306" spans="1:3" x14ac:dyDescent="0.35">
      <c r="A306" s="2"/>
      <c r="C306" s="50"/>
    </row>
    <row r="307" spans="1:3" x14ac:dyDescent="0.35">
      <c r="A307" s="2"/>
      <c r="C307" s="50"/>
    </row>
    <row r="308" spans="1:3" x14ac:dyDescent="0.35">
      <c r="A308" s="2"/>
      <c r="C308" s="50"/>
    </row>
    <row r="309" spans="1:3" x14ac:dyDescent="0.35">
      <c r="A309" s="2"/>
      <c r="C309" s="50"/>
    </row>
    <row r="310" spans="1:3" x14ac:dyDescent="0.35">
      <c r="A310" s="2"/>
      <c r="C310" s="50"/>
    </row>
    <row r="311" spans="1:3" x14ac:dyDescent="0.35">
      <c r="A311" s="2"/>
      <c r="C311" s="50"/>
    </row>
    <row r="312" spans="1:3" x14ac:dyDescent="0.35">
      <c r="A312" s="2"/>
      <c r="C312" s="50"/>
    </row>
    <row r="313" spans="1:3" x14ac:dyDescent="0.35">
      <c r="A313" s="2"/>
      <c r="C313" s="50"/>
    </row>
    <row r="314" spans="1:3" x14ac:dyDescent="0.35">
      <c r="A314" s="2"/>
      <c r="C314" s="50"/>
    </row>
    <row r="315" spans="1:3" x14ac:dyDescent="0.35">
      <c r="A315" s="2"/>
      <c r="C315" s="50"/>
    </row>
    <row r="316" spans="1:3" x14ac:dyDescent="0.35">
      <c r="A316" s="2"/>
      <c r="C316" s="50"/>
    </row>
    <row r="317" spans="1:3" x14ac:dyDescent="0.35">
      <c r="A317" s="2"/>
      <c r="C317" s="50"/>
    </row>
    <row r="318" spans="1:3" x14ac:dyDescent="0.35">
      <c r="A318" s="2"/>
      <c r="C318" s="50"/>
    </row>
    <row r="319" spans="1:3" x14ac:dyDescent="0.35">
      <c r="A319" s="2"/>
      <c r="C319" s="50"/>
    </row>
    <row r="320" spans="1:3" x14ac:dyDescent="0.35">
      <c r="A320" s="2"/>
      <c r="C320" s="50"/>
    </row>
    <row r="321" spans="1:3" x14ac:dyDescent="0.35">
      <c r="A321" s="2"/>
      <c r="C321" s="50"/>
    </row>
    <row r="322" spans="1:3" x14ac:dyDescent="0.35">
      <c r="A322" s="2"/>
      <c r="C322" s="50"/>
    </row>
    <row r="323" spans="1:3" x14ac:dyDescent="0.35">
      <c r="A323" s="2"/>
      <c r="C323" s="50"/>
    </row>
    <row r="324" spans="1:3" x14ac:dyDescent="0.35">
      <c r="A324" s="2"/>
      <c r="C324" s="50"/>
    </row>
    <row r="325" spans="1:3" x14ac:dyDescent="0.35">
      <c r="A325" s="2"/>
      <c r="C325" s="50"/>
    </row>
    <row r="326" spans="1:3" x14ac:dyDescent="0.35">
      <c r="A326" s="2"/>
      <c r="C326" s="50"/>
    </row>
    <row r="327" spans="1:3" x14ac:dyDescent="0.35">
      <c r="A327" s="2"/>
      <c r="C327" s="50"/>
    </row>
    <row r="328" spans="1:3" x14ac:dyDescent="0.35">
      <c r="A328" s="2"/>
      <c r="C328" s="50"/>
    </row>
    <row r="329" spans="1:3" x14ac:dyDescent="0.35">
      <c r="A329" s="2"/>
      <c r="C329" s="50"/>
    </row>
    <row r="330" spans="1:3" x14ac:dyDescent="0.35">
      <c r="A330" s="2"/>
      <c r="C330" s="50"/>
    </row>
    <row r="331" spans="1:3" x14ac:dyDescent="0.35">
      <c r="A331" s="2"/>
      <c r="C331" s="50"/>
    </row>
    <row r="332" spans="1:3" x14ac:dyDescent="0.35">
      <c r="A332" s="2"/>
      <c r="C332" s="50"/>
    </row>
    <row r="333" spans="1:3" x14ac:dyDescent="0.35">
      <c r="A333" s="2"/>
      <c r="C333" s="50"/>
    </row>
    <row r="334" spans="1:3" x14ac:dyDescent="0.35">
      <c r="A334" s="2"/>
      <c r="C334" s="50"/>
    </row>
    <row r="335" spans="1:3" x14ac:dyDescent="0.35">
      <c r="A335" s="2"/>
      <c r="C335" s="50"/>
    </row>
    <row r="336" spans="1:3" x14ac:dyDescent="0.35">
      <c r="A336" s="2"/>
      <c r="C336" s="50"/>
    </row>
    <row r="337" spans="1:3" x14ac:dyDescent="0.35">
      <c r="A337" s="2"/>
      <c r="C337" s="50"/>
    </row>
    <row r="338" spans="1:3" x14ac:dyDescent="0.35">
      <c r="A338" s="2"/>
      <c r="C338" s="50"/>
    </row>
    <row r="339" spans="1:3" x14ac:dyDescent="0.35">
      <c r="A339" s="2"/>
      <c r="C339" s="50"/>
    </row>
    <row r="340" spans="1:3" x14ac:dyDescent="0.35">
      <c r="A340" s="2"/>
      <c r="C340" s="50"/>
    </row>
    <row r="341" spans="1:3" x14ac:dyDescent="0.35">
      <c r="A341" s="2"/>
      <c r="C341" s="50"/>
    </row>
    <row r="342" spans="1:3" x14ac:dyDescent="0.35">
      <c r="A342" s="2"/>
      <c r="C342" s="50"/>
    </row>
    <row r="343" spans="1:3" x14ac:dyDescent="0.35">
      <c r="A343" s="2"/>
      <c r="C343" s="50"/>
    </row>
    <row r="344" spans="1:3" x14ac:dyDescent="0.35">
      <c r="A344" s="2"/>
      <c r="C344" s="50"/>
    </row>
    <row r="345" spans="1:3" x14ac:dyDescent="0.35">
      <c r="A345" s="2"/>
      <c r="C345" s="50"/>
    </row>
    <row r="346" spans="1:3" x14ac:dyDescent="0.35">
      <c r="A346" s="2"/>
      <c r="C346" s="50"/>
    </row>
    <row r="347" spans="1:3" x14ac:dyDescent="0.35">
      <c r="A347" s="2"/>
      <c r="C347" s="50"/>
    </row>
    <row r="348" spans="1:3" x14ac:dyDescent="0.35">
      <c r="A348" s="2"/>
      <c r="C348" s="50"/>
    </row>
    <row r="349" spans="1:3" x14ac:dyDescent="0.35">
      <c r="A349" s="2"/>
      <c r="C349" s="50"/>
    </row>
    <row r="350" spans="1:3" x14ac:dyDescent="0.35">
      <c r="A350" s="2"/>
      <c r="C350" s="50"/>
    </row>
    <row r="351" spans="1:3" x14ac:dyDescent="0.35">
      <c r="A351" s="2"/>
      <c r="C351" s="50"/>
    </row>
    <row r="352" spans="1:3" x14ac:dyDescent="0.35">
      <c r="A352" s="2"/>
      <c r="C352" s="50"/>
    </row>
    <row r="353" spans="1:3" x14ac:dyDescent="0.35">
      <c r="A353" s="2"/>
      <c r="C353" s="50"/>
    </row>
    <row r="354" spans="1:3" x14ac:dyDescent="0.35">
      <c r="A354" s="2"/>
      <c r="C354" s="50"/>
    </row>
    <row r="355" spans="1:3" x14ac:dyDescent="0.35">
      <c r="A355" s="2"/>
      <c r="C355" s="50"/>
    </row>
    <row r="356" spans="1:3" x14ac:dyDescent="0.35">
      <c r="A356" s="2"/>
      <c r="C356" s="50"/>
    </row>
    <row r="357" spans="1:3" x14ac:dyDescent="0.35">
      <c r="A357" s="2"/>
      <c r="C357" s="50"/>
    </row>
    <row r="358" spans="1:3" x14ac:dyDescent="0.35">
      <c r="A358" s="2"/>
      <c r="C358" s="50"/>
    </row>
    <row r="359" spans="1:3" x14ac:dyDescent="0.35">
      <c r="A359" s="2"/>
      <c r="C359" s="50"/>
    </row>
    <row r="360" spans="1:3" x14ac:dyDescent="0.35">
      <c r="A360" s="2"/>
      <c r="C360" s="50"/>
    </row>
    <row r="361" spans="1:3" x14ac:dyDescent="0.35">
      <c r="A361" s="2"/>
      <c r="C361" s="50"/>
    </row>
    <row r="362" spans="1:3" x14ac:dyDescent="0.35">
      <c r="A362" s="2"/>
      <c r="C362" s="50"/>
    </row>
    <row r="363" spans="1:3" x14ac:dyDescent="0.35">
      <c r="A363" s="2"/>
      <c r="C363" s="50"/>
    </row>
    <row r="364" spans="1:3" x14ac:dyDescent="0.35">
      <c r="A364" s="2"/>
      <c r="C364" s="50"/>
    </row>
    <row r="365" spans="1:3" x14ac:dyDescent="0.35">
      <c r="A365" s="2"/>
      <c r="C365" s="50"/>
    </row>
    <row r="366" spans="1:3" x14ac:dyDescent="0.35">
      <c r="A366" s="2"/>
      <c r="C366" s="50"/>
    </row>
    <row r="367" spans="1:3" x14ac:dyDescent="0.35">
      <c r="A367" s="2"/>
      <c r="C367" s="50"/>
    </row>
    <row r="368" spans="1:3" x14ac:dyDescent="0.35">
      <c r="A368" s="2"/>
      <c r="C368" s="50"/>
    </row>
    <row r="369" spans="1:3" x14ac:dyDescent="0.35">
      <c r="A369" s="2"/>
      <c r="C369" s="50"/>
    </row>
    <row r="370" spans="1:3" x14ac:dyDescent="0.35">
      <c r="A370" s="2"/>
      <c r="C370" s="50"/>
    </row>
    <row r="371" spans="1:3" x14ac:dyDescent="0.35">
      <c r="A371" s="2"/>
      <c r="C371" s="50"/>
    </row>
    <row r="372" spans="1:3" x14ac:dyDescent="0.35">
      <c r="A372" s="2"/>
      <c r="C372" s="50"/>
    </row>
    <row r="373" spans="1:3" x14ac:dyDescent="0.35">
      <c r="A373" s="2"/>
      <c r="C373" s="50"/>
    </row>
    <row r="374" spans="1:3" x14ac:dyDescent="0.35">
      <c r="A374" s="2"/>
      <c r="C374" s="50"/>
    </row>
    <row r="375" spans="1:3" x14ac:dyDescent="0.35">
      <c r="A375" s="2"/>
      <c r="C375" s="50"/>
    </row>
    <row r="376" spans="1:3" x14ac:dyDescent="0.35">
      <c r="A376" s="2"/>
      <c r="C376" s="50"/>
    </row>
    <row r="377" spans="1:3" x14ac:dyDescent="0.35">
      <c r="A377" s="2"/>
      <c r="C377" s="50"/>
    </row>
    <row r="378" spans="1:3" x14ac:dyDescent="0.35">
      <c r="A378" s="2"/>
      <c r="C378" s="50"/>
    </row>
    <row r="379" spans="1:3" x14ac:dyDescent="0.35">
      <c r="A379" s="2"/>
      <c r="C379" s="50"/>
    </row>
    <row r="380" spans="1:3" x14ac:dyDescent="0.35">
      <c r="A380" s="2"/>
      <c r="C380" s="50"/>
    </row>
    <row r="381" spans="1:3" x14ac:dyDescent="0.35">
      <c r="A381" s="2"/>
      <c r="C381" s="50"/>
    </row>
    <row r="382" spans="1:3" x14ac:dyDescent="0.35">
      <c r="A382" s="2"/>
      <c r="C382" s="50"/>
    </row>
    <row r="383" spans="1:3" x14ac:dyDescent="0.35">
      <c r="A383" s="2"/>
      <c r="C383" s="50"/>
    </row>
    <row r="384" spans="1:3" x14ac:dyDescent="0.35">
      <c r="A384" s="2"/>
      <c r="C384" s="50"/>
    </row>
    <row r="385" spans="1:3" x14ac:dyDescent="0.35">
      <c r="A385" s="2"/>
      <c r="C385" s="50"/>
    </row>
    <row r="386" spans="1:3" x14ac:dyDescent="0.35">
      <c r="A386" s="2"/>
      <c r="C386" s="50"/>
    </row>
    <row r="387" spans="1:3" x14ac:dyDescent="0.35">
      <c r="A387" s="2"/>
      <c r="C387" s="50"/>
    </row>
    <row r="388" spans="1:3" x14ac:dyDescent="0.35">
      <c r="A388" s="2"/>
      <c r="C388" s="50"/>
    </row>
    <row r="389" spans="1:3" x14ac:dyDescent="0.35">
      <c r="A389" s="2"/>
      <c r="C389" s="50"/>
    </row>
    <row r="390" spans="1:3" x14ac:dyDescent="0.35">
      <c r="A390" s="2"/>
      <c r="C390" s="50"/>
    </row>
    <row r="391" spans="1:3" x14ac:dyDescent="0.35">
      <c r="A391" s="2"/>
      <c r="C391" s="50"/>
    </row>
    <row r="392" spans="1:3" x14ac:dyDescent="0.35">
      <c r="A392" s="2"/>
      <c r="C392" s="50"/>
    </row>
    <row r="393" spans="1:3" x14ac:dyDescent="0.35">
      <c r="A393" s="2"/>
      <c r="C393" s="50"/>
    </row>
    <row r="394" spans="1:3" x14ac:dyDescent="0.35">
      <c r="A394" s="2"/>
      <c r="C394" s="50"/>
    </row>
    <row r="395" spans="1:3" x14ac:dyDescent="0.35">
      <c r="A395" s="2"/>
      <c r="C395" s="50"/>
    </row>
    <row r="396" spans="1:3" x14ac:dyDescent="0.35">
      <c r="A396" s="2"/>
      <c r="C396" s="50"/>
    </row>
    <row r="397" spans="1:3" x14ac:dyDescent="0.35">
      <c r="A397" s="2"/>
      <c r="C397" s="50"/>
    </row>
    <row r="398" spans="1:3" x14ac:dyDescent="0.35">
      <c r="A398" s="2"/>
      <c r="C398" s="50"/>
    </row>
    <row r="399" spans="1:3" x14ac:dyDescent="0.35">
      <c r="A399" s="2"/>
      <c r="C399" s="50"/>
    </row>
    <row r="400" spans="1:3" x14ac:dyDescent="0.35">
      <c r="A400" s="2"/>
      <c r="C400" s="50"/>
    </row>
    <row r="401" spans="1:3" x14ac:dyDescent="0.35">
      <c r="A401" s="2"/>
      <c r="C401" s="50"/>
    </row>
    <row r="402" spans="1:3" x14ac:dyDescent="0.35">
      <c r="A402" s="2"/>
      <c r="C402" s="50"/>
    </row>
    <row r="403" spans="1:3" x14ac:dyDescent="0.35">
      <c r="A403" s="2"/>
      <c r="C403" s="50"/>
    </row>
    <row r="404" spans="1:3" x14ac:dyDescent="0.35">
      <c r="A404" s="2"/>
      <c r="C404" s="50"/>
    </row>
    <row r="405" spans="1:3" x14ac:dyDescent="0.35">
      <c r="A405" s="2"/>
      <c r="C405" s="50"/>
    </row>
    <row r="406" spans="1:3" x14ac:dyDescent="0.35">
      <c r="A406" s="2"/>
      <c r="C406" s="50"/>
    </row>
    <row r="407" spans="1:3" x14ac:dyDescent="0.35">
      <c r="A407" s="2"/>
      <c r="C407" s="50"/>
    </row>
    <row r="408" spans="1:3" x14ac:dyDescent="0.35">
      <c r="A408" s="2"/>
      <c r="C408" s="50"/>
    </row>
    <row r="409" spans="1:3" x14ac:dyDescent="0.35">
      <c r="A409" s="2"/>
      <c r="C409" s="50"/>
    </row>
    <row r="410" spans="1:3" x14ac:dyDescent="0.35">
      <c r="A410" s="2"/>
      <c r="C410" s="50"/>
    </row>
    <row r="411" spans="1:3" x14ac:dyDescent="0.35">
      <c r="A411" s="2"/>
      <c r="C411" s="50"/>
    </row>
    <row r="412" spans="1:3" x14ac:dyDescent="0.35">
      <c r="A412" s="2"/>
      <c r="C412" s="50"/>
    </row>
    <row r="413" spans="1:3" x14ac:dyDescent="0.35">
      <c r="A413" s="2"/>
      <c r="C413" s="50"/>
    </row>
    <row r="414" spans="1:3" x14ac:dyDescent="0.35">
      <c r="A414" s="2"/>
      <c r="C414" s="50"/>
    </row>
    <row r="415" spans="1:3" x14ac:dyDescent="0.35">
      <c r="A415" s="2"/>
      <c r="C415" s="50"/>
    </row>
    <row r="416" spans="1:3" x14ac:dyDescent="0.35">
      <c r="A416" s="2"/>
      <c r="C416" s="50"/>
    </row>
    <row r="417" spans="1:3" x14ac:dyDescent="0.35">
      <c r="A417" s="2"/>
      <c r="C417" s="50"/>
    </row>
    <row r="418" spans="1:3" x14ac:dyDescent="0.35">
      <c r="A418" s="2"/>
      <c r="C418" s="50"/>
    </row>
    <row r="419" spans="1:3" x14ac:dyDescent="0.35">
      <c r="A419" s="2"/>
      <c r="C419" s="50"/>
    </row>
    <row r="420" spans="1:3" x14ac:dyDescent="0.35">
      <c r="A420" s="2"/>
      <c r="C420" s="50"/>
    </row>
    <row r="421" spans="1:3" x14ac:dyDescent="0.35">
      <c r="A421" s="2"/>
      <c r="C421" s="50"/>
    </row>
    <row r="422" spans="1:3" x14ac:dyDescent="0.35">
      <c r="A422" s="2"/>
      <c r="C422" s="50"/>
    </row>
    <row r="423" spans="1:3" x14ac:dyDescent="0.35">
      <c r="A423" s="2"/>
      <c r="C423" s="50"/>
    </row>
    <row r="424" spans="1:3" x14ac:dyDescent="0.35">
      <c r="A424" s="2"/>
      <c r="C424" s="50"/>
    </row>
    <row r="425" spans="1:3" x14ac:dyDescent="0.35">
      <c r="A425" s="2"/>
      <c r="C425" s="50"/>
    </row>
    <row r="426" spans="1:3" x14ac:dyDescent="0.35">
      <c r="A426" s="2"/>
      <c r="C426" s="50"/>
    </row>
    <row r="427" spans="1:3" x14ac:dyDescent="0.35">
      <c r="A427" s="2"/>
      <c r="C427" s="50"/>
    </row>
    <row r="428" spans="1:3" x14ac:dyDescent="0.35">
      <c r="A428" s="2"/>
      <c r="C428" s="50"/>
    </row>
    <row r="429" spans="1:3" x14ac:dyDescent="0.35">
      <c r="A429" s="2"/>
      <c r="C429" s="50"/>
    </row>
    <row r="430" spans="1:3" x14ac:dyDescent="0.35">
      <c r="A430" s="2"/>
      <c r="C430" s="50"/>
    </row>
    <row r="431" spans="1:3" x14ac:dyDescent="0.35">
      <c r="A431" s="2"/>
      <c r="C431" s="50"/>
    </row>
    <row r="432" spans="1:3" x14ac:dyDescent="0.35">
      <c r="A432" s="2"/>
      <c r="C432" s="50"/>
    </row>
    <row r="433" spans="1:3" x14ac:dyDescent="0.35">
      <c r="A433" s="2"/>
      <c r="C433" s="50"/>
    </row>
    <row r="434" spans="1:3" x14ac:dyDescent="0.35">
      <c r="A434" s="2"/>
      <c r="C434" s="50"/>
    </row>
    <row r="435" spans="1:3" x14ac:dyDescent="0.35">
      <c r="A435" s="2"/>
      <c r="C435" s="50"/>
    </row>
    <row r="436" spans="1:3" x14ac:dyDescent="0.35">
      <c r="A436" s="2"/>
      <c r="C436" s="50"/>
    </row>
    <row r="437" spans="1:3" x14ac:dyDescent="0.35">
      <c r="A437" s="2"/>
      <c r="C437" s="50"/>
    </row>
    <row r="438" spans="1:3" x14ac:dyDescent="0.35">
      <c r="A438" s="2"/>
      <c r="C438" s="50"/>
    </row>
    <row r="439" spans="1:3" x14ac:dyDescent="0.35">
      <c r="A439" s="2"/>
      <c r="C439" s="50"/>
    </row>
    <row r="440" spans="1:3" x14ac:dyDescent="0.35">
      <c r="A440" s="2"/>
      <c r="C440" s="50"/>
    </row>
    <row r="441" spans="1:3" x14ac:dyDescent="0.35">
      <c r="A441" s="2"/>
      <c r="C441" s="50"/>
    </row>
    <row r="442" spans="1:3" x14ac:dyDescent="0.35">
      <c r="A442" s="2"/>
      <c r="C442" s="50"/>
    </row>
    <row r="443" spans="1:3" x14ac:dyDescent="0.35">
      <c r="A443" s="2"/>
      <c r="C443" s="50"/>
    </row>
    <row r="444" spans="1:3" x14ac:dyDescent="0.35">
      <c r="A444" s="2"/>
      <c r="C444" s="50"/>
    </row>
    <row r="445" spans="1:3" x14ac:dyDescent="0.35">
      <c r="A445" s="2"/>
      <c r="C445" s="50"/>
    </row>
    <row r="446" spans="1:3" x14ac:dyDescent="0.35">
      <c r="A446" s="2"/>
      <c r="C446" s="50"/>
    </row>
    <row r="447" spans="1:3" x14ac:dyDescent="0.35">
      <c r="A447" s="2"/>
      <c r="C447" s="50"/>
    </row>
    <row r="448" spans="1:3" x14ac:dyDescent="0.35">
      <c r="A448" s="2"/>
      <c r="C448" s="50"/>
    </row>
    <row r="449" spans="1:3" x14ac:dyDescent="0.35">
      <c r="A449" s="2"/>
      <c r="C449" s="50"/>
    </row>
    <row r="450" spans="1:3" x14ac:dyDescent="0.35">
      <c r="A450" s="2"/>
      <c r="C450" s="50"/>
    </row>
    <row r="451" spans="1:3" x14ac:dyDescent="0.35">
      <c r="A451" s="2"/>
      <c r="C451" s="50"/>
    </row>
    <row r="452" spans="1:3" x14ac:dyDescent="0.35">
      <c r="A452" s="2"/>
      <c r="C452" s="50"/>
    </row>
    <row r="453" spans="1:3" x14ac:dyDescent="0.35">
      <c r="A453" s="2"/>
      <c r="C453" s="50"/>
    </row>
    <row r="454" spans="1:3" x14ac:dyDescent="0.35">
      <c r="A454" s="2"/>
      <c r="C454" s="50"/>
    </row>
    <row r="455" spans="1:3" x14ac:dyDescent="0.35">
      <c r="A455" s="2"/>
      <c r="C455" s="50"/>
    </row>
    <row r="456" spans="1:3" x14ac:dyDescent="0.35">
      <c r="A456" s="2"/>
      <c r="C456" s="50"/>
    </row>
    <row r="457" spans="1:3" x14ac:dyDescent="0.35">
      <c r="A457" s="2"/>
      <c r="C457" s="50"/>
    </row>
    <row r="458" spans="1:3" x14ac:dyDescent="0.35">
      <c r="A458" s="2"/>
      <c r="C458" s="50"/>
    </row>
    <row r="459" spans="1:3" x14ac:dyDescent="0.35">
      <c r="A459" s="2"/>
      <c r="C459" s="50"/>
    </row>
    <row r="460" spans="1:3" x14ac:dyDescent="0.35">
      <c r="A460" s="2"/>
      <c r="C460" s="50"/>
    </row>
    <row r="461" spans="1:3" x14ac:dyDescent="0.35">
      <c r="A461" s="2"/>
      <c r="C461" s="50"/>
    </row>
    <row r="462" spans="1:3" x14ac:dyDescent="0.35">
      <c r="A462" s="2"/>
      <c r="C462" s="50"/>
    </row>
    <row r="463" spans="1:3" x14ac:dyDescent="0.35">
      <c r="A463" s="2"/>
      <c r="C463" s="50"/>
    </row>
    <row r="464" spans="1:3" x14ac:dyDescent="0.35">
      <c r="A464" s="2"/>
      <c r="C464" s="50"/>
    </row>
    <row r="465" spans="1:3" x14ac:dyDescent="0.35">
      <c r="A465" s="2"/>
      <c r="C465" s="50"/>
    </row>
    <row r="466" spans="1:3" x14ac:dyDescent="0.35">
      <c r="A466" s="2"/>
      <c r="C466" s="50"/>
    </row>
    <row r="467" spans="1:3" x14ac:dyDescent="0.35">
      <c r="A467" s="2"/>
      <c r="C467" s="50"/>
    </row>
    <row r="468" spans="1:3" x14ac:dyDescent="0.35">
      <c r="A468" s="2"/>
      <c r="C468" s="50"/>
    </row>
    <row r="469" spans="1:3" x14ac:dyDescent="0.35">
      <c r="A469" s="2"/>
      <c r="C469" s="50"/>
    </row>
    <row r="470" spans="1:3" x14ac:dyDescent="0.35">
      <c r="A470" s="2"/>
      <c r="C470" s="50"/>
    </row>
    <row r="471" spans="1:3" x14ac:dyDescent="0.35">
      <c r="A471" s="2"/>
      <c r="C471" s="50"/>
    </row>
    <row r="472" spans="1:3" x14ac:dyDescent="0.35">
      <c r="A472" s="2"/>
      <c r="C472" s="50"/>
    </row>
    <row r="473" spans="1:3" x14ac:dyDescent="0.35">
      <c r="A473" s="2"/>
      <c r="C473" s="50"/>
    </row>
    <row r="474" spans="1:3" x14ac:dyDescent="0.35">
      <c r="A474" s="2"/>
      <c r="C474" s="50"/>
    </row>
    <row r="475" spans="1:3" x14ac:dyDescent="0.35">
      <c r="A475" s="2"/>
      <c r="C475" s="50"/>
    </row>
    <row r="476" spans="1:3" x14ac:dyDescent="0.35">
      <c r="A476" s="2"/>
      <c r="C476" s="50"/>
    </row>
    <row r="477" spans="1:3" x14ac:dyDescent="0.35">
      <c r="A477" s="2"/>
      <c r="C477" s="50"/>
    </row>
    <row r="478" spans="1:3" x14ac:dyDescent="0.35">
      <c r="A478" s="2"/>
      <c r="C478" s="50"/>
    </row>
    <row r="479" spans="1:3" x14ac:dyDescent="0.35">
      <c r="A479" s="2"/>
      <c r="C479" s="50"/>
    </row>
    <row r="480" spans="1:3" x14ac:dyDescent="0.35">
      <c r="A480" s="2"/>
      <c r="C480" s="50"/>
    </row>
    <row r="481" spans="1:3" x14ac:dyDescent="0.35">
      <c r="A481" s="2"/>
      <c r="C481" s="50"/>
    </row>
    <row r="482" spans="1:3" x14ac:dyDescent="0.35">
      <c r="A482" s="2"/>
      <c r="C482" s="50"/>
    </row>
    <row r="483" spans="1:3" x14ac:dyDescent="0.35">
      <c r="A483" s="2"/>
      <c r="C483" s="50"/>
    </row>
    <row r="484" spans="1:3" x14ac:dyDescent="0.35">
      <c r="A484" s="2"/>
      <c r="C484" s="50"/>
    </row>
    <row r="485" spans="1:3" x14ac:dyDescent="0.35">
      <c r="A485" s="2"/>
      <c r="C485" s="50"/>
    </row>
    <row r="486" spans="1:3" x14ac:dyDescent="0.35">
      <c r="A486" s="2"/>
      <c r="C486" s="50"/>
    </row>
    <row r="487" spans="1:3" x14ac:dyDescent="0.35">
      <c r="A487" s="2"/>
      <c r="C487" s="50"/>
    </row>
    <row r="488" spans="1:3" x14ac:dyDescent="0.35">
      <c r="A488" s="2"/>
      <c r="C488" s="50"/>
    </row>
    <row r="489" spans="1:3" x14ac:dyDescent="0.35">
      <c r="A489" s="2"/>
      <c r="C489" s="50"/>
    </row>
    <row r="490" spans="1:3" x14ac:dyDescent="0.35">
      <c r="A490" s="2"/>
      <c r="C490" s="50"/>
    </row>
    <row r="491" spans="1:3" x14ac:dyDescent="0.35">
      <c r="A491" s="2"/>
      <c r="C491" s="50"/>
    </row>
    <row r="492" spans="1:3" x14ac:dyDescent="0.35">
      <c r="A492" s="2"/>
      <c r="C492" s="50"/>
    </row>
    <row r="493" spans="1:3" x14ac:dyDescent="0.35">
      <c r="A493" s="2"/>
      <c r="C493" s="50"/>
    </row>
    <row r="494" spans="1:3" x14ac:dyDescent="0.35">
      <c r="A494" s="2"/>
      <c r="C494" s="50"/>
    </row>
    <row r="495" spans="1:3" x14ac:dyDescent="0.35">
      <c r="A495" s="2"/>
      <c r="C495" s="50"/>
    </row>
    <row r="496" spans="1:3" x14ac:dyDescent="0.35">
      <c r="A496" s="2"/>
      <c r="C496" s="50"/>
    </row>
    <row r="497" spans="1:3" x14ac:dyDescent="0.35">
      <c r="A497" s="2"/>
      <c r="C497" s="50"/>
    </row>
    <row r="498" spans="1:3" x14ac:dyDescent="0.35">
      <c r="A498" s="2"/>
      <c r="C498" s="50"/>
    </row>
    <row r="499" spans="1:3" x14ac:dyDescent="0.35">
      <c r="A499" s="2"/>
      <c r="C499" s="50"/>
    </row>
    <row r="500" spans="1:3" x14ac:dyDescent="0.35">
      <c r="A500" s="2"/>
      <c r="C500" s="50"/>
    </row>
    <row r="501" spans="1:3" x14ac:dyDescent="0.35">
      <c r="A501" s="2"/>
      <c r="C501" s="50"/>
    </row>
    <row r="502" spans="1:3" x14ac:dyDescent="0.35">
      <c r="A502" s="2"/>
      <c r="C502" s="50"/>
    </row>
    <row r="503" spans="1:3" x14ac:dyDescent="0.35">
      <c r="A503" s="2"/>
      <c r="C503" s="50"/>
    </row>
    <row r="504" spans="1:3" x14ac:dyDescent="0.35">
      <c r="A504" s="2"/>
      <c r="C504" s="50"/>
    </row>
    <row r="505" spans="1:3" x14ac:dyDescent="0.35">
      <c r="A505" s="2"/>
      <c r="C505" s="50"/>
    </row>
    <row r="506" spans="1:3" x14ac:dyDescent="0.35">
      <c r="A506" s="2"/>
      <c r="C506" s="50"/>
    </row>
    <row r="507" spans="1:3" x14ac:dyDescent="0.35">
      <c r="A507" s="2"/>
      <c r="C507" s="50"/>
    </row>
    <row r="508" spans="1:3" x14ac:dyDescent="0.35">
      <c r="A508" s="2"/>
      <c r="C508" s="50"/>
    </row>
    <row r="509" spans="1:3" x14ac:dyDescent="0.35">
      <c r="A509" s="2"/>
      <c r="C509" s="50"/>
    </row>
    <row r="510" spans="1:3" x14ac:dyDescent="0.35">
      <c r="A510" s="2"/>
      <c r="C510" s="50"/>
    </row>
    <row r="511" spans="1:3" x14ac:dyDescent="0.35">
      <c r="A511" s="2"/>
      <c r="C511" s="50"/>
    </row>
    <row r="512" spans="1:3" x14ac:dyDescent="0.35">
      <c r="A512" s="2"/>
      <c r="C512" s="50"/>
    </row>
    <row r="513" spans="1:3" x14ac:dyDescent="0.35">
      <c r="A513" s="2"/>
      <c r="C513" s="50"/>
    </row>
    <row r="514" spans="1:3" x14ac:dyDescent="0.35">
      <c r="A514" s="2"/>
      <c r="C514" s="50"/>
    </row>
    <row r="515" spans="1:3" x14ac:dyDescent="0.35">
      <c r="A515" s="2"/>
      <c r="C515" s="50"/>
    </row>
    <row r="516" spans="1:3" x14ac:dyDescent="0.35">
      <c r="A516" s="2"/>
      <c r="C516" s="50"/>
    </row>
    <row r="517" spans="1:3" x14ac:dyDescent="0.35">
      <c r="A517" s="2"/>
      <c r="C517" s="50"/>
    </row>
    <row r="518" spans="1:3" x14ac:dyDescent="0.35">
      <c r="A518" s="2"/>
      <c r="C518" s="50"/>
    </row>
    <row r="519" spans="1:3" x14ac:dyDescent="0.35">
      <c r="A519" s="2"/>
      <c r="C519" s="50"/>
    </row>
    <row r="520" spans="1:3" x14ac:dyDescent="0.35">
      <c r="A520" s="2"/>
      <c r="C520" s="50"/>
    </row>
    <row r="521" spans="1:3" x14ac:dyDescent="0.35">
      <c r="A521" s="2"/>
      <c r="C521" s="50"/>
    </row>
    <row r="522" spans="1:3" x14ac:dyDescent="0.35">
      <c r="A522" s="2"/>
      <c r="C522" s="50"/>
    </row>
    <row r="523" spans="1:3" x14ac:dyDescent="0.35">
      <c r="A523" s="2"/>
      <c r="C523" s="50"/>
    </row>
    <row r="524" spans="1:3" x14ac:dyDescent="0.35">
      <c r="A524" s="2"/>
      <c r="C524" s="50"/>
    </row>
    <row r="525" spans="1:3" x14ac:dyDescent="0.35">
      <c r="A525" s="2"/>
      <c r="C525" s="50"/>
    </row>
    <row r="526" spans="1:3" x14ac:dyDescent="0.35">
      <c r="A526" s="2"/>
      <c r="C526" s="50"/>
    </row>
    <row r="527" spans="1:3" x14ac:dyDescent="0.35">
      <c r="A527" s="2"/>
      <c r="C527" s="50"/>
    </row>
    <row r="528" spans="1:3" x14ac:dyDescent="0.35">
      <c r="A528" s="2"/>
      <c r="C528" s="50"/>
    </row>
    <row r="529" spans="1:3" x14ac:dyDescent="0.35">
      <c r="A529" s="2"/>
      <c r="C529" s="50"/>
    </row>
    <row r="530" spans="1:3" x14ac:dyDescent="0.35">
      <c r="A530" s="2"/>
      <c r="C530" s="50"/>
    </row>
    <row r="531" spans="1:3" x14ac:dyDescent="0.35">
      <c r="A531" s="2"/>
      <c r="C531" s="50"/>
    </row>
    <row r="532" spans="1:3" x14ac:dyDescent="0.35">
      <c r="A532" s="2"/>
      <c r="C532" s="50"/>
    </row>
    <row r="533" spans="1:3" x14ac:dyDescent="0.35">
      <c r="A533" s="2"/>
      <c r="C533" s="50"/>
    </row>
    <row r="534" spans="1:3" x14ac:dyDescent="0.35">
      <c r="A534" s="2"/>
      <c r="C534" s="50"/>
    </row>
    <row r="535" spans="1:3" x14ac:dyDescent="0.35">
      <c r="A535" s="2"/>
      <c r="C535" s="50"/>
    </row>
    <row r="536" spans="1:3" x14ac:dyDescent="0.35">
      <c r="A536" s="2"/>
      <c r="C536" s="50"/>
    </row>
    <row r="537" spans="1:3" x14ac:dyDescent="0.35">
      <c r="A537" s="2"/>
      <c r="C537" s="50"/>
    </row>
    <row r="538" spans="1:3" x14ac:dyDescent="0.35">
      <c r="A538" s="2"/>
      <c r="C538" s="50"/>
    </row>
    <row r="539" spans="1:3" x14ac:dyDescent="0.35">
      <c r="A539" s="2"/>
      <c r="C539" s="50"/>
    </row>
    <row r="540" spans="1:3" x14ac:dyDescent="0.35">
      <c r="A540" s="2"/>
      <c r="C540" s="50"/>
    </row>
    <row r="541" spans="1:3" x14ac:dyDescent="0.35">
      <c r="A541" s="2"/>
      <c r="C541" s="50"/>
    </row>
    <row r="542" spans="1:3" x14ac:dyDescent="0.35">
      <c r="A542" s="2"/>
      <c r="C542" s="50"/>
    </row>
    <row r="543" spans="1:3" x14ac:dyDescent="0.35">
      <c r="A543" s="2"/>
      <c r="C543" s="50"/>
    </row>
    <row r="544" spans="1:3" x14ac:dyDescent="0.35">
      <c r="A544" s="2"/>
      <c r="C544" s="50"/>
    </row>
    <row r="545" spans="1:3" x14ac:dyDescent="0.35">
      <c r="A545" s="2"/>
      <c r="C545" s="50"/>
    </row>
    <row r="546" spans="1:3" x14ac:dyDescent="0.35">
      <c r="A546" s="2"/>
      <c r="C546" s="50"/>
    </row>
    <row r="547" spans="1:3" x14ac:dyDescent="0.35">
      <c r="A547" s="2"/>
      <c r="C547" s="50"/>
    </row>
    <row r="548" spans="1:3" x14ac:dyDescent="0.35">
      <c r="A548" s="2"/>
      <c r="C548" s="50"/>
    </row>
    <row r="549" spans="1:3" x14ac:dyDescent="0.35">
      <c r="A549" s="2"/>
      <c r="C549" s="50"/>
    </row>
    <row r="550" spans="1:3" x14ac:dyDescent="0.35">
      <c r="A550" s="2"/>
      <c r="C550" s="50"/>
    </row>
    <row r="551" spans="1:3" x14ac:dyDescent="0.35">
      <c r="A551" s="2"/>
      <c r="C551" s="50"/>
    </row>
    <row r="552" spans="1:3" x14ac:dyDescent="0.35">
      <c r="A552" s="2"/>
      <c r="C552" s="50"/>
    </row>
    <row r="553" spans="1:3" x14ac:dyDescent="0.35">
      <c r="A553" s="2"/>
      <c r="C553" s="50"/>
    </row>
    <row r="554" spans="1:3" x14ac:dyDescent="0.35">
      <c r="A554" s="2"/>
      <c r="C554" s="50"/>
    </row>
    <row r="555" spans="1:3" x14ac:dyDescent="0.35">
      <c r="A555" s="2"/>
      <c r="C555" s="50"/>
    </row>
    <row r="556" spans="1:3" x14ac:dyDescent="0.35">
      <c r="A556" s="2"/>
      <c r="C556" s="50"/>
    </row>
    <row r="557" spans="1:3" x14ac:dyDescent="0.35">
      <c r="A557" s="2"/>
      <c r="C557" s="50"/>
    </row>
    <row r="558" spans="1:3" x14ac:dyDescent="0.35">
      <c r="A558" s="2"/>
      <c r="C558" s="50"/>
    </row>
    <row r="559" spans="1:3" x14ac:dyDescent="0.35">
      <c r="A559" s="2"/>
      <c r="C559" s="50"/>
    </row>
    <row r="560" spans="1:3" x14ac:dyDescent="0.35">
      <c r="A560" s="2"/>
      <c r="C560" s="50"/>
    </row>
    <row r="561" spans="1:3" x14ac:dyDescent="0.35">
      <c r="A561" s="2"/>
      <c r="C561" s="50"/>
    </row>
    <row r="562" spans="1:3" x14ac:dyDescent="0.35">
      <c r="A562" s="2"/>
      <c r="C562" s="50"/>
    </row>
    <row r="563" spans="1:3" x14ac:dyDescent="0.35">
      <c r="A563" s="2"/>
      <c r="C563" s="50"/>
    </row>
    <row r="564" spans="1:3" x14ac:dyDescent="0.35">
      <c r="A564" s="2"/>
      <c r="C564" s="50"/>
    </row>
    <row r="565" spans="1:3" x14ac:dyDescent="0.35">
      <c r="A565" s="2"/>
      <c r="C565" s="50"/>
    </row>
    <row r="566" spans="1:3" x14ac:dyDescent="0.35">
      <c r="A566" s="2"/>
      <c r="C566" s="50"/>
    </row>
    <row r="567" spans="1:3" x14ac:dyDescent="0.35">
      <c r="A567" s="2"/>
      <c r="C567" s="50"/>
    </row>
    <row r="568" spans="1:3" x14ac:dyDescent="0.35">
      <c r="A568" s="2"/>
      <c r="C568" s="50"/>
    </row>
    <row r="569" spans="1:3" x14ac:dyDescent="0.35">
      <c r="A569" s="2"/>
      <c r="C569" s="50"/>
    </row>
    <row r="570" spans="1:3" x14ac:dyDescent="0.35">
      <c r="A570" s="2"/>
      <c r="C570" s="50"/>
    </row>
    <row r="571" spans="1:3" x14ac:dyDescent="0.35">
      <c r="A571" s="2"/>
      <c r="C571" s="50"/>
    </row>
    <row r="572" spans="1:3" x14ac:dyDescent="0.35">
      <c r="A572" s="2"/>
      <c r="C572" s="50"/>
    </row>
    <row r="573" spans="1:3" x14ac:dyDescent="0.35">
      <c r="A573" s="2"/>
      <c r="C573" s="50"/>
    </row>
    <row r="574" spans="1:3" x14ac:dyDescent="0.35">
      <c r="A574" s="2"/>
      <c r="C574" s="50"/>
    </row>
    <row r="575" spans="1:3" x14ac:dyDescent="0.35">
      <c r="A575" s="2"/>
      <c r="C575" s="50"/>
    </row>
    <row r="576" spans="1:3" x14ac:dyDescent="0.35">
      <c r="A576" s="2"/>
      <c r="C576" s="50"/>
    </row>
    <row r="577" spans="1:3" x14ac:dyDescent="0.35">
      <c r="A577" s="2"/>
      <c r="C577" s="50"/>
    </row>
    <row r="578" spans="1:3" x14ac:dyDescent="0.35">
      <c r="A578" s="2"/>
      <c r="C578" s="50"/>
    </row>
    <row r="579" spans="1:3" x14ac:dyDescent="0.35">
      <c r="A579" s="2"/>
      <c r="C579" s="50"/>
    </row>
    <row r="580" spans="1:3" x14ac:dyDescent="0.35">
      <c r="A580" s="2"/>
      <c r="C580" s="50"/>
    </row>
    <row r="581" spans="1:3" x14ac:dyDescent="0.35">
      <c r="A581" s="2"/>
      <c r="C581" s="50"/>
    </row>
    <row r="582" spans="1:3" x14ac:dyDescent="0.35">
      <c r="A582" s="2"/>
      <c r="C582" s="50"/>
    </row>
    <row r="583" spans="1:3" x14ac:dyDescent="0.35">
      <c r="A583" s="2"/>
      <c r="C583" s="50"/>
    </row>
    <row r="584" spans="1:3" x14ac:dyDescent="0.35">
      <c r="A584" s="2"/>
      <c r="C584" s="50"/>
    </row>
    <row r="585" spans="1:3" x14ac:dyDescent="0.35">
      <c r="A585" s="2"/>
      <c r="C585" s="50"/>
    </row>
    <row r="586" spans="1:3" x14ac:dyDescent="0.35">
      <c r="A586" s="2"/>
      <c r="C586" s="50"/>
    </row>
    <row r="587" spans="1:3" x14ac:dyDescent="0.35">
      <c r="A587" s="2"/>
      <c r="C587" s="50"/>
    </row>
    <row r="588" spans="1:3" x14ac:dyDescent="0.35">
      <c r="A588" s="2"/>
      <c r="C588" s="50"/>
    </row>
    <row r="589" spans="1:3" x14ac:dyDescent="0.35">
      <c r="A589" s="2"/>
      <c r="C589" s="50"/>
    </row>
    <row r="590" spans="1:3" x14ac:dyDescent="0.35">
      <c r="A590" s="2"/>
      <c r="C590" s="50"/>
    </row>
    <row r="591" spans="1:3" x14ac:dyDescent="0.35">
      <c r="A591" s="2"/>
      <c r="C591" s="50"/>
    </row>
    <row r="592" spans="1:3" x14ac:dyDescent="0.35">
      <c r="A592" s="2"/>
      <c r="C592" s="50"/>
    </row>
    <row r="593" spans="1:3" x14ac:dyDescent="0.35">
      <c r="A593" s="2"/>
      <c r="C593" s="50"/>
    </row>
    <row r="594" spans="1:3" x14ac:dyDescent="0.35">
      <c r="A594" s="2"/>
      <c r="C594" s="50"/>
    </row>
    <row r="595" spans="1:3" x14ac:dyDescent="0.35">
      <c r="A595" s="2"/>
      <c r="C595" s="50"/>
    </row>
    <row r="596" spans="1:3" x14ac:dyDescent="0.35">
      <c r="A596" s="2"/>
      <c r="C596" s="50"/>
    </row>
    <row r="597" spans="1:3" x14ac:dyDescent="0.35">
      <c r="A597" s="2"/>
      <c r="C597" s="50"/>
    </row>
    <row r="598" spans="1:3" x14ac:dyDescent="0.35">
      <c r="A598" s="2"/>
      <c r="C598" s="50"/>
    </row>
    <row r="599" spans="1:3" x14ac:dyDescent="0.35">
      <c r="A599" s="2"/>
      <c r="C599" s="50"/>
    </row>
    <row r="600" spans="1:3" x14ac:dyDescent="0.35">
      <c r="A600" s="2"/>
      <c r="C600" s="50"/>
    </row>
    <row r="601" spans="1:3" x14ac:dyDescent="0.35">
      <c r="A601" s="2"/>
      <c r="C601" s="50"/>
    </row>
    <row r="602" spans="1:3" x14ac:dyDescent="0.35">
      <c r="A602" s="2"/>
      <c r="C602" s="50"/>
    </row>
    <row r="603" spans="1:3" x14ac:dyDescent="0.35">
      <c r="A603" s="2"/>
      <c r="C603" s="50"/>
    </row>
    <row r="604" spans="1:3" x14ac:dyDescent="0.35">
      <c r="A604" s="2"/>
      <c r="C604" s="50"/>
    </row>
    <row r="605" spans="1:3" x14ac:dyDescent="0.35">
      <c r="A605" s="2"/>
      <c r="C605" s="50"/>
    </row>
    <row r="606" spans="1:3" x14ac:dyDescent="0.35">
      <c r="A606" s="2"/>
      <c r="C606" s="50"/>
    </row>
    <row r="607" spans="1:3" x14ac:dyDescent="0.35">
      <c r="A607" s="2"/>
      <c r="C607" s="50"/>
    </row>
    <row r="608" spans="1:3" x14ac:dyDescent="0.35">
      <c r="A608" s="2"/>
      <c r="C608" s="50"/>
    </row>
    <row r="609" spans="1:3" x14ac:dyDescent="0.35">
      <c r="A609" s="2"/>
      <c r="C609" s="50"/>
    </row>
    <row r="610" spans="1:3" x14ac:dyDescent="0.35">
      <c r="A610" s="2"/>
      <c r="C610" s="50"/>
    </row>
    <row r="611" spans="1:3" x14ac:dyDescent="0.35">
      <c r="A611" s="2"/>
      <c r="C611" s="50"/>
    </row>
    <row r="612" spans="1:3" x14ac:dyDescent="0.35">
      <c r="A612" s="2"/>
      <c r="C612" s="50"/>
    </row>
    <row r="613" spans="1:3" x14ac:dyDescent="0.35">
      <c r="A613" s="2"/>
      <c r="C613" s="50"/>
    </row>
    <row r="614" spans="1:3" x14ac:dyDescent="0.35">
      <c r="A614" s="2"/>
      <c r="C614" s="50"/>
    </row>
    <row r="615" spans="1:3" x14ac:dyDescent="0.35">
      <c r="A615" s="2"/>
      <c r="C615" s="50"/>
    </row>
    <row r="616" spans="1:3" x14ac:dyDescent="0.35">
      <c r="A616" s="2"/>
      <c r="C616" s="50"/>
    </row>
    <row r="617" spans="1:3" x14ac:dyDescent="0.35">
      <c r="A617" s="2"/>
      <c r="C617" s="50"/>
    </row>
    <row r="618" spans="1:3" x14ac:dyDescent="0.35">
      <c r="A618" s="2"/>
      <c r="C618" s="50"/>
    </row>
    <row r="619" spans="1:3" x14ac:dyDescent="0.35">
      <c r="A619" s="2"/>
      <c r="C619" s="50"/>
    </row>
    <row r="620" spans="1:3" x14ac:dyDescent="0.35">
      <c r="A620" s="2"/>
      <c r="C620" s="50"/>
    </row>
    <row r="621" spans="1:3" x14ac:dyDescent="0.35">
      <c r="A621" s="2"/>
      <c r="C621" s="50"/>
    </row>
    <row r="622" spans="1:3" x14ac:dyDescent="0.35">
      <c r="A622" s="2"/>
      <c r="C622" s="50"/>
    </row>
    <row r="623" spans="1:3" x14ac:dyDescent="0.35">
      <c r="A623" s="2"/>
      <c r="C623" s="50"/>
    </row>
    <row r="624" spans="1:3" x14ac:dyDescent="0.35">
      <c r="A624" s="2"/>
      <c r="C624" s="50"/>
    </row>
    <row r="625" spans="1:3" x14ac:dyDescent="0.35">
      <c r="A625" s="2"/>
      <c r="C625" s="50"/>
    </row>
    <row r="626" spans="1:3" x14ac:dyDescent="0.35">
      <c r="A626" s="2"/>
      <c r="C626" s="50"/>
    </row>
    <row r="627" spans="1:3" x14ac:dyDescent="0.35">
      <c r="A627" s="2"/>
      <c r="C627" s="50"/>
    </row>
    <row r="628" spans="1:3" x14ac:dyDescent="0.35">
      <c r="A628" s="2"/>
      <c r="C628" s="50"/>
    </row>
    <row r="629" spans="1:3" x14ac:dyDescent="0.35">
      <c r="A629" s="2"/>
      <c r="C629" s="50"/>
    </row>
    <row r="630" spans="1:3" x14ac:dyDescent="0.35">
      <c r="A630" s="2"/>
      <c r="C630" s="50"/>
    </row>
    <row r="631" spans="1:3" x14ac:dyDescent="0.35">
      <c r="A631" s="2"/>
      <c r="C631" s="50"/>
    </row>
    <row r="632" spans="1:3" x14ac:dyDescent="0.35">
      <c r="A632" s="2"/>
      <c r="C632" s="50"/>
    </row>
    <row r="633" spans="1:3" x14ac:dyDescent="0.35">
      <c r="A633" s="2"/>
      <c r="C633" s="50"/>
    </row>
    <row r="634" spans="1:3" x14ac:dyDescent="0.35">
      <c r="A634" s="2"/>
      <c r="C634" s="50"/>
    </row>
    <row r="635" spans="1:3" x14ac:dyDescent="0.35">
      <c r="A635" s="2"/>
      <c r="C635" s="50"/>
    </row>
    <row r="636" spans="1:3" x14ac:dyDescent="0.35">
      <c r="A636" s="2"/>
      <c r="C636" s="50"/>
    </row>
    <row r="637" spans="1:3" x14ac:dyDescent="0.35">
      <c r="A637" s="2"/>
      <c r="C637" s="50"/>
    </row>
    <row r="638" spans="1:3" x14ac:dyDescent="0.35">
      <c r="A638" s="2"/>
      <c r="C638" s="50"/>
    </row>
    <row r="639" spans="1:3" x14ac:dyDescent="0.35">
      <c r="A639" s="2"/>
      <c r="C639" s="50"/>
    </row>
    <row r="640" spans="1:3" x14ac:dyDescent="0.35">
      <c r="A640" s="2"/>
      <c r="C640" s="50"/>
    </row>
    <row r="641" spans="1:3" x14ac:dyDescent="0.35">
      <c r="A641" s="2"/>
      <c r="C641" s="50"/>
    </row>
    <row r="642" spans="1:3" x14ac:dyDescent="0.35">
      <c r="A642" s="2"/>
      <c r="C642" s="50"/>
    </row>
    <row r="643" spans="1:3" x14ac:dyDescent="0.35">
      <c r="A643" s="2"/>
      <c r="C643" s="50"/>
    </row>
    <row r="644" spans="1:3" x14ac:dyDescent="0.35">
      <c r="A644" s="2"/>
      <c r="C644" s="50"/>
    </row>
    <row r="645" spans="1:3" x14ac:dyDescent="0.35">
      <c r="A645" s="2"/>
      <c r="C645" s="50"/>
    </row>
    <row r="646" spans="1:3" x14ac:dyDescent="0.35">
      <c r="A646" s="2"/>
      <c r="C646" s="50"/>
    </row>
    <row r="647" spans="1:3" x14ac:dyDescent="0.35">
      <c r="A647" s="2"/>
      <c r="C647" s="50"/>
    </row>
    <row r="648" spans="1:3" x14ac:dyDescent="0.35">
      <c r="A648" s="2"/>
      <c r="C648" s="50"/>
    </row>
    <row r="649" spans="1:3" x14ac:dyDescent="0.35">
      <c r="A649" s="2"/>
      <c r="C649" s="50"/>
    </row>
    <row r="650" spans="1:3" x14ac:dyDescent="0.35">
      <c r="A650" s="2"/>
      <c r="C650" s="50"/>
    </row>
    <row r="651" spans="1:3" x14ac:dyDescent="0.35">
      <c r="A651" s="2"/>
      <c r="C651" s="50"/>
    </row>
    <row r="652" spans="1:3" x14ac:dyDescent="0.35">
      <c r="A652" s="2"/>
      <c r="C652" s="50"/>
    </row>
    <row r="653" spans="1:3" x14ac:dyDescent="0.35">
      <c r="A653" s="2"/>
      <c r="C653" s="50"/>
    </row>
    <row r="654" spans="1:3" x14ac:dyDescent="0.35">
      <c r="A654" s="2"/>
      <c r="C654" s="50"/>
    </row>
    <row r="655" spans="1:3" x14ac:dyDescent="0.35">
      <c r="A655" s="2"/>
      <c r="C655" s="50"/>
    </row>
    <row r="656" spans="1:3" x14ac:dyDescent="0.35">
      <c r="A656" s="2"/>
      <c r="C656" s="50"/>
    </row>
    <row r="657" spans="1:3" x14ac:dyDescent="0.35">
      <c r="A657" s="2"/>
      <c r="C657" s="50"/>
    </row>
    <row r="658" spans="1:3" x14ac:dyDescent="0.35">
      <c r="A658" s="2"/>
      <c r="C658" s="50"/>
    </row>
    <row r="659" spans="1:3" x14ac:dyDescent="0.35">
      <c r="A659" s="2"/>
      <c r="C659" s="50"/>
    </row>
    <row r="660" spans="1:3" x14ac:dyDescent="0.35">
      <c r="A660" s="2"/>
      <c r="C660" s="50"/>
    </row>
    <row r="661" spans="1:3" x14ac:dyDescent="0.35">
      <c r="A661" s="2"/>
      <c r="C661" s="50"/>
    </row>
    <row r="662" spans="1:3" x14ac:dyDescent="0.35">
      <c r="A662" s="2"/>
      <c r="C662" s="50"/>
    </row>
    <row r="663" spans="1:3" x14ac:dyDescent="0.35">
      <c r="A663" s="2"/>
      <c r="C663" s="50"/>
    </row>
    <row r="664" spans="1:3" x14ac:dyDescent="0.35">
      <c r="A664" s="2"/>
      <c r="C664" s="50"/>
    </row>
    <row r="665" spans="1:3" x14ac:dyDescent="0.35">
      <c r="A665" s="2"/>
      <c r="C665" s="50"/>
    </row>
    <row r="666" spans="1:3" x14ac:dyDescent="0.35">
      <c r="A666" s="2"/>
      <c r="C666" s="50"/>
    </row>
    <row r="667" spans="1:3" x14ac:dyDescent="0.35">
      <c r="A667" s="2"/>
      <c r="C667" s="50"/>
    </row>
    <row r="668" spans="1:3" x14ac:dyDescent="0.35">
      <c r="A668" s="2"/>
      <c r="C668" s="50"/>
    </row>
    <row r="669" spans="1:3" x14ac:dyDescent="0.35">
      <c r="A669" s="2"/>
      <c r="C669" s="50"/>
    </row>
    <row r="670" spans="1:3" x14ac:dyDescent="0.35">
      <c r="A670" s="2"/>
      <c r="C670" s="50"/>
    </row>
    <row r="671" spans="1:3" x14ac:dyDescent="0.35">
      <c r="A671" s="2"/>
      <c r="C671" s="50"/>
    </row>
    <row r="672" spans="1:3" x14ac:dyDescent="0.35">
      <c r="A672" s="2"/>
      <c r="C672" s="50"/>
    </row>
    <row r="673" spans="1:3" x14ac:dyDescent="0.35">
      <c r="A673" s="2"/>
      <c r="C673" s="50"/>
    </row>
    <row r="674" spans="1:3" x14ac:dyDescent="0.35">
      <c r="A674" s="2"/>
      <c r="C674" s="50"/>
    </row>
    <row r="675" spans="1:3" x14ac:dyDescent="0.35">
      <c r="A675" s="2"/>
      <c r="C675" s="50"/>
    </row>
    <row r="676" spans="1:3" x14ac:dyDescent="0.35">
      <c r="A676" s="2"/>
      <c r="C676" s="50"/>
    </row>
    <row r="677" spans="1:3" x14ac:dyDescent="0.35">
      <c r="A677" s="2"/>
      <c r="C677" s="50"/>
    </row>
    <row r="678" spans="1:3" x14ac:dyDescent="0.35">
      <c r="A678" s="2"/>
      <c r="C678" s="50"/>
    </row>
    <row r="679" spans="1:3" x14ac:dyDescent="0.35">
      <c r="A679" s="2"/>
      <c r="C679" s="50"/>
    </row>
    <row r="680" spans="1:3" x14ac:dyDescent="0.35">
      <c r="A680" s="2"/>
      <c r="C680" s="50"/>
    </row>
    <row r="681" spans="1:3" x14ac:dyDescent="0.35">
      <c r="A681" s="2"/>
      <c r="C681" s="50"/>
    </row>
    <row r="682" spans="1:3" x14ac:dyDescent="0.35">
      <c r="A682" s="2"/>
      <c r="C682" s="50"/>
    </row>
    <row r="683" spans="1:3" x14ac:dyDescent="0.35">
      <c r="A683" s="2"/>
      <c r="C683" s="50"/>
    </row>
    <row r="684" spans="1:3" x14ac:dyDescent="0.35">
      <c r="A684" s="2"/>
      <c r="C684" s="50"/>
    </row>
    <row r="685" spans="1:3" x14ac:dyDescent="0.35">
      <c r="A685" s="2"/>
      <c r="C685" s="50"/>
    </row>
    <row r="686" spans="1:3" x14ac:dyDescent="0.35">
      <c r="A686" s="2"/>
      <c r="C686" s="50"/>
    </row>
    <row r="687" spans="1:3" x14ac:dyDescent="0.35">
      <c r="A687" s="2"/>
      <c r="C687" s="50"/>
    </row>
    <row r="688" spans="1:3" x14ac:dyDescent="0.35">
      <c r="A688" s="2"/>
      <c r="C688" s="50"/>
    </row>
    <row r="689" spans="1:3" x14ac:dyDescent="0.35">
      <c r="A689" s="2"/>
      <c r="C689" s="50"/>
    </row>
    <row r="690" spans="1:3" x14ac:dyDescent="0.35">
      <c r="A690" s="2"/>
      <c r="C690" s="50"/>
    </row>
    <row r="691" spans="1:3" x14ac:dyDescent="0.35">
      <c r="A691" s="2"/>
      <c r="C691" s="50"/>
    </row>
    <row r="692" spans="1:3" x14ac:dyDescent="0.35">
      <c r="A692" s="2"/>
      <c r="C692" s="50"/>
    </row>
    <row r="693" spans="1:3" x14ac:dyDescent="0.35">
      <c r="A693" s="2"/>
      <c r="C693" s="50"/>
    </row>
    <row r="694" spans="1:3" x14ac:dyDescent="0.35">
      <c r="A694" s="2"/>
      <c r="C694" s="50"/>
    </row>
    <row r="695" spans="1:3" x14ac:dyDescent="0.35">
      <c r="A695" s="2"/>
      <c r="C695" s="50"/>
    </row>
    <row r="696" spans="1:3" x14ac:dyDescent="0.35">
      <c r="A696" s="2"/>
      <c r="C696" s="50"/>
    </row>
    <row r="697" spans="1:3" x14ac:dyDescent="0.35">
      <c r="A697" s="2"/>
      <c r="C697" s="50"/>
    </row>
    <row r="698" spans="1:3" x14ac:dyDescent="0.35">
      <c r="A698" s="2"/>
      <c r="C698" s="50"/>
    </row>
    <row r="699" spans="1:3" x14ac:dyDescent="0.35">
      <c r="A699" s="2"/>
      <c r="C699" s="50"/>
    </row>
    <row r="700" spans="1:3" x14ac:dyDescent="0.35">
      <c r="A700" s="2"/>
      <c r="C700" s="50"/>
    </row>
    <row r="701" spans="1:3" x14ac:dyDescent="0.35">
      <c r="A701" s="2"/>
      <c r="C701" s="50"/>
    </row>
    <row r="702" spans="1:3" x14ac:dyDescent="0.35">
      <c r="A702" s="2"/>
      <c r="C702" s="50"/>
    </row>
    <row r="703" spans="1:3" x14ac:dyDescent="0.35">
      <c r="A703" s="2"/>
      <c r="C703" s="50"/>
    </row>
    <row r="704" spans="1:3" x14ac:dyDescent="0.35">
      <c r="A704" s="2"/>
      <c r="C704" s="50"/>
    </row>
    <row r="705" spans="1:3" x14ac:dyDescent="0.35">
      <c r="A705" s="2"/>
      <c r="C705" s="50"/>
    </row>
    <row r="706" spans="1:3" x14ac:dyDescent="0.35">
      <c r="A706" s="2"/>
      <c r="C706" s="50"/>
    </row>
    <row r="707" spans="1:3" x14ac:dyDescent="0.35">
      <c r="A707" s="2"/>
      <c r="C707" s="50"/>
    </row>
    <row r="708" spans="1:3" x14ac:dyDescent="0.35">
      <c r="A708" s="2"/>
      <c r="C708" s="50"/>
    </row>
    <row r="709" spans="1:3" x14ac:dyDescent="0.35">
      <c r="A709" s="2"/>
      <c r="C709" s="50"/>
    </row>
    <row r="710" spans="1:3" x14ac:dyDescent="0.35">
      <c r="A710" s="2"/>
      <c r="C710" s="50"/>
    </row>
    <row r="711" spans="1:3" x14ac:dyDescent="0.35">
      <c r="A711" s="2"/>
      <c r="C711" s="50"/>
    </row>
    <row r="712" spans="1:3" x14ac:dyDescent="0.35">
      <c r="A712" s="2"/>
      <c r="C712" s="50"/>
    </row>
    <row r="713" spans="1:3" x14ac:dyDescent="0.35">
      <c r="A713" s="2"/>
      <c r="C713" s="50"/>
    </row>
    <row r="714" spans="1:3" x14ac:dyDescent="0.35">
      <c r="A714" s="2"/>
      <c r="C714" s="50"/>
    </row>
    <row r="715" spans="1:3" x14ac:dyDescent="0.35">
      <c r="A715" s="2"/>
      <c r="C715" s="50"/>
    </row>
    <row r="716" spans="1:3" x14ac:dyDescent="0.35">
      <c r="A716" s="2"/>
      <c r="C716" s="50"/>
    </row>
    <row r="717" spans="1:3" x14ac:dyDescent="0.35">
      <c r="A717" s="2"/>
      <c r="C717" s="50"/>
    </row>
    <row r="718" spans="1:3" x14ac:dyDescent="0.35">
      <c r="A718" s="2"/>
      <c r="C718" s="50"/>
    </row>
    <row r="719" spans="1:3" x14ac:dyDescent="0.35">
      <c r="A719" s="2"/>
      <c r="C719" s="50"/>
    </row>
    <row r="720" spans="1:3" x14ac:dyDescent="0.35">
      <c r="A720" s="2"/>
      <c r="C720" s="50"/>
    </row>
    <row r="721" spans="1:3" x14ac:dyDescent="0.35">
      <c r="A721" s="2"/>
      <c r="C721" s="50"/>
    </row>
    <row r="722" spans="1:3" x14ac:dyDescent="0.35">
      <c r="A722" s="2"/>
      <c r="C722" s="50"/>
    </row>
    <row r="723" spans="1:3" x14ac:dyDescent="0.35">
      <c r="A723" s="2"/>
      <c r="C723" s="50"/>
    </row>
    <row r="724" spans="1:3" x14ac:dyDescent="0.35">
      <c r="A724" s="2"/>
      <c r="C724" s="50"/>
    </row>
    <row r="725" spans="1:3" x14ac:dyDescent="0.35">
      <c r="A725" s="2"/>
      <c r="C725" s="50"/>
    </row>
    <row r="726" spans="1:3" x14ac:dyDescent="0.35">
      <c r="A726" s="2"/>
      <c r="C726" s="50"/>
    </row>
    <row r="727" spans="1:3" x14ac:dyDescent="0.35">
      <c r="A727" s="2"/>
      <c r="C727" s="50"/>
    </row>
    <row r="728" spans="1:3" x14ac:dyDescent="0.35">
      <c r="A728" s="2"/>
      <c r="C728" s="50"/>
    </row>
    <row r="729" spans="1:3" x14ac:dyDescent="0.35">
      <c r="A729" s="2"/>
      <c r="C729" s="50"/>
    </row>
    <row r="730" spans="1:3" x14ac:dyDescent="0.35">
      <c r="A730" s="2"/>
      <c r="C730" s="50"/>
    </row>
    <row r="731" spans="1:3" x14ac:dyDescent="0.35">
      <c r="A731" s="2"/>
      <c r="C731" s="50"/>
    </row>
    <row r="732" spans="1:3" x14ac:dyDescent="0.35">
      <c r="A732" s="2"/>
      <c r="C732" s="50"/>
    </row>
    <row r="733" spans="1:3" x14ac:dyDescent="0.35">
      <c r="A733" s="2"/>
      <c r="C733" s="50"/>
    </row>
    <row r="734" spans="1:3" x14ac:dyDescent="0.35">
      <c r="A734" s="2"/>
      <c r="C734" s="50"/>
    </row>
    <row r="735" spans="1:3" x14ac:dyDescent="0.35">
      <c r="A735" s="2"/>
      <c r="C735" s="50"/>
    </row>
    <row r="736" spans="1:3" x14ac:dyDescent="0.35">
      <c r="A736" s="2"/>
      <c r="C736" s="50"/>
    </row>
    <row r="737" spans="1:3" x14ac:dyDescent="0.35">
      <c r="A737" s="2"/>
      <c r="C737" s="50"/>
    </row>
    <row r="738" spans="1:3" x14ac:dyDescent="0.35">
      <c r="A738" s="2"/>
      <c r="C738" s="50"/>
    </row>
    <row r="739" spans="1:3" x14ac:dyDescent="0.35">
      <c r="A739" s="2"/>
      <c r="C739" s="50"/>
    </row>
    <row r="740" spans="1:3" x14ac:dyDescent="0.35">
      <c r="A740" s="2"/>
      <c r="C740" s="50"/>
    </row>
    <row r="741" spans="1:3" x14ac:dyDescent="0.35">
      <c r="A741" s="2"/>
      <c r="C741" s="50"/>
    </row>
    <row r="742" spans="1:3" x14ac:dyDescent="0.35">
      <c r="A742" s="2"/>
      <c r="C742" s="50"/>
    </row>
    <row r="743" spans="1:3" x14ac:dyDescent="0.35">
      <c r="A743" s="2"/>
      <c r="C743" s="50"/>
    </row>
    <row r="744" spans="1:3" x14ac:dyDescent="0.35">
      <c r="A744" s="2"/>
      <c r="C744" s="50"/>
    </row>
    <row r="745" spans="1:3" x14ac:dyDescent="0.35">
      <c r="A745" s="2"/>
      <c r="C745" s="50"/>
    </row>
    <row r="746" spans="1:3" x14ac:dyDescent="0.35">
      <c r="A746" s="2"/>
      <c r="C746" s="50"/>
    </row>
    <row r="747" spans="1:3" x14ac:dyDescent="0.35">
      <c r="A747" s="2"/>
      <c r="C747" s="50"/>
    </row>
    <row r="748" spans="1:3" x14ac:dyDescent="0.35">
      <c r="A748" s="2"/>
      <c r="C748" s="50"/>
    </row>
    <row r="749" spans="1:3" x14ac:dyDescent="0.35">
      <c r="A749" s="2"/>
      <c r="C749" s="50"/>
    </row>
    <row r="750" spans="1:3" x14ac:dyDescent="0.35">
      <c r="A750" s="2"/>
      <c r="C750" s="50"/>
    </row>
    <row r="751" spans="1:3" x14ac:dyDescent="0.35">
      <c r="A751" s="2"/>
      <c r="C751" s="50"/>
    </row>
    <row r="752" spans="1:3" x14ac:dyDescent="0.35">
      <c r="A752" s="2"/>
      <c r="C752" s="50"/>
    </row>
    <row r="753" spans="1:3" x14ac:dyDescent="0.35">
      <c r="A753" s="2"/>
      <c r="C753" s="50"/>
    </row>
    <row r="754" spans="1:3" x14ac:dyDescent="0.35">
      <c r="A754" s="2"/>
      <c r="C754" s="50"/>
    </row>
    <row r="755" spans="1:3" x14ac:dyDescent="0.35">
      <c r="A755" s="2"/>
      <c r="C755" s="50"/>
    </row>
    <row r="756" spans="1:3" x14ac:dyDescent="0.35">
      <c r="A756" s="2"/>
      <c r="C756" s="50"/>
    </row>
    <row r="757" spans="1:3" x14ac:dyDescent="0.35">
      <c r="A757" s="2"/>
      <c r="C757" s="50"/>
    </row>
    <row r="758" spans="1:3" x14ac:dyDescent="0.35">
      <c r="A758" s="2"/>
      <c r="C758" s="50"/>
    </row>
    <row r="759" spans="1:3" x14ac:dyDescent="0.35">
      <c r="A759" s="2"/>
      <c r="C759" s="50"/>
    </row>
    <row r="760" spans="1:3" x14ac:dyDescent="0.35">
      <c r="A760" s="2"/>
      <c r="C760" s="50"/>
    </row>
    <row r="761" spans="1:3" x14ac:dyDescent="0.35">
      <c r="A761" s="2"/>
      <c r="C761" s="50"/>
    </row>
    <row r="762" spans="1:3" x14ac:dyDescent="0.35">
      <c r="A762" s="2"/>
      <c r="C762" s="50"/>
    </row>
    <row r="763" spans="1:3" x14ac:dyDescent="0.35">
      <c r="A763" s="2"/>
      <c r="C763" s="50"/>
    </row>
    <row r="764" spans="1:3" x14ac:dyDescent="0.35">
      <c r="A764" s="2"/>
      <c r="C764" s="50"/>
    </row>
    <row r="765" spans="1:3" x14ac:dyDescent="0.35">
      <c r="A765" s="2"/>
      <c r="C765" s="50"/>
    </row>
    <row r="766" spans="1:3" x14ac:dyDescent="0.35">
      <c r="A766" s="2"/>
      <c r="C766" s="50"/>
    </row>
    <row r="767" spans="1:3" x14ac:dyDescent="0.35">
      <c r="A767" s="2"/>
      <c r="C767" s="50"/>
    </row>
    <row r="768" spans="1:3" x14ac:dyDescent="0.35">
      <c r="A768" s="2"/>
      <c r="C768" s="50"/>
    </row>
    <row r="769" spans="1:3" x14ac:dyDescent="0.35">
      <c r="A769" s="2"/>
      <c r="C769" s="50"/>
    </row>
    <row r="770" spans="1:3" x14ac:dyDescent="0.35">
      <c r="A770" s="2"/>
      <c r="C770" s="50"/>
    </row>
    <row r="771" spans="1:3" x14ac:dyDescent="0.35">
      <c r="A771" s="2"/>
      <c r="C771" s="50"/>
    </row>
    <row r="772" spans="1:3" x14ac:dyDescent="0.35">
      <c r="A772" s="2"/>
      <c r="C772" s="50"/>
    </row>
    <row r="773" spans="1:3" x14ac:dyDescent="0.35">
      <c r="A773" s="2"/>
      <c r="C773" s="50"/>
    </row>
    <row r="774" spans="1:3" x14ac:dyDescent="0.35">
      <c r="A774" s="2"/>
      <c r="C774" s="50"/>
    </row>
    <row r="775" spans="1:3" x14ac:dyDescent="0.35">
      <c r="A775" s="2"/>
      <c r="C775" s="50"/>
    </row>
    <row r="776" spans="1:3" x14ac:dyDescent="0.35">
      <c r="A776" s="2"/>
      <c r="C776" s="50"/>
    </row>
    <row r="777" spans="1:3" x14ac:dyDescent="0.35">
      <c r="A777" s="2"/>
      <c r="C777" s="50"/>
    </row>
    <row r="778" spans="1:3" x14ac:dyDescent="0.35">
      <c r="A778" s="2"/>
      <c r="C778" s="50"/>
    </row>
    <row r="779" spans="1:3" x14ac:dyDescent="0.35">
      <c r="A779" s="2"/>
      <c r="C779" s="50"/>
    </row>
    <row r="780" spans="1:3" x14ac:dyDescent="0.35">
      <c r="A780" s="2"/>
      <c r="C780" s="50"/>
    </row>
    <row r="781" spans="1:3" x14ac:dyDescent="0.35">
      <c r="A781" s="2"/>
      <c r="C781" s="50"/>
    </row>
    <row r="782" spans="1:3" x14ac:dyDescent="0.35">
      <c r="A782" s="2"/>
      <c r="C782" s="50"/>
    </row>
    <row r="783" spans="1:3" x14ac:dyDescent="0.35">
      <c r="A783" s="2"/>
      <c r="C783" s="50"/>
    </row>
    <row r="784" spans="1:3" x14ac:dyDescent="0.35">
      <c r="A784" s="2"/>
      <c r="C784" s="50"/>
    </row>
    <row r="785" spans="1:3" x14ac:dyDescent="0.35">
      <c r="A785" s="2"/>
      <c r="C785" s="50"/>
    </row>
    <row r="786" spans="1:3" x14ac:dyDescent="0.35">
      <c r="A786" s="2"/>
      <c r="C786" s="50"/>
    </row>
    <row r="787" spans="1:3" x14ac:dyDescent="0.35">
      <c r="A787" s="2"/>
      <c r="C787" s="50"/>
    </row>
    <row r="788" spans="1:3" x14ac:dyDescent="0.35">
      <c r="A788" s="2"/>
      <c r="C788" s="50"/>
    </row>
    <row r="789" spans="1:3" x14ac:dyDescent="0.35">
      <c r="A789" s="2"/>
      <c r="C789" s="50"/>
    </row>
    <row r="790" spans="1:3" x14ac:dyDescent="0.35">
      <c r="A790" s="2"/>
      <c r="C790" s="50"/>
    </row>
    <row r="791" spans="1:3" x14ac:dyDescent="0.35">
      <c r="A791" s="2"/>
      <c r="C791" s="50"/>
    </row>
    <row r="792" spans="1:3" x14ac:dyDescent="0.35">
      <c r="A792" s="2"/>
      <c r="C792" s="50"/>
    </row>
    <row r="793" spans="1:3" x14ac:dyDescent="0.35">
      <c r="A793" s="2"/>
      <c r="C793" s="50"/>
    </row>
    <row r="794" spans="1:3" x14ac:dyDescent="0.35">
      <c r="A794" s="2"/>
      <c r="C794" s="50"/>
    </row>
    <row r="795" spans="1:3" x14ac:dyDescent="0.35">
      <c r="A795" s="2"/>
      <c r="C795" s="50"/>
    </row>
    <row r="796" spans="1:3" x14ac:dyDescent="0.35">
      <c r="A796" s="2"/>
      <c r="C796" s="50"/>
    </row>
    <row r="797" spans="1:3" x14ac:dyDescent="0.35">
      <c r="A797" s="2"/>
      <c r="C797" s="50"/>
    </row>
    <row r="798" spans="1:3" x14ac:dyDescent="0.35">
      <c r="A798" s="2"/>
      <c r="C798" s="50"/>
    </row>
    <row r="799" spans="1:3" x14ac:dyDescent="0.35">
      <c r="A799" s="2"/>
      <c r="C799" s="50"/>
    </row>
    <row r="800" spans="1:3" x14ac:dyDescent="0.35">
      <c r="A800" s="2"/>
      <c r="C800" s="50"/>
    </row>
    <row r="801" spans="1:3" x14ac:dyDescent="0.35">
      <c r="A801" s="2"/>
      <c r="C801" s="50"/>
    </row>
    <row r="802" spans="1:3" x14ac:dyDescent="0.35">
      <c r="A802" s="2"/>
      <c r="C802" s="50"/>
    </row>
    <row r="803" spans="1:3" x14ac:dyDescent="0.35">
      <c r="A803" s="2"/>
      <c r="C803" s="50"/>
    </row>
    <row r="804" spans="1:3" x14ac:dyDescent="0.35">
      <c r="A804" s="2"/>
      <c r="C804" s="50"/>
    </row>
    <row r="805" spans="1:3" x14ac:dyDescent="0.35">
      <c r="A805" s="2"/>
      <c r="C805" s="50"/>
    </row>
    <row r="806" spans="1:3" x14ac:dyDescent="0.35">
      <c r="A806" s="2"/>
      <c r="C806" s="50"/>
    </row>
    <row r="807" spans="1:3" x14ac:dyDescent="0.35">
      <c r="A807" s="2"/>
      <c r="C807" s="50"/>
    </row>
    <row r="808" spans="1:3" x14ac:dyDescent="0.35">
      <c r="A808" s="2"/>
      <c r="C808" s="50"/>
    </row>
    <row r="809" spans="1:3" x14ac:dyDescent="0.35">
      <c r="A809" s="2"/>
      <c r="C809" s="50"/>
    </row>
    <row r="810" spans="1:3" x14ac:dyDescent="0.35">
      <c r="A810" s="2"/>
      <c r="C810" s="50"/>
    </row>
    <row r="811" spans="1:3" x14ac:dyDescent="0.35">
      <c r="A811" s="2"/>
      <c r="C811" s="50"/>
    </row>
    <row r="812" spans="1:3" x14ac:dyDescent="0.35">
      <c r="A812" s="2"/>
      <c r="C812" s="50"/>
    </row>
    <row r="813" spans="1:3" x14ac:dyDescent="0.35">
      <c r="A813" s="2"/>
      <c r="C813" s="50"/>
    </row>
    <row r="814" spans="1:3" x14ac:dyDescent="0.35">
      <c r="A814" s="2"/>
      <c r="C814" s="50"/>
    </row>
    <row r="815" spans="1:3" x14ac:dyDescent="0.35">
      <c r="A815" s="2"/>
      <c r="C815" s="50"/>
    </row>
    <row r="816" spans="1:3" x14ac:dyDescent="0.35">
      <c r="A816" s="2"/>
      <c r="C816" s="50"/>
    </row>
    <row r="817" spans="1:3" x14ac:dyDescent="0.35">
      <c r="A817" s="2"/>
      <c r="C817" s="50"/>
    </row>
    <row r="818" spans="1:3" x14ac:dyDescent="0.35">
      <c r="A818" s="2"/>
      <c r="C818" s="50"/>
    </row>
    <row r="819" spans="1:3" x14ac:dyDescent="0.35">
      <c r="A819" s="2"/>
      <c r="C819" s="50"/>
    </row>
    <row r="820" spans="1:3" x14ac:dyDescent="0.35">
      <c r="A820" s="2"/>
      <c r="C820" s="50"/>
    </row>
    <row r="821" spans="1:3" x14ac:dyDescent="0.35">
      <c r="A821" s="2"/>
      <c r="C821" s="50"/>
    </row>
    <row r="822" spans="1:3" x14ac:dyDescent="0.35">
      <c r="A822" s="2"/>
      <c r="C822" s="50"/>
    </row>
    <row r="823" spans="1:3" x14ac:dyDescent="0.35">
      <c r="A823" s="2"/>
      <c r="C823" s="50"/>
    </row>
    <row r="824" spans="1:3" x14ac:dyDescent="0.35">
      <c r="A824" s="2"/>
      <c r="C824" s="50"/>
    </row>
    <row r="825" spans="1:3" x14ac:dyDescent="0.35">
      <c r="A825" s="2"/>
      <c r="C825" s="50"/>
    </row>
    <row r="826" spans="1:3" x14ac:dyDescent="0.35">
      <c r="A826" s="2"/>
      <c r="C826" s="50"/>
    </row>
    <row r="827" spans="1:3" x14ac:dyDescent="0.35">
      <c r="A827" s="2"/>
      <c r="C827" s="50"/>
    </row>
    <row r="828" spans="1:3" x14ac:dyDescent="0.35">
      <c r="A828" s="2"/>
      <c r="C828" s="50"/>
    </row>
    <row r="829" spans="1:3" x14ac:dyDescent="0.35">
      <c r="A829" s="2"/>
      <c r="C829" s="50"/>
    </row>
    <row r="830" spans="1:3" x14ac:dyDescent="0.35">
      <c r="A830" s="2"/>
      <c r="C830" s="50"/>
    </row>
    <row r="831" spans="1:3" x14ac:dyDescent="0.35">
      <c r="A831" s="2"/>
      <c r="C831" s="50"/>
    </row>
    <row r="832" spans="1:3" x14ac:dyDescent="0.35">
      <c r="A832" s="2"/>
      <c r="C832" s="50"/>
    </row>
    <row r="833" spans="1:3" x14ac:dyDescent="0.35">
      <c r="A833" s="2"/>
      <c r="C833" s="50"/>
    </row>
    <row r="834" spans="1:3" x14ac:dyDescent="0.35">
      <c r="A834" s="2"/>
      <c r="C834" s="50"/>
    </row>
    <row r="835" spans="1:3" x14ac:dyDescent="0.35">
      <c r="A835" s="2"/>
      <c r="C835" s="50"/>
    </row>
    <row r="836" spans="1:3" x14ac:dyDescent="0.35">
      <c r="A836" s="2"/>
      <c r="C836" s="50"/>
    </row>
    <row r="837" spans="1:3" x14ac:dyDescent="0.35">
      <c r="A837" s="2"/>
      <c r="C837" s="50"/>
    </row>
    <row r="838" spans="1:3" x14ac:dyDescent="0.35">
      <c r="A838" s="2"/>
      <c r="C838" s="50"/>
    </row>
    <row r="839" spans="1:3" x14ac:dyDescent="0.35">
      <c r="A839" s="2"/>
      <c r="C839" s="50"/>
    </row>
    <row r="840" spans="1:3" x14ac:dyDescent="0.35">
      <c r="A840" s="2"/>
      <c r="C840" s="50"/>
    </row>
    <row r="841" spans="1:3" x14ac:dyDescent="0.35">
      <c r="A841" s="2"/>
      <c r="C841" s="50"/>
    </row>
    <row r="842" spans="1:3" x14ac:dyDescent="0.35">
      <c r="A842" s="2"/>
      <c r="C842" s="50"/>
    </row>
    <row r="843" spans="1:3" x14ac:dyDescent="0.35">
      <c r="A843" s="2"/>
      <c r="C843" s="50"/>
    </row>
    <row r="844" spans="1:3" x14ac:dyDescent="0.35">
      <c r="A844" s="2"/>
      <c r="C844" s="50"/>
    </row>
    <row r="845" spans="1:3" x14ac:dyDescent="0.35">
      <c r="A845" s="2"/>
      <c r="C845" s="50"/>
    </row>
    <row r="846" spans="1:3" x14ac:dyDescent="0.35">
      <c r="A846" s="2"/>
      <c r="C846" s="50"/>
    </row>
    <row r="847" spans="1:3" x14ac:dyDescent="0.35">
      <c r="A847" s="2"/>
      <c r="C847" s="50"/>
    </row>
    <row r="848" spans="1:3" x14ac:dyDescent="0.35">
      <c r="A848" s="2"/>
      <c r="C848" s="50"/>
    </row>
    <row r="849" spans="1:3" x14ac:dyDescent="0.35">
      <c r="A849" s="2"/>
      <c r="C849" s="50"/>
    </row>
    <row r="850" spans="1:3" x14ac:dyDescent="0.35">
      <c r="A850" s="2"/>
      <c r="C850" s="50"/>
    </row>
    <row r="851" spans="1:3" x14ac:dyDescent="0.35">
      <c r="A851" s="2"/>
      <c r="C851" s="50"/>
    </row>
    <row r="852" spans="1:3" x14ac:dyDescent="0.35">
      <c r="A852" s="2"/>
      <c r="C852" s="50"/>
    </row>
    <row r="853" spans="1:3" x14ac:dyDescent="0.35">
      <c r="A853" s="2"/>
      <c r="C853" s="50"/>
    </row>
    <row r="854" spans="1:3" x14ac:dyDescent="0.35">
      <c r="A854" s="2"/>
      <c r="C854" s="50"/>
    </row>
    <row r="855" spans="1:3" x14ac:dyDescent="0.35">
      <c r="A855" s="2"/>
      <c r="C855" s="50"/>
    </row>
    <row r="856" spans="1:3" x14ac:dyDescent="0.35">
      <c r="A856" s="2"/>
      <c r="C856" s="50"/>
    </row>
    <row r="857" spans="1:3" x14ac:dyDescent="0.35">
      <c r="A857" s="2"/>
      <c r="C857" s="50"/>
    </row>
    <row r="858" spans="1:3" x14ac:dyDescent="0.35">
      <c r="A858" s="2"/>
      <c r="C858" s="50"/>
    </row>
    <row r="859" spans="1:3" x14ac:dyDescent="0.35">
      <c r="A859" s="2"/>
      <c r="C859" s="50"/>
    </row>
    <row r="860" spans="1:3" x14ac:dyDescent="0.35">
      <c r="A860" s="2"/>
      <c r="C860" s="50"/>
    </row>
    <row r="861" spans="1:3" x14ac:dyDescent="0.35">
      <c r="A861" s="2"/>
      <c r="C861" s="50"/>
    </row>
    <row r="862" spans="1:3" x14ac:dyDescent="0.35">
      <c r="A862" s="2"/>
      <c r="C862" s="50"/>
    </row>
    <row r="863" spans="1:3" x14ac:dyDescent="0.35">
      <c r="A863" s="2"/>
      <c r="C863" s="50"/>
    </row>
    <row r="864" spans="1:3" x14ac:dyDescent="0.35">
      <c r="A864" s="2"/>
      <c r="C864" s="50"/>
    </row>
    <row r="865" spans="1:3" x14ac:dyDescent="0.35">
      <c r="A865" s="2"/>
      <c r="C865" s="50"/>
    </row>
    <row r="866" spans="1:3" x14ac:dyDescent="0.35">
      <c r="A866" s="2"/>
      <c r="C866" s="50"/>
    </row>
    <row r="867" spans="1:3" x14ac:dyDescent="0.35">
      <c r="A867" s="2"/>
      <c r="C867" s="50"/>
    </row>
    <row r="868" spans="1:3" x14ac:dyDescent="0.35">
      <c r="A868" s="2"/>
      <c r="C868" s="50"/>
    </row>
    <row r="869" spans="1:3" x14ac:dyDescent="0.35">
      <c r="A869" s="2"/>
      <c r="C869" s="50"/>
    </row>
    <row r="870" spans="1:3" x14ac:dyDescent="0.35">
      <c r="A870" s="2"/>
      <c r="C870" s="50"/>
    </row>
    <row r="871" spans="1:3" x14ac:dyDescent="0.35">
      <c r="A871" s="2"/>
      <c r="C871" s="50"/>
    </row>
    <row r="872" spans="1:3" x14ac:dyDescent="0.35">
      <c r="A872" s="2"/>
      <c r="C872" s="50"/>
    </row>
    <row r="873" spans="1:3" x14ac:dyDescent="0.35">
      <c r="A873" s="2"/>
      <c r="C873" s="50"/>
    </row>
    <row r="874" spans="1:3" x14ac:dyDescent="0.35">
      <c r="A874" s="2"/>
      <c r="C874" s="50"/>
    </row>
    <row r="875" spans="1:3" x14ac:dyDescent="0.35">
      <c r="A875" s="2"/>
      <c r="C875" s="50"/>
    </row>
    <row r="876" spans="1:3" x14ac:dyDescent="0.35">
      <c r="A876" s="2"/>
      <c r="C876" s="50"/>
    </row>
    <row r="877" spans="1:3" x14ac:dyDescent="0.35">
      <c r="A877" s="2"/>
      <c r="C877" s="50"/>
    </row>
    <row r="878" spans="1:3" x14ac:dyDescent="0.35">
      <c r="A878" s="2"/>
      <c r="C878" s="50"/>
    </row>
    <row r="879" spans="1:3" x14ac:dyDescent="0.35">
      <c r="A879" s="2"/>
      <c r="C879" s="50"/>
    </row>
    <row r="880" spans="1:3" x14ac:dyDescent="0.35">
      <c r="A880" s="2"/>
      <c r="C880" s="50"/>
    </row>
    <row r="881" spans="1:3" x14ac:dyDescent="0.35">
      <c r="A881" s="2"/>
      <c r="C881" s="50"/>
    </row>
    <row r="882" spans="1:3" x14ac:dyDescent="0.35">
      <c r="A882" s="2"/>
      <c r="C882" s="50"/>
    </row>
    <row r="883" spans="1:3" x14ac:dyDescent="0.35">
      <c r="A883" s="2"/>
      <c r="C883" s="50"/>
    </row>
    <row r="884" spans="1:3" x14ac:dyDescent="0.35">
      <c r="A884" s="2"/>
      <c r="C884" s="50"/>
    </row>
    <row r="885" spans="1:3" x14ac:dyDescent="0.35">
      <c r="A885" s="2"/>
      <c r="C885" s="50"/>
    </row>
    <row r="886" spans="1:3" x14ac:dyDescent="0.35">
      <c r="A886" s="2"/>
      <c r="C886" s="50"/>
    </row>
    <row r="887" spans="1:3" x14ac:dyDescent="0.35">
      <c r="A887" s="2"/>
      <c r="C887" s="50"/>
    </row>
    <row r="888" spans="1:3" x14ac:dyDescent="0.35">
      <c r="A888" s="2"/>
      <c r="C888" s="50"/>
    </row>
    <row r="889" spans="1:3" x14ac:dyDescent="0.35">
      <c r="A889" s="2"/>
      <c r="C889" s="50"/>
    </row>
    <row r="890" spans="1:3" x14ac:dyDescent="0.35">
      <c r="A890" s="2"/>
      <c r="C890" s="50"/>
    </row>
    <row r="891" spans="1:3" x14ac:dyDescent="0.35">
      <c r="A891" s="2"/>
      <c r="C891" s="50"/>
    </row>
    <row r="892" spans="1:3" x14ac:dyDescent="0.35">
      <c r="A892" s="2"/>
      <c r="C892" s="50"/>
    </row>
    <row r="893" spans="1:3" x14ac:dyDescent="0.35">
      <c r="A893" s="2"/>
      <c r="C893" s="50"/>
    </row>
    <row r="894" spans="1:3" x14ac:dyDescent="0.35">
      <c r="A894" s="2"/>
      <c r="C894" s="50"/>
    </row>
    <row r="895" spans="1:3" x14ac:dyDescent="0.35">
      <c r="A895" s="2"/>
      <c r="C895" s="50"/>
    </row>
    <row r="896" spans="1:3" x14ac:dyDescent="0.35">
      <c r="A896" s="2"/>
      <c r="C896" s="50"/>
    </row>
    <row r="897" spans="1:3" x14ac:dyDescent="0.35">
      <c r="A897" s="2"/>
      <c r="C897" s="50"/>
    </row>
    <row r="898" spans="1:3" x14ac:dyDescent="0.35">
      <c r="A898" s="2"/>
      <c r="C898" s="50"/>
    </row>
    <row r="899" spans="1:3" x14ac:dyDescent="0.35">
      <c r="A899" s="2"/>
      <c r="C899" s="50"/>
    </row>
    <row r="900" spans="1:3" x14ac:dyDescent="0.35">
      <c r="A900" s="2"/>
      <c r="C900" s="50"/>
    </row>
    <row r="901" spans="1:3" x14ac:dyDescent="0.35">
      <c r="A901" s="2"/>
      <c r="C901" s="50"/>
    </row>
    <row r="902" spans="1:3" x14ac:dyDescent="0.35">
      <c r="A902" s="2"/>
      <c r="C902" s="50"/>
    </row>
    <row r="903" spans="1:3" x14ac:dyDescent="0.35">
      <c r="A903" s="2"/>
      <c r="C903" s="50"/>
    </row>
    <row r="904" spans="1:3" x14ac:dyDescent="0.35">
      <c r="A904" s="2"/>
      <c r="C904" s="50"/>
    </row>
    <row r="905" spans="1:3" x14ac:dyDescent="0.35">
      <c r="A905" s="2"/>
      <c r="C905" s="50"/>
    </row>
    <row r="906" spans="1:3" x14ac:dyDescent="0.35">
      <c r="A906" s="2"/>
      <c r="C906" s="50"/>
    </row>
    <row r="907" spans="1:3" x14ac:dyDescent="0.35">
      <c r="A907" s="2"/>
      <c r="C907" s="50"/>
    </row>
    <row r="908" spans="1:3" x14ac:dyDescent="0.35">
      <c r="A908" s="2"/>
      <c r="C908" s="50"/>
    </row>
    <row r="909" spans="1:3" x14ac:dyDescent="0.35">
      <c r="A909" s="2"/>
      <c r="C909" s="50"/>
    </row>
    <row r="910" spans="1:3" x14ac:dyDescent="0.35">
      <c r="A910" s="2"/>
      <c r="C910" s="50"/>
    </row>
    <row r="911" spans="1:3" x14ac:dyDescent="0.35">
      <c r="A911" s="2"/>
      <c r="C911" s="50"/>
    </row>
    <row r="912" spans="1:3" x14ac:dyDescent="0.35">
      <c r="A912" s="2"/>
      <c r="C912" s="50"/>
    </row>
    <row r="913" spans="1:3" x14ac:dyDescent="0.35">
      <c r="A913" s="2"/>
      <c r="C913" s="50"/>
    </row>
    <row r="914" spans="1:3" x14ac:dyDescent="0.35">
      <c r="A914" s="2"/>
      <c r="C914" s="50"/>
    </row>
    <row r="915" spans="1:3" x14ac:dyDescent="0.35">
      <c r="A915" s="2"/>
      <c r="C915" s="50"/>
    </row>
    <row r="916" spans="1:3" x14ac:dyDescent="0.35">
      <c r="A916" s="2"/>
      <c r="C916" s="50"/>
    </row>
    <row r="917" spans="1:3" x14ac:dyDescent="0.35">
      <c r="A917" s="2"/>
      <c r="C917" s="50"/>
    </row>
    <row r="918" spans="1:3" x14ac:dyDescent="0.35">
      <c r="A918" s="2"/>
      <c r="C918" s="50"/>
    </row>
    <row r="919" spans="1:3" x14ac:dyDescent="0.35">
      <c r="A919" s="2"/>
      <c r="C919" s="50"/>
    </row>
    <row r="920" spans="1:3" x14ac:dyDescent="0.35">
      <c r="A920" s="2"/>
      <c r="C920" s="50"/>
    </row>
    <row r="921" spans="1:3" x14ac:dyDescent="0.35">
      <c r="A921" s="2"/>
      <c r="C921" s="50"/>
    </row>
    <row r="922" spans="1:3" x14ac:dyDescent="0.35">
      <c r="A922" s="2"/>
      <c r="C922" s="50"/>
    </row>
    <row r="923" spans="1:3" x14ac:dyDescent="0.35">
      <c r="A923" s="2"/>
      <c r="C923" s="50"/>
    </row>
    <row r="924" spans="1:3" x14ac:dyDescent="0.35">
      <c r="A924" s="2"/>
      <c r="C924" s="50"/>
    </row>
    <row r="925" spans="1:3" x14ac:dyDescent="0.35">
      <c r="A925" s="2"/>
      <c r="C925" s="50"/>
    </row>
    <row r="926" spans="1:3" x14ac:dyDescent="0.35">
      <c r="A926" s="2"/>
      <c r="C926" s="50"/>
    </row>
    <row r="927" spans="1:3" x14ac:dyDescent="0.35">
      <c r="A927" s="2"/>
      <c r="C927" s="50"/>
    </row>
    <row r="928" spans="1:3" x14ac:dyDescent="0.35">
      <c r="A928" s="2"/>
      <c r="C928" s="50"/>
    </row>
    <row r="929" spans="1:3" x14ac:dyDescent="0.35">
      <c r="A929" s="2"/>
      <c r="C929" s="50"/>
    </row>
    <row r="930" spans="1:3" x14ac:dyDescent="0.35">
      <c r="A930" s="2"/>
      <c r="C930" s="50"/>
    </row>
    <row r="931" spans="1:3" x14ac:dyDescent="0.35">
      <c r="A931" s="2"/>
      <c r="C931" s="50"/>
    </row>
    <row r="932" spans="1:3" x14ac:dyDescent="0.35">
      <c r="A932" s="2"/>
      <c r="C932" s="50"/>
    </row>
    <row r="933" spans="1:3" x14ac:dyDescent="0.35">
      <c r="A933" s="2"/>
      <c r="C933" s="50"/>
    </row>
    <row r="934" spans="1:3" x14ac:dyDescent="0.35">
      <c r="A934" s="2"/>
      <c r="C934" s="50"/>
    </row>
    <row r="935" spans="1:3" x14ac:dyDescent="0.35">
      <c r="A935" s="2"/>
      <c r="C935" s="50"/>
    </row>
    <row r="936" spans="1:3" x14ac:dyDescent="0.35">
      <c r="A936" s="2"/>
      <c r="C936" s="50"/>
    </row>
    <row r="937" spans="1:3" x14ac:dyDescent="0.35">
      <c r="A937" s="2"/>
      <c r="C937" s="50"/>
    </row>
    <row r="938" spans="1:3" x14ac:dyDescent="0.35">
      <c r="A938" s="2"/>
      <c r="C938" s="50"/>
    </row>
    <row r="939" spans="1:3" x14ac:dyDescent="0.35">
      <c r="A939" s="2"/>
      <c r="C939" s="50"/>
    </row>
    <row r="940" spans="1:3" x14ac:dyDescent="0.35">
      <c r="A940" s="2"/>
      <c r="C940" s="50"/>
    </row>
    <row r="941" spans="1:3" x14ac:dyDescent="0.35">
      <c r="A941" s="2"/>
      <c r="C941" s="50"/>
    </row>
    <row r="942" spans="1:3" x14ac:dyDescent="0.35">
      <c r="A942" s="2"/>
      <c r="C942" s="50"/>
    </row>
    <row r="943" spans="1:3" x14ac:dyDescent="0.35">
      <c r="A943" s="2"/>
      <c r="C943" s="50"/>
    </row>
    <row r="944" spans="1:3" x14ac:dyDescent="0.35">
      <c r="A944" s="2"/>
      <c r="C944" s="50"/>
    </row>
    <row r="945" spans="1:3" x14ac:dyDescent="0.35">
      <c r="A945" s="2"/>
      <c r="C945" s="50"/>
    </row>
    <row r="946" spans="1:3" x14ac:dyDescent="0.35">
      <c r="A946" s="2"/>
      <c r="C946" s="50"/>
    </row>
    <row r="947" spans="1:3" x14ac:dyDescent="0.35">
      <c r="A947" s="2"/>
      <c r="C947" s="50"/>
    </row>
    <row r="948" spans="1:3" x14ac:dyDescent="0.35">
      <c r="A948" s="2"/>
      <c r="C948" s="50"/>
    </row>
    <row r="949" spans="1:3" x14ac:dyDescent="0.35">
      <c r="A949" s="2"/>
      <c r="C949" s="50"/>
    </row>
    <row r="950" spans="1:3" x14ac:dyDescent="0.35">
      <c r="A950" s="2"/>
      <c r="C950" s="50"/>
    </row>
    <row r="951" spans="1:3" x14ac:dyDescent="0.35">
      <c r="A951" s="2"/>
      <c r="C951" s="50"/>
    </row>
    <row r="952" spans="1:3" x14ac:dyDescent="0.35">
      <c r="A952" s="2"/>
      <c r="C952" s="50"/>
    </row>
    <row r="953" spans="1:3" x14ac:dyDescent="0.35">
      <c r="A953" s="2"/>
      <c r="C953" s="50"/>
    </row>
    <row r="954" spans="1:3" x14ac:dyDescent="0.35">
      <c r="A954" s="2"/>
      <c r="C954" s="50"/>
    </row>
    <row r="955" spans="1:3" x14ac:dyDescent="0.35">
      <c r="A955" s="2"/>
      <c r="C955" s="50"/>
    </row>
    <row r="956" spans="1:3" x14ac:dyDescent="0.35">
      <c r="A956" s="2"/>
      <c r="C956" s="50"/>
    </row>
    <row r="957" spans="1:3" x14ac:dyDescent="0.35">
      <c r="A957" s="2"/>
      <c r="C957" s="50"/>
    </row>
    <row r="958" spans="1:3" x14ac:dyDescent="0.35">
      <c r="A958" s="2"/>
      <c r="C958" s="50"/>
    </row>
    <row r="959" spans="1:3" x14ac:dyDescent="0.35">
      <c r="A959" s="2"/>
      <c r="C959" s="50"/>
    </row>
    <row r="960" spans="1:3" x14ac:dyDescent="0.35">
      <c r="A960" s="2"/>
      <c r="C960" s="50"/>
    </row>
    <row r="961" spans="1:3" x14ac:dyDescent="0.35">
      <c r="A961" s="2"/>
      <c r="C961" s="50"/>
    </row>
    <row r="962" spans="1:3" x14ac:dyDescent="0.35">
      <c r="A962" s="2"/>
      <c r="C962" s="50"/>
    </row>
    <row r="963" spans="1:3" x14ac:dyDescent="0.35">
      <c r="A963" s="2"/>
      <c r="C963" s="50"/>
    </row>
    <row r="964" spans="1:3" x14ac:dyDescent="0.35">
      <c r="A964" s="2"/>
      <c r="C964" s="50"/>
    </row>
    <row r="965" spans="1:3" x14ac:dyDescent="0.35">
      <c r="A965" s="2"/>
      <c r="C965" s="50"/>
    </row>
    <row r="966" spans="1:3" x14ac:dyDescent="0.35">
      <c r="A966" s="2"/>
      <c r="C966" s="50"/>
    </row>
    <row r="967" spans="1:3" x14ac:dyDescent="0.35">
      <c r="A967" s="2"/>
      <c r="C967" s="50"/>
    </row>
    <row r="968" spans="1:3" x14ac:dyDescent="0.35">
      <c r="A968" s="2"/>
      <c r="C968" s="50"/>
    </row>
    <row r="969" spans="1:3" x14ac:dyDescent="0.35">
      <c r="A969" s="2"/>
      <c r="C969" s="50"/>
    </row>
    <row r="970" spans="1:3" x14ac:dyDescent="0.35">
      <c r="A970" s="2"/>
      <c r="C970" s="50"/>
    </row>
    <row r="971" spans="1:3" x14ac:dyDescent="0.35">
      <c r="A971" s="2"/>
      <c r="C971" s="50"/>
    </row>
    <row r="972" spans="1:3" x14ac:dyDescent="0.35">
      <c r="A972" s="2"/>
      <c r="C972" s="50"/>
    </row>
    <row r="973" spans="1:3" x14ac:dyDescent="0.35">
      <c r="A973" s="2"/>
      <c r="C973" s="50"/>
    </row>
    <row r="974" spans="1:3" x14ac:dyDescent="0.35">
      <c r="A974" s="2"/>
      <c r="C974" s="50"/>
    </row>
    <row r="975" spans="1:3" x14ac:dyDescent="0.35">
      <c r="A975" s="2"/>
      <c r="C975" s="50"/>
    </row>
    <row r="976" spans="1:3" x14ac:dyDescent="0.35">
      <c r="A976" s="2"/>
      <c r="C976" s="50"/>
    </row>
    <row r="977" spans="1:3" x14ac:dyDescent="0.35">
      <c r="A977" s="2"/>
      <c r="C977" s="50"/>
    </row>
    <row r="978" spans="1:3" x14ac:dyDescent="0.35">
      <c r="A978" s="2"/>
      <c r="C978" s="50"/>
    </row>
    <row r="979" spans="1:3" x14ac:dyDescent="0.35">
      <c r="A979" s="2"/>
      <c r="C979" s="50"/>
    </row>
    <row r="980" spans="1:3" x14ac:dyDescent="0.35">
      <c r="A980" s="2"/>
      <c r="C980" s="50"/>
    </row>
    <row r="981" spans="1:3" x14ac:dyDescent="0.35">
      <c r="A981" s="2"/>
      <c r="C981" s="50"/>
    </row>
    <row r="982" spans="1:3" x14ac:dyDescent="0.35">
      <c r="A982" s="2"/>
      <c r="C982" s="50"/>
    </row>
    <row r="983" spans="1:3" x14ac:dyDescent="0.35">
      <c r="A983" s="2"/>
      <c r="C983" s="50"/>
    </row>
    <row r="984" spans="1:3" x14ac:dyDescent="0.35">
      <c r="A984" s="2"/>
      <c r="C984" s="50"/>
    </row>
    <row r="985" spans="1:3" x14ac:dyDescent="0.35">
      <c r="A985" s="2"/>
      <c r="C985" s="50"/>
    </row>
    <row r="986" spans="1:3" x14ac:dyDescent="0.35">
      <c r="A986" s="2"/>
      <c r="C986" s="50"/>
    </row>
    <row r="987" spans="1:3" x14ac:dyDescent="0.35">
      <c r="A987" s="2"/>
      <c r="C987" s="50"/>
    </row>
    <row r="988" spans="1:3" x14ac:dyDescent="0.35">
      <c r="A988" s="2"/>
      <c r="C988" s="50"/>
    </row>
    <row r="989" spans="1:3" x14ac:dyDescent="0.35">
      <c r="A989" s="2"/>
      <c r="C989" s="50"/>
    </row>
    <row r="990" spans="1:3" x14ac:dyDescent="0.35">
      <c r="A990" s="2"/>
      <c r="C990" s="50"/>
    </row>
    <row r="991" spans="1:3" x14ac:dyDescent="0.35">
      <c r="A991" s="2"/>
      <c r="C991" s="50"/>
    </row>
    <row r="992" spans="1:3" x14ac:dyDescent="0.35">
      <c r="A992" s="2"/>
      <c r="C992" s="50"/>
    </row>
    <row r="993" spans="1:3" x14ac:dyDescent="0.35">
      <c r="A993" s="2"/>
      <c r="C993" s="50"/>
    </row>
    <row r="994" spans="1:3" x14ac:dyDescent="0.35">
      <c r="A994" s="2"/>
      <c r="C994" s="50"/>
    </row>
    <row r="995" spans="1:3" x14ac:dyDescent="0.35">
      <c r="A995" s="2"/>
      <c r="C995" s="50"/>
    </row>
    <row r="996" spans="1:3" x14ac:dyDescent="0.35">
      <c r="A996" s="2"/>
      <c r="C996" s="50"/>
    </row>
    <row r="997" spans="1:3" x14ac:dyDescent="0.35">
      <c r="A997" s="2"/>
      <c r="C997" s="50"/>
    </row>
    <row r="998" spans="1:3" x14ac:dyDescent="0.35">
      <c r="A998" s="2"/>
      <c r="C998" s="50"/>
    </row>
    <row r="999" spans="1:3" x14ac:dyDescent="0.35">
      <c r="A999" s="2"/>
      <c r="C999" s="50"/>
    </row>
    <row r="1000" spans="1:3" x14ac:dyDescent="0.35">
      <c r="A1000" s="2"/>
      <c r="C1000" s="50"/>
    </row>
    <row r="1001" spans="1:3" x14ac:dyDescent="0.35">
      <c r="A1001" s="2"/>
      <c r="C1001" s="50"/>
    </row>
    <row r="1002" spans="1:3" x14ac:dyDescent="0.35">
      <c r="A1002" s="2"/>
      <c r="C1002" s="50"/>
    </row>
  </sheetData>
  <mergeCells count="10">
    <mergeCell ref="A3:A4"/>
    <mergeCell ref="B3:B4"/>
    <mergeCell ref="A32:A33"/>
    <mergeCell ref="B32:B33"/>
    <mergeCell ref="D3:J3"/>
    <mergeCell ref="K3:Q3"/>
    <mergeCell ref="R3:X3"/>
    <mergeCell ref="D32:J32"/>
    <mergeCell ref="K32:Q32"/>
    <mergeCell ref="R32:X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N1002"/>
  <sheetViews>
    <sheetView topLeftCell="A31" zoomScale="60" workbookViewId="0">
      <selection activeCell="A34" sqref="A34:A71"/>
    </sheetView>
  </sheetViews>
  <sheetFormatPr defaultColWidth="12.73046875" defaultRowHeight="15.75" customHeight="1" x14ac:dyDescent="0.45"/>
  <cols>
    <col min="1" max="1" width="12.73046875" style="59" bestFit="1" customWidth="1"/>
    <col min="2" max="2" width="50.1328125" style="59" customWidth="1"/>
    <col min="3" max="3" width="14.265625" style="59" customWidth="1"/>
    <col min="4" max="4" width="14.86328125" style="59" customWidth="1"/>
    <col min="5" max="5" width="14.1328125" style="59" bestFit="1" customWidth="1"/>
    <col min="6" max="6" width="12.73046875" style="59" customWidth="1"/>
    <col min="7" max="10" width="14.86328125" style="59" customWidth="1"/>
    <col min="11" max="11" width="14.1328125" style="59" bestFit="1" customWidth="1"/>
    <col min="12" max="12" width="12.73046875" style="59" bestFit="1" customWidth="1"/>
    <col min="13" max="14" width="14.3984375" style="59" bestFit="1" customWidth="1"/>
    <col min="15" max="15" width="12.73046875" style="59" bestFit="1" customWidth="1"/>
    <col min="16" max="16" width="13.1328125" style="59" bestFit="1" customWidth="1"/>
    <col min="17" max="17" width="14.3984375" style="59" bestFit="1" customWidth="1"/>
    <col min="18" max="18" width="12.73046875" style="59" bestFit="1" customWidth="1"/>
    <col min="19" max="19" width="14.1328125" style="59" bestFit="1" customWidth="1"/>
    <col min="20" max="20" width="14.59765625" style="59" bestFit="1" customWidth="1"/>
    <col min="21" max="21" width="12.86328125" style="87" bestFit="1" customWidth="1"/>
    <col min="22" max="22" width="14.1328125" style="59" bestFit="1" customWidth="1"/>
    <col min="23" max="23" width="14.265625" style="59" bestFit="1" customWidth="1"/>
    <col min="24" max="24" width="12.86328125" style="87" bestFit="1" customWidth="1"/>
    <col min="25" max="25" width="13.265625" style="59" bestFit="1" customWidth="1"/>
    <col min="26" max="26" width="14.265625" style="59" bestFit="1" customWidth="1"/>
    <col min="27" max="27" width="12.86328125" style="87" bestFit="1" customWidth="1"/>
    <col min="28" max="28" width="14.1328125" style="59" bestFit="1" customWidth="1"/>
    <col min="29" max="29" width="14.265625" style="59" bestFit="1" customWidth="1"/>
    <col min="30" max="30" width="12.86328125" style="87" bestFit="1" customWidth="1"/>
    <col min="31" max="32" width="14.1328125" style="59" bestFit="1" customWidth="1"/>
    <col min="33" max="33" width="12.86328125" style="87" bestFit="1" customWidth="1"/>
    <col min="34" max="34" width="13.265625" style="59" bestFit="1" customWidth="1"/>
    <col min="35" max="35" width="14.265625" style="59" bestFit="1" customWidth="1"/>
    <col min="36" max="36" width="12.86328125" style="87" bestFit="1" customWidth="1"/>
    <col min="37" max="37" width="14.1328125" style="59" bestFit="1" customWidth="1"/>
    <col min="38" max="38" width="14.265625" style="59" bestFit="1" customWidth="1"/>
    <col min="39" max="39" width="12.86328125" style="87" bestFit="1" customWidth="1"/>
    <col min="40" max="41" width="14.265625" style="59" bestFit="1" customWidth="1"/>
    <col min="42" max="42" width="12.86328125" style="87" bestFit="1" customWidth="1"/>
    <col min="43" max="43" width="13.265625" style="59" bestFit="1" customWidth="1"/>
    <col min="44" max="44" width="14.265625" style="59" bestFit="1" customWidth="1"/>
    <col min="45" max="45" width="12.86328125" style="87" bestFit="1" customWidth="1"/>
    <col min="46" max="46" width="13.265625" style="59" bestFit="1" customWidth="1"/>
    <col min="47" max="47" width="14.265625" style="59" bestFit="1" customWidth="1"/>
    <col min="48" max="48" width="13" style="87" bestFit="1" customWidth="1"/>
    <col min="49" max="49" width="14.265625" style="59" bestFit="1" customWidth="1"/>
    <col min="50" max="50" width="15.73046875" style="59" bestFit="1" customWidth="1"/>
    <col min="51" max="51" width="13" style="87" bestFit="1" customWidth="1"/>
    <col min="52" max="52" width="13.265625" style="59" bestFit="1" customWidth="1"/>
    <col min="53" max="53" width="15.73046875" style="59" bestFit="1" customWidth="1"/>
    <col min="54" max="54" width="13" style="87" bestFit="1" customWidth="1"/>
    <col min="55" max="55" width="14.1328125" style="59" bestFit="1" customWidth="1"/>
    <col min="56" max="56" width="15.73046875" style="59" bestFit="1" customWidth="1"/>
    <col min="57" max="57" width="12.86328125" style="59" bestFit="1" customWidth="1"/>
    <col min="58" max="58" width="14.73046875" style="59" bestFit="1" customWidth="1"/>
    <col min="59" max="59" width="15.73046875" style="59" bestFit="1" customWidth="1"/>
    <col min="60" max="60" width="12.86328125" style="87" bestFit="1" customWidth="1"/>
    <col min="61" max="61" width="13.73046875" style="59" bestFit="1" customWidth="1"/>
    <col min="62" max="62" width="15.73046875" style="59" bestFit="1" customWidth="1"/>
    <col min="63" max="63" width="12.86328125" style="87" bestFit="1" customWidth="1"/>
    <col min="64" max="64" width="14.73046875" style="59" bestFit="1" customWidth="1"/>
    <col min="65" max="65" width="17.3984375" style="59" bestFit="1" customWidth="1"/>
    <col min="66" max="66" width="12.86328125" style="59" bestFit="1" customWidth="1"/>
    <col min="67" max="16384" width="12.73046875" style="59"/>
  </cols>
  <sheetData>
    <row r="1" spans="1:66" ht="15.75" customHeight="1" x14ac:dyDescent="0.45">
      <c r="A1" s="54"/>
      <c r="B1" s="54"/>
      <c r="C1" s="92"/>
      <c r="D1" s="92"/>
    </row>
    <row r="2" spans="1:66" ht="15.75" customHeight="1" x14ac:dyDescent="0.45">
      <c r="A2" s="53" t="s">
        <v>90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88"/>
      <c r="V2" s="53"/>
      <c r="W2" s="53"/>
      <c r="X2" s="88"/>
      <c r="Y2" s="53"/>
      <c r="Z2" s="53"/>
      <c r="AA2" s="88"/>
      <c r="AB2" s="53"/>
      <c r="AC2" s="53"/>
      <c r="AD2" s="88"/>
      <c r="AE2" s="53"/>
      <c r="AF2" s="53"/>
      <c r="AG2" s="88"/>
      <c r="AH2" s="53"/>
      <c r="AI2" s="53"/>
      <c r="AJ2" s="88"/>
      <c r="AK2" s="53"/>
      <c r="AL2" s="53"/>
      <c r="AM2" s="88"/>
      <c r="AN2" s="53"/>
      <c r="AO2" s="53"/>
      <c r="AP2" s="88"/>
      <c r="AQ2" s="53"/>
      <c r="AR2" s="53"/>
      <c r="AS2" s="88"/>
      <c r="AT2" s="53"/>
      <c r="AU2" s="53"/>
      <c r="AV2" s="88"/>
      <c r="AW2" s="53"/>
      <c r="AX2" s="53"/>
      <c r="AY2" s="88"/>
      <c r="AZ2" s="53"/>
      <c r="BA2" s="53"/>
      <c r="BB2" s="88"/>
      <c r="BC2" s="53"/>
      <c r="BD2" s="53"/>
      <c r="BE2" s="53"/>
      <c r="BF2" s="53"/>
      <c r="BG2" s="53"/>
      <c r="BH2" s="88"/>
      <c r="BI2" s="53"/>
      <c r="BJ2" s="53"/>
      <c r="BK2" s="88"/>
      <c r="BL2" s="53"/>
      <c r="BM2" s="53"/>
      <c r="BN2" s="53"/>
    </row>
    <row r="3" spans="1:66" ht="15.75" customHeight="1" x14ac:dyDescent="0.45">
      <c r="A3" s="162" t="s">
        <v>91</v>
      </c>
      <c r="B3" s="162" t="s">
        <v>92</v>
      </c>
      <c r="C3" s="162">
        <v>2015</v>
      </c>
      <c r="D3" s="162"/>
      <c r="E3" s="162"/>
      <c r="F3" s="162"/>
      <c r="G3" s="162"/>
      <c r="H3" s="162"/>
      <c r="I3" s="162"/>
      <c r="J3" s="162"/>
      <c r="K3" s="162"/>
      <c r="L3" s="162"/>
      <c r="M3" s="162">
        <v>2017</v>
      </c>
      <c r="N3" s="162"/>
      <c r="O3" s="162"/>
      <c r="P3" s="162"/>
      <c r="Q3" s="162"/>
      <c r="R3" s="162"/>
      <c r="S3" s="162"/>
      <c r="T3" s="162"/>
      <c r="U3" s="162"/>
      <c r="V3" s="162">
        <v>2018</v>
      </c>
      <c r="W3" s="162"/>
      <c r="X3" s="162"/>
      <c r="Y3" s="162"/>
      <c r="Z3" s="162"/>
      <c r="AA3" s="162"/>
      <c r="AB3" s="162"/>
      <c r="AC3" s="162"/>
      <c r="AD3" s="162"/>
      <c r="AE3" s="162">
        <v>2019</v>
      </c>
      <c r="AF3" s="162"/>
      <c r="AG3" s="162"/>
      <c r="AH3" s="162"/>
      <c r="AI3" s="162"/>
      <c r="AJ3" s="162"/>
      <c r="AK3" s="162"/>
      <c r="AL3" s="162"/>
      <c r="AM3" s="162"/>
      <c r="AN3" s="162">
        <v>2020</v>
      </c>
      <c r="AO3" s="162"/>
      <c r="AP3" s="162"/>
      <c r="AQ3" s="162"/>
      <c r="AR3" s="162"/>
      <c r="AS3" s="162"/>
      <c r="AT3" s="162"/>
      <c r="AU3" s="162"/>
      <c r="AV3" s="162"/>
      <c r="AW3" s="162">
        <v>2021</v>
      </c>
      <c r="AX3" s="162"/>
      <c r="AY3" s="162"/>
      <c r="AZ3" s="162"/>
      <c r="BA3" s="162"/>
      <c r="BB3" s="162"/>
      <c r="BC3" s="162"/>
      <c r="BD3" s="162"/>
      <c r="BE3" s="162"/>
      <c r="BF3" s="162">
        <v>2022</v>
      </c>
      <c r="BG3" s="162"/>
      <c r="BH3" s="162"/>
      <c r="BI3" s="162"/>
      <c r="BJ3" s="162"/>
      <c r="BK3" s="162"/>
      <c r="BL3" s="162"/>
      <c r="BM3" s="162"/>
      <c r="BN3" s="162"/>
    </row>
    <row r="4" spans="1:66" ht="15.75" customHeight="1" x14ac:dyDescent="0.45">
      <c r="A4" s="163"/>
      <c r="B4" s="163"/>
      <c r="C4" s="93" t="s">
        <v>101</v>
      </c>
      <c r="D4" s="117" t="s">
        <v>102</v>
      </c>
      <c r="E4" s="117" t="s">
        <v>103</v>
      </c>
      <c r="F4" s="93" t="s">
        <v>104</v>
      </c>
      <c r="G4" s="94" t="s">
        <v>105</v>
      </c>
      <c r="H4" s="117" t="s">
        <v>103</v>
      </c>
      <c r="I4" s="95" t="s">
        <v>106</v>
      </c>
      <c r="J4" s="94" t="s">
        <v>107</v>
      </c>
      <c r="K4" s="117" t="s">
        <v>103</v>
      </c>
      <c r="L4" s="95" t="s">
        <v>108</v>
      </c>
      <c r="M4" s="117" t="s">
        <v>109</v>
      </c>
      <c r="N4" s="117" t="s">
        <v>110</v>
      </c>
      <c r="O4" s="93" t="s">
        <v>104</v>
      </c>
      <c r="P4" s="94" t="s">
        <v>105</v>
      </c>
      <c r="Q4" s="117" t="s">
        <v>110</v>
      </c>
      <c r="R4" s="95" t="s">
        <v>106</v>
      </c>
      <c r="S4" s="94" t="s">
        <v>107</v>
      </c>
      <c r="T4" s="117" t="s">
        <v>110</v>
      </c>
      <c r="U4" s="96" t="s">
        <v>108</v>
      </c>
      <c r="V4" s="117" t="s">
        <v>111</v>
      </c>
      <c r="W4" s="117" t="s">
        <v>112</v>
      </c>
      <c r="X4" s="96" t="s">
        <v>104</v>
      </c>
      <c r="Y4" s="94" t="s">
        <v>105</v>
      </c>
      <c r="Z4" s="117" t="s">
        <v>112</v>
      </c>
      <c r="AA4" s="96" t="s">
        <v>106</v>
      </c>
      <c r="AB4" s="94" t="s">
        <v>107</v>
      </c>
      <c r="AC4" s="117" t="s">
        <v>112</v>
      </c>
      <c r="AD4" s="96" t="s">
        <v>108</v>
      </c>
      <c r="AE4" s="117" t="s">
        <v>111</v>
      </c>
      <c r="AF4" s="117" t="s">
        <v>112</v>
      </c>
      <c r="AG4" s="96" t="s">
        <v>104</v>
      </c>
      <c r="AH4" s="94" t="s">
        <v>105</v>
      </c>
      <c r="AI4" s="117" t="s">
        <v>112</v>
      </c>
      <c r="AJ4" s="96" t="s">
        <v>106</v>
      </c>
      <c r="AK4" s="94" t="s">
        <v>107</v>
      </c>
      <c r="AL4" s="117" t="s">
        <v>112</v>
      </c>
      <c r="AM4" s="96" t="s">
        <v>108</v>
      </c>
      <c r="AN4" s="117" t="s">
        <v>111</v>
      </c>
      <c r="AO4" s="117" t="s">
        <v>112</v>
      </c>
      <c r="AP4" s="96" t="s">
        <v>104</v>
      </c>
      <c r="AQ4" s="94" t="s">
        <v>105</v>
      </c>
      <c r="AR4" s="117" t="s">
        <v>112</v>
      </c>
      <c r="AS4" s="96" t="s">
        <v>106</v>
      </c>
      <c r="AT4" s="94" t="s">
        <v>107</v>
      </c>
      <c r="AU4" s="117" t="s">
        <v>112</v>
      </c>
      <c r="AV4" s="96" t="s">
        <v>108</v>
      </c>
      <c r="AW4" s="117" t="s">
        <v>111</v>
      </c>
      <c r="AX4" s="117" t="s">
        <v>112</v>
      </c>
      <c r="AY4" s="96" t="s">
        <v>104</v>
      </c>
      <c r="AZ4" s="94" t="s">
        <v>105</v>
      </c>
      <c r="BA4" s="117" t="s">
        <v>112</v>
      </c>
      <c r="BB4" s="96" t="s">
        <v>106</v>
      </c>
      <c r="BC4" s="94" t="s">
        <v>107</v>
      </c>
      <c r="BD4" s="117" t="s">
        <v>112</v>
      </c>
      <c r="BE4" s="95" t="s">
        <v>108</v>
      </c>
      <c r="BF4" s="117" t="s">
        <v>111</v>
      </c>
      <c r="BG4" s="117" t="s">
        <v>112</v>
      </c>
      <c r="BH4" s="96" t="s">
        <v>113</v>
      </c>
      <c r="BI4" s="94" t="s">
        <v>105</v>
      </c>
      <c r="BJ4" s="117" t="s">
        <v>112</v>
      </c>
      <c r="BK4" s="96" t="s">
        <v>106</v>
      </c>
      <c r="BL4" s="94" t="s">
        <v>107</v>
      </c>
      <c r="BM4" s="117" t="s">
        <v>112</v>
      </c>
      <c r="BN4" s="95" t="s">
        <v>108</v>
      </c>
    </row>
    <row r="5" spans="1:66" ht="15.75" customHeight="1" x14ac:dyDescent="0.45">
      <c r="A5" s="54">
        <v>10</v>
      </c>
      <c r="B5" s="55" t="s">
        <v>13</v>
      </c>
      <c r="C5" s="97">
        <v>57.76</v>
      </c>
      <c r="D5" s="98">
        <v>62679858819</v>
      </c>
      <c r="E5" s="98">
        <v>609335367566</v>
      </c>
      <c r="F5" s="97">
        <f t="shared" ref="F5:F28" si="0">(D5/E5)*100</f>
        <v>10.286594567680474</v>
      </c>
      <c r="G5" s="98">
        <v>30144913992</v>
      </c>
      <c r="H5" s="98">
        <v>609335367566</v>
      </c>
      <c r="I5" s="99">
        <f>(G5/H5)*100</f>
        <v>4.9471794346050109</v>
      </c>
      <c r="J5" s="98">
        <v>25893980900</v>
      </c>
      <c r="K5" s="98">
        <v>609335367566</v>
      </c>
      <c r="L5" s="99">
        <f>(J5/K5)*100</f>
        <v>4.249545041745062</v>
      </c>
      <c r="M5" s="98">
        <v>37923041752</v>
      </c>
      <c r="N5" s="98">
        <v>970613974191</v>
      </c>
      <c r="O5" s="97">
        <f>(M5/N5)*100</f>
        <v>3.9071188711875484</v>
      </c>
      <c r="P5" s="98">
        <v>20708926770</v>
      </c>
      <c r="Q5" s="98">
        <v>970613974191</v>
      </c>
      <c r="R5" s="99">
        <f>(P5/Q5)*100</f>
        <v>2.1335904201524345</v>
      </c>
      <c r="S5" s="98">
        <v>40085148051</v>
      </c>
      <c r="T5" s="98">
        <v>970613974191</v>
      </c>
      <c r="U5" s="100">
        <f t="shared" ref="U5:U28" si="1">(S5/T5)*100</f>
        <v>4.1298754311064494</v>
      </c>
      <c r="V5" s="98">
        <v>58207219217</v>
      </c>
      <c r="W5" s="98">
        <v>969311259125</v>
      </c>
      <c r="X5" s="97">
        <f t="shared" ref="X5:X28" si="2">(V5/W5)*100</f>
        <v>6.0050080579424838</v>
      </c>
      <c r="Y5" s="98">
        <v>26925343591</v>
      </c>
      <c r="Z5" s="98">
        <v>969311259125</v>
      </c>
      <c r="AA5" s="100">
        <f>(Y5/Z5)*100</f>
        <v>2.7777809591632705</v>
      </c>
      <c r="AB5" s="98">
        <v>44592210130</v>
      </c>
      <c r="AC5" s="98">
        <v>969311259125</v>
      </c>
      <c r="AD5" s="100">
        <f t="shared" ref="AD5:AD28" si="3">(AB5/AC5)*100</f>
        <v>4.6004015439017509</v>
      </c>
      <c r="AE5" s="98" t="s">
        <v>114</v>
      </c>
      <c r="AF5" s="98" t="s">
        <v>115</v>
      </c>
      <c r="AG5" s="97">
        <f>(AE5/AF5)*100</f>
        <v>7.981134772025503</v>
      </c>
      <c r="AH5" s="98">
        <v>17345430988</v>
      </c>
      <c r="AI5" s="98">
        <v>999028616112</v>
      </c>
      <c r="AJ5" s="100">
        <f>(AH5/AI5)*100</f>
        <v>1.7362296443023433</v>
      </c>
      <c r="AK5" s="98">
        <v>46849397145</v>
      </c>
      <c r="AL5" s="98">
        <v>999028616112</v>
      </c>
      <c r="AM5" s="100">
        <f t="shared" ref="AM5:AM28" si="4">(AK5/AL5)*100</f>
        <v>4.689495014399844</v>
      </c>
      <c r="AN5" s="98">
        <v>107669940317</v>
      </c>
      <c r="AO5" s="98">
        <v>989932647333</v>
      </c>
      <c r="AP5" s="97">
        <f t="shared" ref="AP5:AP28" si="5">(AN5/AO5)*100</f>
        <v>10.876491507485486</v>
      </c>
      <c r="AQ5" s="98">
        <v>16152166920</v>
      </c>
      <c r="AR5" s="98">
        <v>989932647333</v>
      </c>
      <c r="AS5" s="100">
        <f>(AQ5/AR5)*100</f>
        <v>1.63164301768569</v>
      </c>
      <c r="AT5" s="98">
        <v>44806512131</v>
      </c>
      <c r="AU5" s="98">
        <v>989932647333</v>
      </c>
      <c r="AV5" s="100">
        <f t="shared" ref="AV5:AV28" si="6">(AT5/AU5)*100</f>
        <v>4.5262182484550078</v>
      </c>
      <c r="AW5" s="98">
        <v>97450030131</v>
      </c>
      <c r="AX5" s="98">
        <v>1208407312280</v>
      </c>
      <c r="AY5" s="97">
        <f t="shared" ref="AY5:AY28" si="7">(AW5/AX5)*100</f>
        <v>8.0643363492341944</v>
      </c>
      <c r="AZ5" s="98">
        <v>14857746884</v>
      </c>
      <c r="BA5" s="98">
        <v>1208407312280</v>
      </c>
      <c r="BB5" s="100">
        <f>(AZ5/BA5)*100</f>
        <v>1.2295313619020298</v>
      </c>
      <c r="BC5" s="98">
        <v>49225784483</v>
      </c>
      <c r="BD5" s="98">
        <v>1208407312280</v>
      </c>
      <c r="BE5" s="99">
        <f t="shared" ref="BE5:BE28" si="8">(BC5/BD5)*100</f>
        <v>4.0736086237447307</v>
      </c>
      <c r="BF5" s="98">
        <v>107197233851</v>
      </c>
      <c r="BG5" s="98">
        <v>1336242979303</v>
      </c>
      <c r="BH5" s="97">
        <f t="shared" ref="BH5:BH28" si="9">(BF5/BG5)*100</f>
        <v>8.0222860296647056</v>
      </c>
      <c r="BI5" s="98">
        <v>23042303094</v>
      </c>
      <c r="BJ5" s="98">
        <v>1336242979303</v>
      </c>
      <c r="BK5" s="100">
        <f t="shared" ref="BK5:BK28" si="10">(BI5/BJ5)*100</f>
        <v>1.7244096658243349</v>
      </c>
      <c r="BL5" s="98">
        <v>50101716388</v>
      </c>
      <c r="BM5" s="98">
        <v>1336242979303</v>
      </c>
      <c r="BN5" s="99">
        <f t="shared" ref="BN5:BN28" si="11">(BL5/BM5)*100</f>
        <v>3.7494465575515048</v>
      </c>
    </row>
    <row r="6" spans="1:66" ht="15.75" customHeight="1" x14ac:dyDescent="0.45">
      <c r="A6" s="54">
        <v>11</v>
      </c>
      <c r="B6" s="55" t="s">
        <v>19</v>
      </c>
      <c r="C6" s="97">
        <v>12.08</v>
      </c>
      <c r="D6" s="98">
        <v>1901988784</v>
      </c>
      <c r="E6" s="98">
        <v>10369604490</v>
      </c>
      <c r="F6" s="97">
        <f t="shared" si="0"/>
        <v>18.341960735669293</v>
      </c>
      <c r="G6" s="98">
        <v>1177836035</v>
      </c>
      <c r="H6" s="98">
        <v>10369604490</v>
      </c>
      <c r="I6" s="99">
        <f t="shared" ref="I6:I28" si="12">(G6/H6)*100</f>
        <v>11.358543482886493</v>
      </c>
      <c r="J6" s="98">
        <v>2109256820</v>
      </c>
      <c r="K6" s="98">
        <v>10369604490</v>
      </c>
      <c r="L6" s="99">
        <f t="shared" ref="L6:L28" si="13">(J6/K6)*100</f>
        <v>20.340764414246237</v>
      </c>
      <c r="M6" s="98">
        <v>1124916113</v>
      </c>
      <c r="N6" s="98">
        <v>13513774921</v>
      </c>
      <c r="O6" s="97">
        <f t="shared" ref="O6:O28" si="14">(M6/N6)*100</f>
        <v>8.3242182112409928</v>
      </c>
      <c r="P6" s="98">
        <v>1223272330</v>
      </c>
      <c r="Q6" s="98">
        <v>13513774921</v>
      </c>
      <c r="R6" s="99">
        <f t="shared" ref="R6:R28" si="15">(P6/Q6)*100</f>
        <v>9.0520401379415567</v>
      </c>
      <c r="S6" s="98">
        <v>4062611327</v>
      </c>
      <c r="T6" s="98">
        <v>13513774921</v>
      </c>
      <c r="U6" s="100">
        <f t="shared" si="1"/>
        <v>30.062742281483644</v>
      </c>
      <c r="V6" s="98">
        <v>2163388709</v>
      </c>
      <c r="W6" s="98">
        <v>24185128575</v>
      </c>
      <c r="X6" s="97">
        <f t="shared" si="2"/>
        <v>8.9451197345970694</v>
      </c>
      <c r="Y6" s="98">
        <v>2080109747</v>
      </c>
      <c r="Z6" s="98">
        <v>24185128575</v>
      </c>
      <c r="AA6" s="100">
        <f t="shared" ref="AA6:AA28" si="16">(Y6/Z6)*100</f>
        <v>8.600780188326949</v>
      </c>
      <c r="AB6" s="98">
        <v>4015864687</v>
      </c>
      <c r="AC6" s="98">
        <v>24185128575</v>
      </c>
      <c r="AD6" s="100">
        <f t="shared" si="3"/>
        <v>16.6046861175308</v>
      </c>
      <c r="AE6" s="98" t="s">
        <v>116</v>
      </c>
      <c r="AF6" s="98" t="s">
        <v>117</v>
      </c>
      <c r="AG6" s="97">
        <f t="shared" ref="AG6:AG28" si="17">(AE6/AF6)*100</f>
        <v>4.9321992269442445</v>
      </c>
      <c r="AH6" s="98">
        <v>1084484927</v>
      </c>
      <c r="AI6" s="98">
        <v>25831324129</v>
      </c>
      <c r="AJ6" s="100">
        <f t="shared" ref="AJ6:AJ28" si="18">(AH6/AI6)*100</f>
        <v>4.1983326970934627</v>
      </c>
      <c r="AK6" s="98">
        <v>4148411421</v>
      </c>
      <c r="AL6" s="98">
        <v>25831324129</v>
      </c>
      <c r="AM6" s="100">
        <f t="shared" si="4"/>
        <v>16.059615838054199</v>
      </c>
      <c r="AN6" s="98">
        <v>1652871956</v>
      </c>
      <c r="AO6" s="98">
        <v>21684837012</v>
      </c>
      <c r="AP6" s="97">
        <f t="shared" si="5"/>
        <v>7.6222475413826274</v>
      </c>
      <c r="AQ6" s="98">
        <v>1474047240</v>
      </c>
      <c r="AR6" s="98">
        <v>21684837012</v>
      </c>
      <c r="AS6" s="100">
        <f t="shared" ref="AS6:AS28" si="19">(AQ6/AR6)*100</f>
        <v>6.7975942783627508</v>
      </c>
      <c r="AT6" s="98">
        <v>3535386231</v>
      </c>
      <c r="AU6" s="98">
        <v>21684837012</v>
      </c>
      <c r="AV6" s="100">
        <f t="shared" si="6"/>
        <v>16.303494598753872</v>
      </c>
      <c r="AW6" s="98">
        <v>2518799119</v>
      </c>
      <c r="AX6" s="98">
        <v>21379769905</v>
      </c>
      <c r="AY6" s="97">
        <f t="shared" si="7"/>
        <v>11.781226506141858</v>
      </c>
      <c r="AZ6" s="98">
        <v>2044228378</v>
      </c>
      <c r="BA6" s="98">
        <v>21379769905</v>
      </c>
      <c r="BB6" s="100">
        <f t="shared" ref="BB6:BB28" si="20">(AZ6/BA6)*100</f>
        <v>9.5615078510359677</v>
      </c>
      <c r="BC6" s="98">
        <v>4778960668</v>
      </c>
      <c r="BD6" s="98">
        <v>21379769905</v>
      </c>
      <c r="BE6" s="99">
        <f t="shared" si="8"/>
        <v>22.352722640304769</v>
      </c>
      <c r="BF6" s="98">
        <v>3085138277</v>
      </c>
      <c r="BG6" s="98">
        <v>21045471624</v>
      </c>
      <c r="BH6" s="97">
        <f t="shared" si="9"/>
        <v>14.65939244374902</v>
      </c>
      <c r="BI6" s="98">
        <v>2020455430</v>
      </c>
      <c r="BJ6" s="98">
        <v>21045471624</v>
      </c>
      <c r="BK6" s="100">
        <f t="shared" si="10"/>
        <v>9.6004283776463204</v>
      </c>
      <c r="BL6" s="98">
        <v>5041462849</v>
      </c>
      <c r="BM6" s="98">
        <v>21045471624</v>
      </c>
      <c r="BN6" s="99">
        <f t="shared" si="11"/>
        <v>23.955095609502887</v>
      </c>
    </row>
    <row r="7" spans="1:66" ht="15.75" customHeight="1" x14ac:dyDescent="0.45">
      <c r="A7" s="54">
        <v>12</v>
      </c>
      <c r="B7" s="55" t="s">
        <v>21</v>
      </c>
      <c r="C7" s="97">
        <v>49.95</v>
      </c>
      <c r="D7" s="98">
        <v>3347864817</v>
      </c>
      <c r="E7" s="98">
        <v>63650305544</v>
      </c>
      <c r="F7" s="97">
        <f t="shared" si="0"/>
        <v>5.2597780770835385</v>
      </c>
      <c r="G7" s="98">
        <v>4718718522</v>
      </c>
      <c r="H7" s="98">
        <v>63650305544</v>
      </c>
      <c r="I7" s="99">
        <f t="shared" si="12"/>
        <v>7.4135049025617921</v>
      </c>
      <c r="J7" s="98">
        <v>6390544321</v>
      </c>
      <c r="K7" s="98">
        <v>63650305544</v>
      </c>
      <c r="L7" s="99">
        <f t="shared" si="13"/>
        <v>10.04008427985057</v>
      </c>
      <c r="M7" s="98">
        <v>4044871217</v>
      </c>
      <c r="N7" s="98">
        <v>60198168732</v>
      </c>
      <c r="O7" s="97">
        <f t="shared" si="14"/>
        <v>6.7192595758313116</v>
      </c>
      <c r="P7" s="98">
        <v>1038636693</v>
      </c>
      <c r="Q7" s="98">
        <v>60198168732</v>
      </c>
      <c r="R7" s="99">
        <f t="shared" si="15"/>
        <v>1.7253626063343752</v>
      </c>
      <c r="S7" s="98">
        <v>9484633110</v>
      </c>
      <c r="T7" s="98">
        <v>60198168732</v>
      </c>
      <c r="U7" s="100">
        <f t="shared" si="1"/>
        <v>15.755683785374325</v>
      </c>
      <c r="V7" s="98">
        <v>2860402804</v>
      </c>
      <c r="W7" s="98">
        <v>125436621902</v>
      </c>
      <c r="X7" s="97">
        <f t="shared" si="2"/>
        <v>2.2803570126711081</v>
      </c>
      <c r="Y7" s="98">
        <v>1954808039</v>
      </c>
      <c r="Z7" s="98">
        <v>125436621902</v>
      </c>
      <c r="AA7" s="100">
        <f t="shared" si="16"/>
        <v>1.5584029682553433</v>
      </c>
      <c r="AB7" s="98">
        <v>7764683947</v>
      </c>
      <c r="AC7" s="98">
        <v>125436621902</v>
      </c>
      <c r="AD7" s="100">
        <f t="shared" si="3"/>
        <v>6.1901252036796102</v>
      </c>
      <c r="AE7" s="98" t="s">
        <v>118</v>
      </c>
      <c r="AF7" s="98" t="s">
        <v>119</v>
      </c>
      <c r="AG7" s="97">
        <f t="shared" si="17"/>
        <v>10.604224529751708</v>
      </c>
      <c r="AH7" s="98">
        <v>519942883</v>
      </c>
      <c r="AI7" s="98">
        <v>72722239079</v>
      </c>
      <c r="AJ7" s="100">
        <f t="shared" si="18"/>
        <v>0.71497094916889581</v>
      </c>
      <c r="AK7" s="98">
        <v>9314334273</v>
      </c>
      <c r="AL7" s="98">
        <v>72722239079</v>
      </c>
      <c r="AM7" s="100">
        <f t="shared" si="4"/>
        <v>12.808096107824188</v>
      </c>
      <c r="AN7" s="98">
        <v>2914987079</v>
      </c>
      <c r="AO7" s="98">
        <v>82072187508</v>
      </c>
      <c r="AP7" s="97">
        <f t="shared" si="5"/>
        <v>3.5517355726821109</v>
      </c>
      <c r="AQ7" s="98">
        <v>446413279</v>
      </c>
      <c r="AR7" s="98">
        <v>82072187508</v>
      </c>
      <c r="AS7" s="100">
        <f t="shared" si="19"/>
        <v>0.5439275990499044</v>
      </c>
      <c r="AT7" s="98">
        <v>9757717390</v>
      </c>
      <c r="AU7" s="98">
        <v>82072187508</v>
      </c>
      <c r="AV7" s="100">
        <f t="shared" si="6"/>
        <v>11.889188879057068</v>
      </c>
      <c r="AW7" s="98">
        <v>3574651443</v>
      </c>
      <c r="AX7" s="98">
        <v>86482830547</v>
      </c>
      <c r="AY7" s="97">
        <f t="shared" si="7"/>
        <v>4.1333654557679154</v>
      </c>
      <c r="AZ7" s="98">
        <v>1542530922</v>
      </c>
      <c r="BA7" s="98">
        <v>86482830547</v>
      </c>
      <c r="BB7" s="100">
        <f t="shared" si="20"/>
        <v>1.7836267756773934</v>
      </c>
      <c r="BC7" s="98">
        <v>10798841250</v>
      </c>
      <c r="BD7" s="98">
        <v>86482830547</v>
      </c>
      <c r="BE7" s="99">
        <f t="shared" si="8"/>
        <v>12.486688030095474</v>
      </c>
      <c r="BF7" s="98">
        <v>6978266005</v>
      </c>
      <c r="BG7" s="98">
        <v>101242863169</v>
      </c>
      <c r="BH7" s="97">
        <f t="shared" si="9"/>
        <v>6.8926004130794931</v>
      </c>
      <c r="BI7" s="98">
        <v>849260187</v>
      </c>
      <c r="BJ7" s="98">
        <v>101242863169</v>
      </c>
      <c r="BK7" s="100">
        <f t="shared" si="10"/>
        <v>0.83883462045356172</v>
      </c>
      <c r="BL7" s="98">
        <v>11676437455</v>
      </c>
      <c r="BM7" s="98">
        <v>101242863169</v>
      </c>
      <c r="BN7" s="99">
        <f t="shared" si="11"/>
        <v>11.533096842104383</v>
      </c>
    </row>
    <row r="8" spans="1:66" ht="15.75" customHeight="1" x14ac:dyDescent="0.45">
      <c r="A8" s="54">
        <v>13</v>
      </c>
      <c r="B8" s="55" t="s">
        <v>24</v>
      </c>
      <c r="C8" s="97">
        <v>40.83</v>
      </c>
      <c r="D8" s="98">
        <v>42190747771</v>
      </c>
      <c r="E8" s="98">
        <v>176698483872</v>
      </c>
      <c r="F8" s="97">
        <f t="shared" si="0"/>
        <v>23.877255110781192</v>
      </c>
      <c r="G8" s="98">
        <v>31494392694</v>
      </c>
      <c r="H8" s="98">
        <v>176698483872</v>
      </c>
      <c r="I8" s="99">
        <f t="shared" si="12"/>
        <v>17.823804711767913</v>
      </c>
      <c r="J8" s="98">
        <v>13438994471</v>
      </c>
      <c r="K8" s="98">
        <v>176698483872</v>
      </c>
      <c r="L8" s="99">
        <f t="shared" si="13"/>
        <v>7.6056082522672792</v>
      </c>
      <c r="M8" s="98">
        <v>35172912207</v>
      </c>
      <c r="N8" s="98">
        <v>125510909356</v>
      </c>
      <c r="O8" s="97">
        <f t="shared" si="14"/>
        <v>28.023788838335406</v>
      </c>
      <c r="P8" s="98">
        <v>16385160414</v>
      </c>
      <c r="Q8" s="98">
        <v>125510909356</v>
      </c>
      <c r="R8" s="99">
        <f t="shared" si="15"/>
        <v>13.054769898547242</v>
      </c>
      <c r="S8" s="98">
        <v>23274320176</v>
      </c>
      <c r="T8" s="98">
        <v>125510909356</v>
      </c>
      <c r="U8" s="100">
        <f t="shared" si="1"/>
        <v>18.543663093049993</v>
      </c>
      <c r="V8" s="98">
        <v>53494257975</v>
      </c>
      <c r="W8" s="98">
        <v>186355514995</v>
      </c>
      <c r="X8" s="97">
        <f t="shared" si="2"/>
        <v>28.705486916464629</v>
      </c>
      <c r="Y8" s="98">
        <v>19820767677</v>
      </c>
      <c r="Z8" s="98">
        <v>186355514995</v>
      </c>
      <c r="AA8" s="100">
        <f t="shared" si="16"/>
        <v>10.635997371761066</v>
      </c>
      <c r="AB8" s="98">
        <v>23730379255</v>
      </c>
      <c r="AC8" s="98">
        <v>186355514995</v>
      </c>
      <c r="AD8" s="100">
        <f t="shared" si="3"/>
        <v>12.733929154517748</v>
      </c>
      <c r="AE8" s="98" t="s">
        <v>120</v>
      </c>
      <c r="AF8" s="98" t="s">
        <v>121</v>
      </c>
      <c r="AG8" s="97">
        <f t="shared" si="17"/>
        <v>22.757642971177837</v>
      </c>
      <c r="AH8" s="98">
        <v>11254705618</v>
      </c>
      <c r="AI8" s="98">
        <v>200702945858</v>
      </c>
      <c r="AJ8" s="100">
        <f t="shared" si="18"/>
        <v>5.6076434602822687</v>
      </c>
      <c r="AK8" s="98">
        <v>24903997963</v>
      </c>
      <c r="AL8" s="98">
        <v>200702945858</v>
      </c>
      <c r="AM8" s="100">
        <f t="shared" si="4"/>
        <v>12.40838686075884</v>
      </c>
      <c r="AN8" s="98">
        <v>52698628141</v>
      </c>
      <c r="AO8" s="98">
        <v>172195280009</v>
      </c>
      <c r="AP8" s="97">
        <f t="shared" si="5"/>
        <v>30.603991083986532</v>
      </c>
      <c r="AQ8" s="98">
        <v>9656902014</v>
      </c>
      <c r="AR8" s="98">
        <v>172195280009</v>
      </c>
      <c r="AS8" s="100">
        <f t="shared" si="19"/>
        <v>5.6081107528006982</v>
      </c>
      <c r="AT8" s="98">
        <v>19182509714</v>
      </c>
      <c r="AU8" s="98">
        <v>172195280009</v>
      </c>
      <c r="AV8" s="100">
        <f t="shared" si="6"/>
        <v>11.139974169441464</v>
      </c>
      <c r="AW8" s="98">
        <v>30444109540</v>
      </c>
      <c r="AX8" s="98">
        <v>146096909479</v>
      </c>
      <c r="AY8" s="97">
        <f t="shared" si="7"/>
        <v>20.838298119082417</v>
      </c>
      <c r="AZ8" s="98">
        <v>5609559058</v>
      </c>
      <c r="BA8" s="98">
        <v>146096909479</v>
      </c>
      <c r="BB8" s="100">
        <f t="shared" si="20"/>
        <v>3.8396151417606266</v>
      </c>
      <c r="BC8" s="98">
        <v>16198007172</v>
      </c>
      <c r="BD8" s="98">
        <v>146096909479</v>
      </c>
      <c r="BE8" s="99">
        <f t="shared" si="8"/>
        <v>11.087166203422191</v>
      </c>
      <c r="BF8" s="98">
        <v>46916141972</v>
      </c>
      <c r="BG8" s="98">
        <v>134810164401</v>
      </c>
      <c r="BH8" s="97">
        <f t="shared" si="9"/>
        <v>34.801635455651137</v>
      </c>
      <c r="BI8" s="98">
        <v>11246193869</v>
      </c>
      <c r="BJ8" s="98">
        <v>134810164401</v>
      </c>
      <c r="BK8" s="100">
        <f t="shared" si="10"/>
        <v>8.3422447550376084</v>
      </c>
      <c r="BL8" s="98">
        <v>18470587673</v>
      </c>
      <c r="BM8" s="98">
        <v>134810164401</v>
      </c>
      <c r="BN8" s="99">
        <f t="shared" si="11"/>
        <v>13.701183256522301</v>
      </c>
    </row>
    <row r="9" spans="1:66" ht="15.75" customHeight="1" x14ac:dyDescent="0.45">
      <c r="A9" s="54">
        <v>14</v>
      </c>
      <c r="B9" s="55" t="s">
        <v>26</v>
      </c>
      <c r="C9" s="97">
        <v>62.03</v>
      </c>
      <c r="D9" s="98">
        <v>27823551539</v>
      </c>
      <c r="E9" s="98">
        <v>68905833186</v>
      </c>
      <c r="F9" s="97">
        <f t="shared" si="0"/>
        <v>40.379094559229671</v>
      </c>
      <c r="G9" s="98">
        <v>7442305193</v>
      </c>
      <c r="H9" s="98">
        <v>68905833186</v>
      </c>
      <c r="I9" s="99">
        <f t="shared" si="12"/>
        <v>10.800689649758269</v>
      </c>
      <c r="J9" s="98">
        <v>16775653984</v>
      </c>
      <c r="K9" s="98">
        <v>68905833186</v>
      </c>
      <c r="L9" s="99">
        <f t="shared" si="13"/>
        <v>24.345767561821468</v>
      </c>
      <c r="M9" s="98">
        <v>22046605095</v>
      </c>
      <c r="N9" s="98">
        <v>38923376524</v>
      </c>
      <c r="O9" s="97">
        <f t="shared" si="14"/>
        <v>56.641039559880291</v>
      </c>
      <c r="P9" s="98">
        <v>3266433732</v>
      </c>
      <c r="Q9" s="98">
        <v>38923376524</v>
      </c>
      <c r="R9" s="99">
        <f t="shared" si="15"/>
        <v>8.3919588270712584</v>
      </c>
      <c r="S9" s="98">
        <v>31469298803</v>
      </c>
      <c r="T9" s="98">
        <v>38923376524</v>
      </c>
      <c r="U9" s="100">
        <f t="shared" si="1"/>
        <v>80.849354843601901</v>
      </c>
      <c r="V9" s="98">
        <v>35130811600</v>
      </c>
      <c r="W9" s="98">
        <v>62272510589</v>
      </c>
      <c r="X9" s="97">
        <f t="shared" si="2"/>
        <v>56.414638285365051</v>
      </c>
      <c r="Y9" s="98">
        <v>2661707216</v>
      </c>
      <c r="Z9" s="98">
        <v>62272510589</v>
      </c>
      <c r="AA9" s="100">
        <f t="shared" si="16"/>
        <v>4.2742892342454741</v>
      </c>
      <c r="AB9" s="98">
        <v>30360512177</v>
      </c>
      <c r="AC9" s="98">
        <v>62272510589</v>
      </c>
      <c r="AD9" s="100">
        <f t="shared" si="3"/>
        <v>48.754276790573101</v>
      </c>
      <c r="AE9" s="98" t="s">
        <v>122</v>
      </c>
      <c r="AF9" s="98" t="s">
        <v>123</v>
      </c>
      <c r="AG9" s="97">
        <f t="shared" si="17"/>
        <v>44.477050803254805</v>
      </c>
      <c r="AH9" s="98">
        <v>2895310659</v>
      </c>
      <c r="AI9" s="98">
        <v>94057832436</v>
      </c>
      <c r="AJ9" s="100">
        <f t="shared" si="18"/>
        <v>3.0782238799411661</v>
      </c>
      <c r="AK9" s="98">
        <v>31688674256</v>
      </c>
      <c r="AL9" s="98">
        <v>94057832436</v>
      </c>
      <c r="AM9" s="100">
        <f t="shared" si="4"/>
        <v>33.690627814075988</v>
      </c>
      <c r="AN9" s="98">
        <v>39945142215</v>
      </c>
      <c r="AO9" s="98">
        <v>72146261656</v>
      </c>
      <c r="AP9" s="97">
        <f t="shared" si="5"/>
        <v>55.366891226411852</v>
      </c>
      <c r="AQ9" s="98">
        <v>3971000914</v>
      </c>
      <c r="AR9" s="98">
        <v>72146261656</v>
      </c>
      <c r="AS9" s="100">
        <f t="shared" si="19"/>
        <v>5.504097957194368</v>
      </c>
      <c r="AT9" s="98">
        <v>26493526111</v>
      </c>
      <c r="AU9" s="98">
        <v>72146261656</v>
      </c>
      <c r="AV9" s="100">
        <f t="shared" si="6"/>
        <v>36.721966603513792</v>
      </c>
      <c r="AW9" s="98">
        <v>96782344076</v>
      </c>
      <c r="AX9" s="98">
        <v>123453937801</v>
      </c>
      <c r="AY9" s="97">
        <f t="shared" si="7"/>
        <v>78.395509936675381</v>
      </c>
      <c r="AZ9" s="98">
        <v>3503170512</v>
      </c>
      <c r="BA9" s="98">
        <v>123453937801</v>
      </c>
      <c r="BB9" s="100">
        <f t="shared" si="20"/>
        <v>2.8376336748746653</v>
      </c>
      <c r="BC9" s="98">
        <v>27480305411</v>
      </c>
      <c r="BD9" s="98">
        <v>123453937801</v>
      </c>
      <c r="BE9" s="99">
        <f t="shared" si="8"/>
        <v>22.259561663635651</v>
      </c>
      <c r="BF9" s="98">
        <v>78994861330</v>
      </c>
      <c r="BG9" s="98">
        <v>111499255878</v>
      </c>
      <c r="BH9" s="97">
        <f t="shared" si="9"/>
        <v>70.847882084912214</v>
      </c>
      <c r="BI9" s="98">
        <v>4520799735</v>
      </c>
      <c r="BJ9" s="98">
        <v>111499255878</v>
      </c>
      <c r="BK9" s="100">
        <f t="shared" si="10"/>
        <v>4.0545559693658921</v>
      </c>
      <c r="BL9" s="98">
        <v>34095919555</v>
      </c>
      <c r="BM9" s="98">
        <v>111499255878</v>
      </c>
      <c r="BN9" s="99">
        <f t="shared" si="11"/>
        <v>30.579504128984496</v>
      </c>
    </row>
    <row r="10" spans="1:66" ht="15.75" customHeight="1" x14ac:dyDescent="0.45">
      <c r="A10" s="54">
        <v>17</v>
      </c>
      <c r="B10" s="55" t="s">
        <v>82</v>
      </c>
      <c r="C10" s="97">
        <v>43.65</v>
      </c>
      <c r="D10" s="98">
        <v>5271909752</v>
      </c>
      <c r="E10" s="98">
        <v>19291362686</v>
      </c>
      <c r="F10" s="97">
        <f t="shared" si="0"/>
        <v>27.327824570038771</v>
      </c>
      <c r="G10" s="98">
        <v>2168364179</v>
      </c>
      <c r="H10" s="98">
        <v>19291362686</v>
      </c>
      <c r="I10" s="99">
        <f t="shared" si="12"/>
        <v>11.240077822877753</v>
      </c>
      <c r="J10" s="98">
        <v>6276885092</v>
      </c>
      <c r="K10" s="98">
        <v>19291362686</v>
      </c>
      <c r="L10" s="99">
        <f t="shared" si="13"/>
        <v>32.537282068493894</v>
      </c>
      <c r="M10" s="98">
        <v>14898068620</v>
      </c>
      <c r="N10" s="98">
        <v>45135385140</v>
      </c>
      <c r="O10" s="97">
        <f t="shared" si="14"/>
        <v>33.007514112906051</v>
      </c>
      <c r="P10" s="98">
        <v>2218624184</v>
      </c>
      <c r="Q10" s="98">
        <v>45135385140</v>
      </c>
      <c r="R10" s="99">
        <f t="shared" si="15"/>
        <v>4.9154874321296198</v>
      </c>
      <c r="S10" s="98">
        <v>17436654368</v>
      </c>
      <c r="T10" s="98">
        <v>45135385140</v>
      </c>
      <c r="U10" s="100">
        <f t="shared" si="1"/>
        <v>38.631894496779736</v>
      </c>
      <c r="V10" s="98">
        <v>22597399231</v>
      </c>
      <c r="W10" s="98">
        <v>62479497910</v>
      </c>
      <c r="X10" s="97">
        <f t="shared" si="2"/>
        <v>36.167702985627272</v>
      </c>
      <c r="Y10" s="98">
        <v>6550116860</v>
      </c>
      <c r="Z10" s="98">
        <v>62479497910</v>
      </c>
      <c r="AA10" s="100">
        <f t="shared" si="16"/>
        <v>10.483625955885982</v>
      </c>
      <c r="AB10" s="98">
        <v>16529659687</v>
      </c>
      <c r="AC10" s="98">
        <v>62479497910</v>
      </c>
      <c r="AD10" s="100">
        <f t="shared" si="3"/>
        <v>26.456133995843757</v>
      </c>
      <c r="AE10" s="98" t="s">
        <v>124</v>
      </c>
      <c r="AF10" s="98" t="s">
        <v>125</v>
      </c>
      <c r="AG10" s="97">
        <f t="shared" si="17"/>
        <v>41.880489199091272</v>
      </c>
      <c r="AH10" s="98">
        <v>9690422423</v>
      </c>
      <c r="AI10" s="98">
        <v>33706358851</v>
      </c>
      <c r="AJ10" s="100">
        <f t="shared" si="18"/>
        <v>28.749537930919239</v>
      </c>
      <c r="AK10" s="98">
        <v>17887443277</v>
      </c>
      <c r="AL10" s="98">
        <v>33706358851</v>
      </c>
      <c r="AM10" s="100">
        <f t="shared" si="4"/>
        <v>53.068453214041881</v>
      </c>
      <c r="AN10" s="98">
        <v>19639881463</v>
      </c>
      <c r="AO10" s="98">
        <v>44989759308</v>
      </c>
      <c r="AP10" s="97">
        <f t="shared" si="5"/>
        <v>43.654115436682659</v>
      </c>
      <c r="AQ10" s="98">
        <v>1326130389</v>
      </c>
      <c r="AR10" s="98">
        <v>44989759308</v>
      </c>
      <c r="AS10" s="100">
        <f t="shared" si="19"/>
        <v>2.9476272142762716</v>
      </c>
      <c r="AT10" s="98">
        <v>18615197029</v>
      </c>
      <c r="AU10" s="98">
        <v>44989759308</v>
      </c>
      <c r="AV10" s="100">
        <f t="shared" si="6"/>
        <v>41.376520602300445</v>
      </c>
      <c r="AW10" s="98">
        <v>44522900685</v>
      </c>
      <c r="AX10" s="98">
        <v>85904995039</v>
      </c>
      <c r="AY10" s="97">
        <f t="shared" si="7"/>
        <v>51.828069677190548</v>
      </c>
      <c r="AZ10" s="98">
        <v>750747107</v>
      </c>
      <c r="BA10" s="98">
        <v>85904995039</v>
      </c>
      <c r="BB10" s="100">
        <f t="shared" si="20"/>
        <v>0.87392718742276676</v>
      </c>
      <c r="BC10" s="98">
        <v>24340707012</v>
      </c>
      <c r="BD10" s="98">
        <v>85904995039</v>
      </c>
      <c r="BE10" s="99">
        <f t="shared" si="8"/>
        <v>28.334449004914745</v>
      </c>
      <c r="BF10" s="98">
        <v>29062702170</v>
      </c>
      <c r="BG10" s="98">
        <v>83311090422</v>
      </c>
      <c r="BH10" s="97">
        <f t="shared" si="9"/>
        <v>34.884553812448239</v>
      </c>
      <c r="BI10" s="98">
        <v>1868834910</v>
      </c>
      <c r="BJ10" s="98">
        <v>83311090422</v>
      </c>
      <c r="BK10" s="100">
        <f t="shared" si="10"/>
        <v>2.2432006357541274</v>
      </c>
      <c r="BL10" s="98">
        <v>28483216145</v>
      </c>
      <c r="BM10" s="98">
        <v>83311090422</v>
      </c>
      <c r="BN10" s="99">
        <f t="shared" si="11"/>
        <v>34.188984924723087</v>
      </c>
    </row>
    <row r="11" spans="1:66" ht="15.75" customHeight="1" x14ac:dyDescent="0.45">
      <c r="A11" s="54">
        <v>16</v>
      </c>
      <c r="B11" s="55" t="s">
        <v>83</v>
      </c>
      <c r="C11" s="97">
        <v>69.819999999999993</v>
      </c>
      <c r="D11" s="98">
        <v>1805316173</v>
      </c>
      <c r="E11" s="98">
        <v>26168751563</v>
      </c>
      <c r="F11" s="97">
        <f t="shared" si="0"/>
        <v>6.8987478009938261</v>
      </c>
      <c r="G11" s="98">
        <v>2389417584</v>
      </c>
      <c r="H11" s="98">
        <v>26168751563</v>
      </c>
      <c r="I11" s="99">
        <f t="shared" si="12"/>
        <v>9.1308046478548768</v>
      </c>
      <c r="J11" s="98">
        <v>6922174185</v>
      </c>
      <c r="K11" s="98">
        <v>26168751563</v>
      </c>
      <c r="L11" s="99">
        <f t="shared" si="13"/>
        <v>26.452061223995351</v>
      </c>
      <c r="M11" s="98">
        <v>3190894024</v>
      </c>
      <c r="N11" s="98">
        <v>50340424570</v>
      </c>
      <c r="O11" s="97">
        <f t="shared" si="14"/>
        <v>6.3386315297419822</v>
      </c>
      <c r="P11" s="98">
        <v>4899507625</v>
      </c>
      <c r="Q11" s="98">
        <v>50340424570</v>
      </c>
      <c r="R11" s="99">
        <f t="shared" si="15"/>
        <v>9.7327499059668732</v>
      </c>
      <c r="S11" s="98">
        <v>11380024997</v>
      </c>
      <c r="T11" s="98">
        <v>50340424570</v>
      </c>
      <c r="U11" s="100">
        <f t="shared" si="1"/>
        <v>22.606136309350557</v>
      </c>
      <c r="V11" s="98">
        <v>3039748462</v>
      </c>
      <c r="W11" s="98">
        <v>58147193091</v>
      </c>
      <c r="X11" s="97">
        <f t="shared" si="2"/>
        <v>5.2276787587026128</v>
      </c>
      <c r="Y11" s="98">
        <v>3152483980</v>
      </c>
      <c r="Z11" s="98">
        <v>58147193091</v>
      </c>
      <c r="AA11" s="100">
        <f t="shared" si="16"/>
        <v>5.4215583116219932</v>
      </c>
      <c r="AB11" s="98">
        <v>9786654918</v>
      </c>
      <c r="AC11" s="98">
        <v>58147193091</v>
      </c>
      <c r="AD11" s="100">
        <f t="shared" si="3"/>
        <v>16.830829482489285</v>
      </c>
      <c r="AE11" s="98" t="s">
        <v>126</v>
      </c>
      <c r="AF11" s="98" t="s">
        <v>127</v>
      </c>
      <c r="AG11" s="97">
        <f t="shared" si="17"/>
        <v>4.7081499844801034</v>
      </c>
      <c r="AH11" s="98">
        <v>2895407194</v>
      </c>
      <c r="AI11" s="98">
        <v>44523382282</v>
      </c>
      <c r="AJ11" s="100">
        <f t="shared" si="18"/>
        <v>6.5031159934373655</v>
      </c>
      <c r="AK11" s="98">
        <v>10062621698</v>
      </c>
      <c r="AL11" s="98">
        <v>44523382282</v>
      </c>
      <c r="AM11" s="100">
        <f t="shared" si="4"/>
        <v>22.60075758455605</v>
      </c>
      <c r="AN11" s="98">
        <v>1977861871</v>
      </c>
      <c r="AO11" s="98">
        <v>40183723709</v>
      </c>
      <c r="AP11" s="97">
        <f t="shared" si="5"/>
        <v>4.9220472580469581</v>
      </c>
      <c r="AQ11" s="98">
        <v>1754651344</v>
      </c>
      <c r="AR11" s="98">
        <v>40183723709</v>
      </c>
      <c r="AS11" s="100">
        <f t="shared" si="19"/>
        <v>4.3665722885880989</v>
      </c>
      <c r="AT11" s="98">
        <v>9024322040</v>
      </c>
      <c r="AU11" s="98">
        <v>40183723709</v>
      </c>
      <c r="AV11" s="100">
        <f t="shared" si="6"/>
        <v>22.457655008161453</v>
      </c>
      <c r="AW11" s="98">
        <v>1803103409</v>
      </c>
      <c r="AX11" s="98">
        <v>39090409192</v>
      </c>
      <c r="AY11" s="97">
        <f t="shared" si="7"/>
        <v>4.6126491031181427</v>
      </c>
      <c r="AZ11" s="98">
        <v>2024079963</v>
      </c>
      <c r="BA11" s="98">
        <v>39090409192</v>
      </c>
      <c r="BB11" s="100">
        <f t="shared" si="20"/>
        <v>5.1779451912573879</v>
      </c>
      <c r="BC11" s="98">
        <v>10062438512</v>
      </c>
      <c r="BD11" s="98">
        <v>39090409192</v>
      </c>
      <c r="BE11" s="99">
        <f t="shared" si="8"/>
        <v>25.741450959432054</v>
      </c>
      <c r="BF11" s="98">
        <v>2354892702</v>
      </c>
      <c r="BG11" s="98">
        <v>36520781676</v>
      </c>
      <c r="BH11" s="97">
        <f t="shared" si="9"/>
        <v>6.4480895367788404</v>
      </c>
      <c r="BI11" s="98">
        <v>2610949718</v>
      </c>
      <c r="BJ11" s="98">
        <v>36520781676</v>
      </c>
      <c r="BK11" s="100">
        <f t="shared" si="10"/>
        <v>7.1492164137215388</v>
      </c>
      <c r="BL11" s="98">
        <v>9499387842</v>
      </c>
      <c r="BM11" s="98">
        <v>36520781676</v>
      </c>
      <c r="BN11" s="99">
        <f t="shared" si="11"/>
        <v>26.010910517401708</v>
      </c>
    </row>
    <row r="12" spans="1:66" ht="15.75" customHeight="1" x14ac:dyDescent="0.45">
      <c r="A12" s="54">
        <v>17</v>
      </c>
      <c r="B12" s="55" t="s">
        <v>30</v>
      </c>
      <c r="C12" s="97">
        <v>26.22</v>
      </c>
      <c r="D12" s="98">
        <v>11490049958</v>
      </c>
      <c r="E12" s="98">
        <v>77908130744</v>
      </c>
      <c r="F12" s="97">
        <f t="shared" si="0"/>
        <v>14.748203875864254</v>
      </c>
      <c r="G12" s="98">
        <v>12137230717</v>
      </c>
      <c r="H12" s="98">
        <v>77908130744</v>
      </c>
      <c r="I12" s="99">
        <f t="shared" si="12"/>
        <v>15.578901202086323</v>
      </c>
      <c r="J12" s="98">
        <v>6179589162</v>
      </c>
      <c r="K12" s="98">
        <v>77908130744</v>
      </c>
      <c r="L12" s="99">
        <f t="shared" si="13"/>
        <v>7.9318924776999786</v>
      </c>
      <c r="M12" s="98">
        <v>7596903519</v>
      </c>
      <c r="N12" s="98">
        <v>62237992663</v>
      </c>
      <c r="O12" s="97">
        <f t="shared" si="14"/>
        <v>12.206215518766722</v>
      </c>
      <c r="P12" s="98">
        <v>8625821665</v>
      </c>
      <c r="Q12" s="98">
        <v>62237992663</v>
      </c>
      <c r="R12" s="99">
        <f t="shared" si="15"/>
        <v>13.859414958490431</v>
      </c>
      <c r="S12" s="98">
        <v>11113748890</v>
      </c>
      <c r="T12" s="98">
        <v>62237992663</v>
      </c>
      <c r="U12" s="100">
        <f t="shared" si="1"/>
        <v>17.856856261701122</v>
      </c>
      <c r="V12" s="98">
        <v>7868743129</v>
      </c>
      <c r="W12" s="98">
        <v>85346266442</v>
      </c>
      <c r="X12" s="97">
        <f t="shared" si="2"/>
        <v>9.2197860047544982</v>
      </c>
      <c r="Y12" s="98">
        <v>10948469269</v>
      </c>
      <c r="Z12" s="98">
        <v>85346266442</v>
      </c>
      <c r="AA12" s="100">
        <f t="shared" si="16"/>
        <v>12.828293170200258</v>
      </c>
      <c r="AB12" s="98">
        <v>9438364872</v>
      </c>
      <c r="AC12" s="98">
        <v>85346266442</v>
      </c>
      <c r="AD12" s="100">
        <f t="shared" si="3"/>
        <v>11.058907747785508</v>
      </c>
      <c r="AE12" s="98" t="s">
        <v>128</v>
      </c>
      <c r="AF12" s="98" t="s">
        <v>129</v>
      </c>
      <c r="AG12" s="97">
        <f t="shared" si="17"/>
        <v>11.282842148129197</v>
      </c>
      <c r="AH12" s="98">
        <v>4126842703</v>
      </c>
      <c r="AI12" s="98">
        <v>141001576900</v>
      </c>
      <c r="AJ12" s="100">
        <f t="shared" si="18"/>
        <v>2.9268060639682107</v>
      </c>
      <c r="AK12" s="98">
        <v>9996353898</v>
      </c>
      <c r="AL12" s="98">
        <v>141001576900</v>
      </c>
      <c r="AM12" s="100">
        <f t="shared" si="4"/>
        <v>7.0895334064877398</v>
      </c>
      <c r="AN12" s="98">
        <v>16185710273</v>
      </c>
      <c r="AO12" s="98">
        <v>109371923119</v>
      </c>
      <c r="AP12" s="97">
        <f t="shared" si="5"/>
        <v>14.798779989805475</v>
      </c>
      <c r="AQ12" s="98">
        <v>10855328977</v>
      </c>
      <c r="AR12" s="98">
        <v>109371923119</v>
      </c>
      <c r="AS12" s="100">
        <f t="shared" si="19"/>
        <v>9.9251514167754635</v>
      </c>
      <c r="AT12" s="98">
        <v>8605683715</v>
      </c>
      <c r="AU12" s="98">
        <v>109371923119</v>
      </c>
      <c r="AV12" s="100">
        <f t="shared" si="6"/>
        <v>7.8682750285342911</v>
      </c>
      <c r="AW12" s="98">
        <v>15729019504</v>
      </c>
      <c r="AX12" s="98">
        <v>127183505643</v>
      </c>
      <c r="AY12" s="97">
        <f t="shared" si="7"/>
        <v>12.367185056331794</v>
      </c>
      <c r="AZ12" s="98">
        <v>5793540148</v>
      </c>
      <c r="BA12" s="98">
        <v>127183505643</v>
      </c>
      <c r="BB12" s="100">
        <f t="shared" si="20"/>
        <v>4.5552606202429109</v>
      </c>
      <c r="BC12" s="98">
        <v>12881537539</v>
      </c>
      <c r="BD12" s="98">
        <v>127183505643</v>
      </c>
      <c r="BE12" s="99">
        <f t="shared" si="8"/>
        <v>10.128308284847927</v>
      </c>
      <c r="BF12" s="98">
        <v>17723844796</v>
      </c>
      <c r="BG12" s="98">
        <v>140217073693</v>
      </c>
      <c r="BH12" s="97">
        <f t="shared" si="9"/>
        <v>12.640290036865048</v>
      </c>
      <c r="BI12" s="98">
        <v>9793538478</v>
      </c>
      <c r="BJ12" s="98">
        <v>140217073693</v>
      </c>
      <c r="BK12" s="100">
        <f t="shared" si="10"/>
        <v>6.9845548905424906</v>
      </c>
      <c r="BL12" s="98">
        <v>13287518873</v>
      </c>
      <c r="BM12" s="98">
        <v>140217073693</v>
      </c>
      <c r="BN12" s="99">
        <f t="shared" si="11"/>
        <v>9.476391514269169</v>
      </c>
    </row>
    <row r="13" spans="1:66" ht="15.75" customHeight="1" x14ac:dyDescent="0.45">
      <c r="A13" s="54">
        <v>18</v>
      </c>
      <c r="B13" s="55" t="s">
        <v>31</v>
      </c>
      <c r="C13" s="97">
        <v>22.25</v>
      </c>
      <c r="D13" s="98">
        <v>1285008755</v>
      </c>
      <c r="E13" s="98">
        <v>17941712752</v>
      </c>
      <c r="F13" s="97">
        <f t="shared" si="0"/>
        <v>7.1621297964251349</v>
      </c>
      <c r="G13" s="98">
        <v>1827350553</v>
      </c>
      <c r="H13" s="98">
        <v>17941712752</v>
      </c>
      <c r="I13" s="99">
        <f t="shared" si="12"/>
        <v>10.184928151836013</v>
      </c>
      <c r="J13" s="98">
        <v>2921366461</v>
      </c>
      <c r="K13" s="98">
        <v>17941712752</v>
      </c>
      <c r="L13" s="99">
        <f t="shared" si="13"/>
        <v>16.282539473130004</v>
      </c>
      <c r="M13" s="98">
        <v>777221601</v>
      </c>
      <c r="N13" s="98">
        <v>13879946491</v>
      </c>
      <c r="O13" s="97">
        <f t="shared" si="14"/>
        <v>5.5996008450318167</v>
      </c>
      <c r="P13" s="98">
        <v>1079627023</v>
      </c>
      <c r="Q13" s="98">
        <v>13879946491</v>
      </c>
      <c r="R13" s="99">
        <f t="shared" si="15"/>
        <v>7.7783226592411507</v>
      </c>
      <c r="S13" s="98">
        <v>8937060595</v>
      </c>
      <c r="T13" s="98">
        <v>13879946491</v>
      </c>
      <c r="U13" s="100">
        <f t="shared" si="1"/>
        <v>64.388292856856083</v>
      </c>
      <c r="V13" s="98">
        <v>1717392387</v>
      </c>
      <c r="W13" s="98">
        <v>23576492335</v>
      </c>
      <c r="X13" s="97">
        <f t="shared" si="2"/>
        <v>7.2843422278320862</v>
      </c>
      <c r="Y13" s="98">
        <v>1138224097</v>
      </c>
      <c r="Z13" s="98">
        <v>23576492335</v>
      </c>
      <c r="AA13" s="100">
        <f t="shared" si="16"/>
        <v>4.827792365492269</v>
      </c>
      <c r="AB13" s="98">
        <v>3119782668</v>
      </c>
      <c r="AC13" s="98">
        <v>23576492335</v>
      </c>
      <c r="AD13" s="100">
        <f t="shared" si="3"/>
        <v>13.232598911113636</v>
      </c>
      <c r="AE13" s="98" t="s">
        <v>130</v>
      </c>
      <c r="AF13" s="98" t="s">
        <v>131</v>
      </c>
      <c r="AG13" s="97">
        <f t="shared" si="17"/>
        <v>11.476961010093561</v>
      </c>
      <c r="AH13" s="98">
        <v>569535809</v>
      </c>
      <c r="AI13" s="98">
        <v>32776666059</v>
      </c>
      <c r="AJ13" s="100">
        <f t="shared" si="18"/>
        <v>1.7376258096988899</v>
      </c>
      <c r="AK13" s="98">
        <v>4019006393</v>
      </c>
      <c r="AL13" s="98">
        <v>32776666059</v>
      </c>
      <c r="AM13" s="100">
        <f t="shared" si="4"/>
        <v>12.261791317535295</v>
      </c>
      <c r="AN13" s="98">
        <v>6011587603</v>
      </c>
      <c r="AO13" s="98">
        <v>25802739919</v>
      </c>
      <c r="AP13" s="97">
        <f t="shared" si="5"/>
        <v>23.298252905976593</v>
      </c>
      <c r="AQ13" s="98">
        <v>405694143</v>
      </c>
      <c r="AR13" s="98">
        <v>25802739919</v>
      </c>
      <c r="AS13" s="100">
        <f t="shared" si="19"/>
        <v>1.572290943805021</v>
      </c>
      <c r="AT13" s="98">
        <v>3466754694</v>
      </c>
      <c r="AU13" s="98">
        <v>25802739919</v>
      </c>
      <c r="AV13" s="100">
        <f t="shared" si="6"/>
        <v>13.435606857577302</v>
      </c>
      <c r="AW13" s="98">
        <v>967592073</v>
      </c>
      <c r="AX13" s="98">
        <v>14369316239</v>
      </c>
      <c r="AY13" s="97">
        <f t="shared" si="7"/>
        <v>6.7337377569424097</v>
      </c>
      <c r="AZ13" s="98">
        <v>265710054</v>
      </c>
      <c r="BA13" s="98">
        <v>14369316239</v>
      </c>
      <c r="BB13" s="100">
        <f t="shared" si="20"/>
        <v>1.8491489057693082</v>
      </c>
      <c r="BC13" s="98">
        <v>3642164724</v>
      </c>
      <c r="BD13" s="98">
        <v>14369316239</v>
      </c>
      <c r="BE13" s="99">
        <f t="shared" si="8"/>
        <v>25.34682001162129</v>
      </c>
      <c r="BF13" s="98">
        <v>1492578830</v>
      </c>
      <c r="BG13" s="98">
        <v>14483552618</v>
      </c>
      <c r="BH13" s="97">
        <f t="shared" si="9"/>
        <v>10.305336469348269</v>
      </c>
      <c r="BI13" s="98">
        <v>446407753</v>
      </c>
      <c r="BJ13" s="98">
        <v>14483552618</v>
      </c>
      <c r="BK13" s="100">
        <f t="shared" si="10"/>
        <v>3.0821702711612988</v>
      </c>
      <c r="BL13" s="98">
        <v>3962681575</v>
      </c>
      <c r="BM13" s="98">
        <v>14483552618</v>
      </c>
      <c r="BN13" s="99">
        <f t="shared" si="11"/>
        <v>27.359872812387366</v>
      </c>
    </row>
    <row r="14" spans="1:66" ht="15.75" customHeight="1" x14ac:dyDescent="0.45">
      <c r="A14" s="54">
        <v>19</v>
      </c>
      <c r="B14" s="55" t="s">
        <v>32</v>
      </c>
      <c r="C14" s="97">
        <v>38.049999999999997</v>
      </c>
      <c r="D14" s="98">
        <v>289975043</v>
      </c>
      <c r="E14" s="98">
        <v>2419126048</v>
      </c>
      <c r="F14" s="97">
        <f t="shared" si="0"/>
        <v>11.986768661340957</v>
      </c>
      <c r="G14" s="98">
        <v>602955813</v>
      </c>
      <c r="H14" s="98">
        <v>2419126048</v>
      </c>
      <c r="I14" s="99">
        <f t="shared" si="12"/>
        <v>24.924530637768569</v>
      </c>
      <c r="J14" s="98">
        <v>336034994</v>
      </c>
      <c r="K14" s="98">
        <v>2419126048</v>
      </c>
      <c r="L14" s="99">
        <f t="shared" si="13"/>
        <v>13.890760023762102</v>
      </c>
      <c r="M14" s="98">
        <v>7186651363</v>
      </c>
      <c r="N14" s="98">
        <v>35135836134</v>
      </c>
      <c r="O14" s="97">
        <f t="shared" si="14"/>
        <v>20.453907331511235</v>
      </c>
      <c r="P14" s="98">
        <v>1295724119</v>
      </c>
      <c r="Q14" s="98">
        <v>35135836134</v>
      </c>
      <c r="R14" s="99">
        <f t="shared" si="15"/>
        <v>3.6877566085474842</v>
      </c>
      <c r="S14" s="98">
        <v>1855763846</v>
      </c>
      <c r="T14" s="98">
        <v>35135836134</v>
      </c>
      <c r="U14" s="100">
        <f t="shared" si="1"/>
        <v>5.2816840302947208</v>
      </c>
      <c r="V14" s="98">
        <v>62416036113</v>
      </c>
      <c r="W14" s="98">
        <v>214427916528</v>
      </c>
      <c r="X14" s="97">
        <f t="shared" si="2"/>
        <v>29.108167035167604</v>
      </c>
      <c r="Y14" s="98">
        <v>412323772</v>
      </c>
      <c r="Z14" s="98">
        <v>214427916528</v>
      </c>
      <c r="AA14" s="100">
        <f t="shared" si="16"/>
        <v>0.19229015450801099</v>
      </c>
      <c r="AB14" s="98">
        <v>2480963339</v>
      </c>
      <c r="AC14" s="98">
        <v>214427916528</v>
      </c>
      <c r="AD14" s="100">
        <f t="shared" si="3"/>
        <v>1.1570150842164415</v>
      </c>
      <c r="AE14" s="98" t="s">
        <v>132</v>
      </c>
      <c r="AF14" s="98" t="s">
        <v>133</v>
      </c>
      <c r="AG14" s="97">
        <f t="shared" si="17"/>
        <v>23.010713022049025</v>
      </c>
      <c r="AH14" s="98">
        <v>1098711667</v>
      </c>
      <c r="AI14" s="98">
        <v>174299379900</v>
      </c>
      <c r="AJ14" s="100">
        <f t="shared" si="18"/>
        <v>0.63035890754766821</v>
      </c>
      <c r="AK14" s="98">
        <v>1480730153</v>
      </c>
      <c r="AL14" s="98">
        <v>174299379900</v>
      </c>
      <c r="AM14" s="100">
        <f t="shared" si="4"/>
        <v>0.84953265688583213</v>
      </c>
      <c r="AN14" s="98">
        <v>38239629656</v>
      </c>
      <c r="AO14" s="98">
        <v>164432696705</v>
      </c>
      <c r="AP14" s="97">
        <f t="shared" si="5"/>
        <v>23.255490192807393</v>
      </c>
      <c r="AQ14" s="98">
        <v>6480603672</v>
      </c>
      <c r="AR14" s="98">
        <v>164432696705</v>
      </c>
      <c r="AS14" s="100">
        <f t="shared" si="19"/>
        <v>3.9411891928200311</v>
      </c>
      <c r="AT14" s="98">
        <v>3832943139</v>
      </c>
      <c r="AU14" s="98">
        <v>164432696705</v>
      </c>
      <c r="AV14" s="100">
        <f t="shared" si="6"/>
        <v>2.3310103256875245</v>
      </c>
      <c r="AW14" s="98">
        <v>12322886793</v>
      </c>
      <c r="AX14" s="98">
        <v>157260060226</v>
      </c>
      <c r="AY14" s="97">
        <f t="shared" si="7"/>
        <v>7.8359926705424483</v>
      </c>
      <c r="AZ14" s="98">
        <v>1138988971</v>
      </c>
      <c r="BA14" s="98">
        <v>157260060226</v>
      </c>
      <c r="BB14" s="100">
        <f t="shared" si="20"/>
        <v>0.72427097469195145</v>
      </c>
      <c r="BC14" s="98">
        <v>2372756890</v>
      </c>
      <c r="BD14" s="98">
        <v>157260060226</v>
      </c>
      <c r="BE14" s="99">
        <f t="shared" si="8"/>
        <v>1.5088108745412454</v>
      </c>
      <c r="BF14" s="98">
        <v>62057216280</v>
      </c>
      <c r="BG14" s="98">
        <v>175886168800</v>
      </c>
      <c r="BH14" s="97">
        <f t="shared" si="9"/>
        <v>35.282601641386144</v>
      </c>
      <c r="BI14" s="98">
        <v>2227161026</v>
      </c>
      <c r="BJ14" s="98">
        <v>175886168800</v>
      </c>
      <c r="BK14" s="100">
        <f t="shared" si="10"/>
        <v>1.2662513722341082</v>
      </c>
      <c r="BL14" s="98">
        <v>2676687632</v>
      </c>
      <c r="BM14" s="98">
        <v>175886168800</v>
      </c>
      <c r="BN14" s="99">
        <f t="shared" si="11"/>
        <v>1.5218295163638813</v>
      </c>
    </row>
    <row r="15" spans="1:66" ht="15.75" customHeight="1" x14ac:dyDescent="0.45">
      <c r="A15" s="54">
        <v>20</v>
      </c>
      <c r="B15" s="55" t="s">
        <v>33</v>
      </c>
      <c r="C15" s="97">
        <v>32.9</v>
      </c>
      <c r="D15" s="98">
        <v>73366527169</v>
      </c>
      <c r="E15" s="98">
        <v>203793597646</v>
      </c>
      <c r="F15" s="97">
        <f t="shared" si="0"/>
        <v>36.000408264268167</v>
      </c>
      <c r="G15" s="98">
        <v>38909532809</v>
      </c>
      <c r="H15" s="98">
        <v>203793597646</v>
      </c>
      <c r="I15" s="99">
        <f t="shared" si="12"/>
        <v>19.092617853769806</v>
      </c>
      <c r="J15" s="98">
        <v>11412638739</v>
      </c>
      <c r="K15" s="98">
        <v>203793597646</v>
      </c>
      <c r="L15" s="99">
        <f t="shared" si="13"/>
        <v>5.6000967993235697</v>
      </c>
      <c r="M15" s="98">
        <v>34066239545</v>
      </c>
      <c r="N15" s="98">
        <v>161143607608</v>
      </c>
      <c r="O15" s="97">
        <f t="shared" si="14"/>
        <v>21.140298427394011</v>
      </c>
      <c r="P15" s="98">
        <v>19443370583</v>
      </c>
      <c r="Q15" s="98">
        <v>161143607608</v>
      </c>
      <c r="R15" s="99">
        <f t="shared" si="15"/>
        <v>12.065865268635534</v>
      </c>
      <c r="S15" s="98">
        <v>14221310629</v>
      </c>
      <c r="T15" s="98">
        <v>161143607608</v>
      </c>
      <c r="U15" s="100">
        <f t="shared" si="1"/>
        <v>8.8252403183097048</v>
      </c>
      <c r="V15" s="98">
        <v>50140118015</v>
      </c>
      <c r="W15" s="98">
        <v>167925344861</v>
      </c>
      <c r="X15" s="97">
        <f t="shared" si="2"/>
        <v>29.85857677201939</v>
      </c>
      <c r="Y15" s="98">
        <v>14938492469</v>
      </c>
      <c r="Z15" s="98">
        <v>167925344861</v>
      </c>
      <c r="AA15" s="100">
        <f t="shared" si="16"/>
        <v>8.8959129316454995</v>
      </c>
      <c r="AB15" s="98">
        <v>16227750570</v>
      </c>
      <c r="AC15" s="98">
        <v>167925344861</v>
      </c>
      <c r="AD15" s="100">
        <f t="shared" si="3"/>
        <v>9.6636696404777371</v>
      </c>
      <c r="AE15" s="98" t="s">
        <v>134</v>
      </c>
      <c r="AF15" s="98" t="s">
        <v>135</v>
      </c>
      <c r="AG15" s="97">
        <f t="shared" si="17"/>
        <v>27.208117630369859</v>
      </c>
      <c r="AH15" s="98">
        <v>18500288090</v>
      </c>
      <c r="AI15" s="98">
        <v>316663828393</v>
      </c>
      <c r="AJ15" s="100">
        <f t="shared" si="18"/>
        <v>5.8422486028432541</v>
      </c>
      <c r="AK15" s="98">
        <v>16884917296</v>
      </c>
      <c r="AL15" s="98">
        <v>316663828393</v>
      </c>
      <c r="AM15" s="100">
        <f t="shared" si="4"/>
        <v>5.3321269377962368</v>
      </c>
      <c r="AN15" s="98">
        <v>166190515662</v>
      </c>
      <c r="AO15" s="98">
        <v>370262558962</v>
      </c>
      <c r="AP15" s="97">
        <f t="shared" si="5"/>
        <v>44.884504695236039</v>
      </c>
      <c r="AQ15" s="98">
        <v>13503294173</v>
      </c>
      <c r="AR15" s="98">
        <v>370262558962</v>
      </c>
      <c r="AS15" s="100">
        <f t="shared" si="19"/>
        <v>3.6469510206096323</v>
      </c>
      <c r="AT15" s="98">
        <v>16546330054</v>
      </c>
      <c r="AU15" s="98">
        <v>370262558962</v>
      </c>
      <c r="AV15" s="100">
        <f t="shared" si="6"/>
        <v>4.4688099440532811</v>
      </c>
      <c r="AW15" s="98">
        <v>134155361072</v>
      </c>
      <c r="AX15" s="98">
        <v>475347418009</v>
      </c>
      <c r="AY15" s="97">
        <f t="shared" si="7"/>
        <v>28.222591727522534</v>
      </c>
      <c r="AZ15" s="98">
        <v>17470925411</v>
      </c>
      <c r="BA15" s="98">
        <v>475347418009</v>
      </c>
      <c r="BB15" s="100">
        <f t="shared" si="20"/>
        <v>3.6754013483816199</v>
      </c>
      <c r="BC15" s="98">
        <v>21246502193</v>
      </c>
      <c r="BD15" s="98">
        <v>475347418009</v>
      </c>
      <c r="BE15" s="99">
        <f t="shared" si="8"/>
        <v>4.4696786788053462</v>
      </c>
      <c r="BF15" s="98">
        <v>110898654270</v>
      </c>
      <c r="BG15" s="98">
        <v>389800120314</v>
      </c>
      <c r="BH15" s="97">
        <f t="shared" si="9"/>
        <v>28.45013341213609</v>
      </c>
      <c r="BI15" s="98">
        <v>17218001526</v>
      </c>
      <c r="BJ15" s="98">
        <v>389800120314</v>
      </c>
      <c r="BK15" s="100">
        <f t="shared" si="10"/>
        <v>4.4171360214384219</v>
      </c>
      <c r="BL15" s="98">
        <v>20123376679</v>
      </c>
      <c r="BM15" s="98">
        <v>389800120314</v>
      </c>
      <c r="BN15" s="99">
        <f t="shared" si="11"/>
        <v>5.1624860102120529</v>
      </c>
    </row>
    <row r="16" spans="1:66" ht="15.75" customHeight="1" x14ac:dyDescent="0.45">
      <c r="A16" s="54">
        <v>21</v>
      </c>
      <c r="B16" s="55" t="s">
        <v>84</v>
      </c>
      <c r="C16" s="97">
        <v>18.100000000000001</v>
      </c>
      <c r="D16" s="98">
        <v>4056263220</v>
      </c>
      <c r="E16" s="98">
        <v>10552006786</v>
      </c>
      <c r="F16" s="97">
        <f t="shared" si="0"/>
        <v>38.440680547909572</v>
      </c>
      <c r="G16" s="98">
        <v>2073209006</v>
      </c>
      <c r="H16" s="98">
        <v>10552006786</v>
      </c>
      <c r="I16" s="99">
        <f t="shared" si="12"/>
        <v>19.647532910523282</v>
      </c>
      <c r="J16" s="98">
        <v>2403853862</v>
      </c>
      <c r="K16" s="98">
        <v>10552006786</v>
      </c>
      <c r="L16" s="99">
        <f t="shared" si="13"/>
        <v>22.78101133510776</v>
      </c>
      <c r="M16" s="98">
        <v>9888651276</v>
      </c>
      <c r="N16" s="98">
        <v>20033844141</v>
      </c>
      <c r="O16" s="97">
        <f t="shared" si="14"/>
        <v>49.359729497757804</v>
      </c>
      <c r="P16" s="98">
        <v>752791525</v>
      </c>
      <c r="Q16" s="98">
        <v>20033844141</v>
      </c>
      <c r="R16" s="99">
        <f t="shared" si="15"/>
        <v>3.7575989894988968</v>
      </c>
      <c r="S16" s="98">
        <v>5181342477</v>
      </c>
      <c r="T16" s="98">
        <v>20033844141</v>
      </c>
      <c r="U16" s="100">
        <f t="shared" si="1"/>
        <v>25.86294692388163</v>
      </c>
      <c r="V16" s="98">
        <v>11670519069</v>
      </c>
      <c r="W16" s="98">
        <v>35282058742</v>
      </c>
      <c r="X16" s="97">
        <f t="shared" si="2"/>
        <v>33.077772344127233</v>
      </c>
      <c r="Y16" s="98">
        <v>1801854198</v>
      </c>
      <c r="Z16" s="98">
        <v>35282058742</v>
      </c>
      <c r="AA16" s="100">
        <f t="shared" si="16"/>
        <v>5.1069984639390125</v>
      </c>
      <c r="AB16" s="98">
        <v>5982275806</v>
      </c>
      <c r="AC16" s="98">
        <v>35282058742</v>
      </c>
      <c r="AD16" s="100">
        <f t="shared" si="3"/>
        <v>16.955574644170802</v>
      </c>
      <c r="AE16" s="98" t="s">
        <v>136</v>
      </c>
      <c r="AF16" s="98" t="s">
        <v>137</v>
      </c>
      <c r="AG16" s="97">
        <f t="shared" si="17"/>
        <v>42.474841819572951</v>
      </c>
      <c r="AH16" s="98">
        <v>815033164</v>
      </c>
      <c r="AI16" s="98">
        <v>32441599259</v>
      </c>
      <c r="AJ16" s="100">
        <f t="shared" si="18"/>
        <v>2.5123088337696307</v>
      </c>
      <c r="AK16" s="98">
        <v>6886286678</v>
      </c>
      <c r="AL16" s="98">
        <v>32441599259</v>
      </c>
      <c r="AM16" s="100">
        <f t="shared" si="4"/>
        <v>21.226717656619829</v>
      </c>
      <c r="AN16" s="98">
        <v>15051989754</v>
      </c>
      <c r="AO16" s="98">
        <v>41106422321</v>
      </c>
      <c r="AP16" s="97">
        <f t="shared" si="5"/>
        <v>36.617124293763716</v>
      </c>
      <c r="AQ16" s="98">
        <v>1888872802</v>
      </c>
      <c r="AR16" s="98">
        <v>41106422321</v>
      </c>
      <c r="AS16" s="100">
        <f t="shared" si="19"/>
        <v>4.5950795407340355</v>
      </c>
      <c r="AT16" s="98">
        <v>6316781868</v>
      </c>
      <c r="AU16" s="98">
        <v>41106422321</v>
      </c>
      <c r="AV16" s="100">
        <f t="shared" si="6"/>
        <v>15.366897704383655</v>
      </c>
      <c r="AW16" s="98">
        <v>24414522480</v>
      </c>
      <c r="AX16" s="98">
        <v>50614988169</v>
      </c>
      <c r="AY16" s="97">
        <f t="shared" si="7"/>
        <v>48.235756567761257</v>
      </c>
      <c r="AZ16" s="98">
        <v>817530864</v>
      </c>
      <c r="BA16" s="98">
        <v>50614988169</v>
      </c>
      <c r="BB16" s="100">
        <f t="shared" si="20"/>
        <v>1.6151952091153714</v>
      </c>
      <c r="BC16" s="98">
        <v>7014270785</v>
      </c>
      <c r="BD16" s="98">
        <v>50614988169</v>
      </c>
      <c r="BE16" s="99">
        <f t="shared" si="8"/>
        <v>13.858090337944617</v>
      </c>
      <c r="BF16" s="98">
        <v>23964728565</v>
      </c>
      <c r="BG16" s="98">
        <v>46349835948</v>
      </c>
      <c r="BH16" s="97">
        <f t="shared" si="9"/>
        <v>51.704020251303781</v>
      </c>
      <c r="BI16" s="98">
        <v>1197991347</v>
      </c>
      <c r="BJ16" s="98">
        <v>46349835948</v>
      </c>
      <c r="BK16" s="100">
        <f t="shared" si="10"/>
        <v>2.5846722485577502</v>
      </c>
      <c r="BL16" s="98">
        <v>6780825905</v>
      </c>
      <c r="BM16" s="98">
        <v>46349835948</v>
      </c>
      <c r="BN16" s="99">
        <f t="shared" si="11"/>
        <v>14.629665383513817</v>
      </c>
    </row>
    <row r="17" spans="1:66" ht="15.75" customHeight="1" x14ac:dyDescent="0.45">
      <c r="A17" s="54">
        <v>22</v>
      </c>
      <c r="B17" s="55" t="s">
        <v>85</v>
      </c>
      <c r="C17" s="97">
        <v>43.05</v>
      </c>
      <c r="D17" s="98">
        <v>29145055803</v>
      </c>
      <c r="E17" s="98">
        <v>174016825051</v>
      </c>
      <c r="F17" s="97">
        <f t="shared" si="0"/>
        <v>16.74841257128919</v>
      </c>
      <c r="G17" s="98">
        <v>16148655897</v>
      </c>
      <c r="H17" s="98">
        <v>174016825051</v>
      </c>
      <c r="I17" s="99">
        <f t="shared" si="12"/>
        <v>9.279939392220971</v>
      </c>
      <c r="J17" s="98">
        <v>16706575673</v>
      </c>
      <c r="K17" s="98">
        <v>174016825051</v>
      </c>
      <c r="L17" s="99">
        <f t="shared" si="13"/>
        <v>9.6005519397930161</v>
      </c>
      <c r="M17" s="98">
        <v>30588053117</v>
      </c>
      <c r="N17" s="98">
        <v>193174662179</v>
      </c>
      <c r="O17" s="97">
        <f t="shared" si="14"/>
        <v>15.834402282353377</v>
      </c>
      <c r="P17" s="98">
        <v>10648535903</v>
      </c>
      <c r="Q17" s="98">
        <v>193174662179</v>
      </c>
      <c r="R17" s="99">
        <f t="shared" si="15"/>
        <v>5.5123874854419714</v>
      </c>
      <c r="S17" s="98">
        <v>25290302047</v>
      </c>
      <c r="T17" s="98">
        <v>193174662179</v>
      </c>
      <c r="U17" s="100">
        <f t="shared" si="1"/>
        <v>13.091935433833157</v>
      </c>
      <c r="V17" s="98">
        <v>38364657789</v>
      </c>
      <c r="W17" s="98">
        <v>161159964770</v>
      </c>
      <c r="X17" s="97">
        <f t="shared" si="2"/>
        <v>23.805327733691339</v>
      </c>
      <c r="Y17" s="98">
        <v>13884042133</v>
      </c>
      <c r="Z17" s="98">
        <v>161159964770</v>
      </c>
      <c r="AA17" s="100">
        <f t="shared" si="16"/>
        <v>8.6150689799508573</v>
      </c>
      <c r="AB17" s="98">
        <v>23345220723</v>
      </c>
      <c r="AC17" s="98">
        <v>161159964770</v>
      </c>
      <c r="AD17" s="100">
        <f t="shared" si="3"/>
        <v>14.485744493874279</v>
      </c>
      <c r="AE17" s="98" t="s">
        <v>138</v>
      </c>
      <c r="AF17" s="98" t="s">
        <v>139</v>
      </c>
      <c r="AG17" s="97">
        <f t="shared" si="17"/>
        <v>19.337994197531497</v>
      </c>
      <c r="AH17" s="98">
        <v>5146533120</v>
      </c>
      <c r="AI17" s="98">
        <v>170334081030</v>
      </c>
      <c r="AJ17" s="100">
        <f t="shared" si="18"/>
        <v>3.0214347527395704</v>
      </c>
      <c r="AK17" s="98">
        <v>24064725220</v>
      </c>
      <c r="AL17" s="98">
        <v>170334081030</v>
      </c>
      <c r="AM17" s="100">
        <f t="shared" si="4"/>
        <v>14.127956703956157</v>
      </c>
      <c r="AN17" s="98">
        <v>26889080125</v>
      </c>
      <c r="AO17" s="98">
        <v>137873196058</v>
      </c>
      <c r="AP17" s="97">
        <f t="shared" si="5"/>
        <v>19.502761155756769</v>
      </c>
      <c r="AQ17" s="98">
        <v>6090684531</v>
      </c>
      <c r="AR17" s="98">
        <v>137873196058</v>
      </c>
      <c r="AS17" s="100">
        <f t="shared" si="19"/>
        <v>4.4175987103670193</v>
      </c>
      <c r="AT17" s="98">
        <v>22264996587</v>
      </c>
      <c r="AU17" s="98">
        <v>137873196058</v>
      </c>
      <c r="AV17" s="100">
        <f t="shared" si="6"/>
        <v>16.148894218448117</v>
      </c>
      <c r="AW17" s="98">
        <v>50811175637</v>
      </c>
      <c r="AX17" s="98">
        <v>176508810110</v>
      </c>
      <c r="AY17" s="97">
        <f t="shared" si="7"/>
        <v>28.786764584348255</v>
      </c>
      <c r="AZ17" s="98">
        <v>6289676705</v>
      </c>
      <c r="BA17" s="98">
        <v>176508810110</v>
      </c>
      <c r="BB17" s="100">
        <f t="shared" si="20"/>
        <v>3.5633783384978255</v>
      </c>
      <c r="BC17" s="98">
        <v>26315998017</v>
      </c>
      <c r="BD17" s="98">
        <v>176508810110</v>
      </c>
      <c r="BE17" s="99">
        <f t="shared" si="8"/>
        <v>14.909169689943472</v>
      </c>
      <c r="BF17" s="98">
        <v>47273878870</v>
      </c>
      <c r="BG17" s="98">
        <v>185777782531</v>
      </c>
      <c r="BH17" s="97">
        <f t="shared" si="9"/>
        <v>25.446465247862239</v>
      </c>
      <c r="BI17" s="98">
        <v>9262810090</v>
      </c>
      <c r="BJ17" s="98">
        <v>185777782531</v>
      </c>
      <c r="BK17" s="100">
        <f t="shared" si="10"/>
        <v>4.9859622414506708</v>
      </c>
      <c r="BL17" s="98">
        <v>24459278727</v>
      </c>
      <c r="BM17" s="98">
        <v>185777782531</v>
      </c>
      <c r="BN17" s="99">
        <f t="shared" si="11"/>
        <v>13.165879360691893</v>
      </c>
    </row>
    <row r="18" spans="1:66" ht="15.75" customHeight="1" x14ac:dyDescent="0.45">
      <c r="A18" s="54">
        <v>23</v>
      </c>
      <c r="B18" s="55" t="s">
        <v>36</v>
      </c>
      <c r="C18" s="97">
        <v>29.72</v>
      </c>
      <c r="D18" s="98">
        <v>5258218884</v>
      </c>
      <c r="E18" s="98">
        <v>25406684517</v>
      </c>
      <c r="F18" s="97">
        <f t="shared" si="0"/>
        <v>20.696202530801081</v>
      </c>
      <c r="G18" s="98">
        <v>14598043518</v>
      </c>
      <c r="H18" s="98">
        <v>25406684517</v>
      </c>
      <c r="I18" s="99">
        <f t="shared" si="12"/>
        <v>57.457491189896217</v>
      </c>
      <c r="J18" s="98">
        <v>8194933572</v>
      </c>
      <c r="K18" s="98">
        <v>25406684517</v>
      </c>
      <c r="L18" s="99">
        <f t="shared" si="13"/>
        <v>32.255029445170798</v>
      </c>
      <c r="M18" s="98">
        <v>5052358596</v>
      </c>
      <c r="N18" s="98">
        <v>98566040504</v>
      </c>
      <c r="O18" s="97">
        <f t="shared" si="14"/>
        <v>5.1258613718940707</v>
      </c>
      <c r="P18" s="98">
        <v>68363620299</v>
      </c>
      <c r="Q18" s="98">
        <v>98566040504</v>
      </c>
      <c r="R18" s="99">
        <f t="shared" si="15"/>
        <v>69.358188631129678</v>
      </c>
      <c r="S18" s="98">
        <v>13439735900</v>
      </c>
      <c r="T18" s="98">
        <v>98566040504</v>
      </c>
      <c r="U18" s="100">
        <f t="shared" si="1"/>
        <v>13.635260005655386</v>
      </c>
      <c r="V18" s="98">
        <v>15974968479</v>
      </c>
      <c r="W18" s="98">
        <v>148114133762</v>
      </c>
      <c r="X18" s="97">
        <f t="shared" si="2"/>
        <v>10.785580061298997</v>
      </c>
      <c r="Y18" s="98">
        <v>50805936926</v>
      </c>
      <c r="Z18" s="98">
        <v>148114133762</v>
      </c>
      <c r="AA18" s="100">
        <f t="shared" si="16"/>
        <v>34.30188303814306</v>
      </c>
      <c r="AB18" s="98">
        <v>13763141928</v>
      </c>
      <c r="AC18" s="98">
        <v>148114133762</v>
      </c>
      <c r="AD18" s="100">
        <f t="shared" si="3"/>
        <v>9.2922542760946545</v>
      </c>
      <c r="AE18" s="98" t="s">
        <v>140</v>
      </c>
      <c r="AF18" s="98" t="s">
        <v>141</v>
      </c>
      <c r="AG18" s="97">
        <f t="shared" si="17"/>
        <v>9.5562369204216786</v>
      </c>
      <c r="AH18" s="98">
        <v>29454055518</v>
      </c>
      <c r="AI18" s="98">
        <v>136370035690</v>
      </c>
      <c r="AJ18" s="100">
        <f t="shared" si="18"/>
        <v>21.59862712433085</v>
      </c>
      <c r="AK18" s="98">
        <v>11969420907</v>
      </c>
      <c r="AL18" s="98">
        <v>136370035690</v>
      </c>
      <c r="AM18" s="100">
        <f t="shared" si="4"/>
        <v>8.7771634336220359</v>
      </c>
      <c r="AN18" s="98">
        <v>13768473233</v>
      </c>
      <c r="AO18" s="98">
        <v>79054289092</v>
      </c>
      <c r="AP18" s="97">
        <f t="shared" si="5"/>
        <v>17.416478462005824</v>
      </c>
      <c r="AQ18" s="98">
        <v>21464826240</v>
      </c>
      <c r="AR18" s="98">
        <v>79054289092</v>
      </c>
      <c r="AS18" s="100">
        <f t="shared" si="19"/>
        <v>27.152007166897867</v>
      </c>
      <c r="AT18" s="98">
        <v>11652627760</v>
      </c>
      <c r="AU18" s="98">
        <v>79054289092</v>
      </c>
      <c r="AV18" s="100">
        <f t="shared" si="6"/>
        <v>14.740032316828719</v>
      </c>
      <c r="AW18" s="98">
        <v>4803514678</v>
      </c>
      <c r="AX18" s="98">
        <v>72242153898</v>
      </c>
      <c r="AY18" s="97">
        <f t="shared" si="7"/>
        <v>6.6491853008454989</v>
      </c>
      <c r="AZ18" s="98">
        <v>22564007895</v>
      </c>
      <c r="BA18" s="98">
        <v>72242153898</v>
      </c>
      <c r="BB18" s="100">
        <f t="shared" si="20"/>
        <v>31.233852643511334</v>
      </c>
      <c r="BC18" s="98">
        <v>13382037708</v>
      </c>
      <c r="BD18" s="98">
        <v>72242153898</v>
      </c>
      <c r="BE18" s="99">
        <f t="shared" si="8"/>
        <v>18.523863126913881</v>
      </c>
      <c r="BF18" s="98">
        <v>5405033985</v>
      </c>
      <c r="BG18" s="98">
        <v>68006449256</v>
      </c>
      <c r="BH18" s="97">
        <f t="shared" si="9"/>
        <v>7.9478256020301341</v>
      </c>
      <c r="BI18" s="98">
        <v>24748327362</v>
      </c>
      <c r="BJ18" s="98">
        <v>68006449256</v>
      </c>
      <c r="BK18" s="100">
        <f t="shared" si="10"/>
        <v>36.391147652539047</v>
      </c>
      <c r="BL18" s="98">
        <v>12560512250</v>
      </c>
      <c r="BM18" s="98">
        <v>68006449256</v>
      </c>
      <c r="BN18" s="99">
        <f t="shared" si="11"/>
        <v>18.469589851276972</v>
      </c>
    </row>
    <row r="19" spans="1:66" ht="15.75" customHeight="1" x14ac:dyDescent="0.45">
      <c r="A19" s="54">
        <v>24</v>
      </c>
      <c r="B19" s="55" t="s">
        <v>37</v>
      </c>
      <c r="C19" s="97">
        <v>48</v>
      </c>
      <c r="D19" s="98">
        <v>30202537805</v>
      </c>
      <c r="E19" s="98">
        <v>77592864550</v>
      </c>
      <c r="F19" s="97">
        <f t="shared" si="0"/>
        <v>38.924375301981293</v>
      </c>
      <c r="G19" s="98">
        <v>8736434594</v>
      </c>
      <c r="H19" s="98">
        <v>77592864550</v>
      </c>
      <c r="I19" s="99">
        <f t="shared" si="12"/>
        <v>11.259327316586356</v>
      </c>
      <c r="J19" s="98">
        <v>4472075359</v>
      </c>
      <c r="K19" s="98">
        <v>77592864550</v>
      </c>
      <c r="L19" s="99">
        <f t="shared" si="13"/>
        <v>5.7635136747893139</v>
      </c>
      <c r="M19" s="98">
        <v>29473978177</v>
      </c>
      <c r="N19" s="98">
        <v>80191692977</v>
      </c>
      <c r="O19" s="97">
        <f t="shared" si="14"/>
        <v>36.75440320913728</v>
      </c>
      <c r="P19" s="98">
        <v>9890658851</v>
      </c>
      <c r="Q19" s="98">
        <v>80191692977</v>
      </c>
      <c r="R19" s="99">
        <f t="shared" si="15"/>
        <v>12.333769850496569</v>
      </c>
      <c r="S19" s="98">
        <v>9625730482</v>
      </c>
      <c r="T19" s="98">
        <v>80191692977</v>
      </c>
      <c r="U19" s="100">
        <f t="shared" si="1"/>
        <v>12.003401006586532</v>
      </c>
      <c r="V19" s="98">
        <v>45999034418</v>
      </c>
      <c r="W19" s="98">
        <v>156360021052</v>
      </c>
      <c r="X19" s="97">
        <f t="shared" si="2"/>
        <v>29.418667322065843</v>
      </c>
      <c r="Y19" s="98">
        <v>11672732469</v>
      </c>
      <c r="Z19" s="98">
        <v>156360021052</v>
      </c>
      <c r="AA19" s="100">
        <f t="shared" si="16"/>
        <v>7.4652922086254057</v>
      </c>
      <c r="AB19" s="98">
        <v>9669942048</v>
      </c>
      <c r="AC19" s="98">
        <v>156360021052</v>
      </c>
      <c r="AD19" s="100">
        <f t="shared" si="3"/>
        <v>6.1844082540664962</v>
      </c>
      <c r="AE19" s="98" t="s">
        <v>142</v>
      </c>
      <c r="AF19" s="98" t="s">
        <v>143</v>
      </c>
      <c r="AG19" s="97">
        <f t="shared" si="17"/>
        <v>35.808459492708124</v>
      </c>
      <c r="AH19" s="98">
        <v>4826401359</v>
      </c>
      <c r="AI19" s="98">
        <v>213042222812</v>
      </c>
      <c r="AJ19" s="100">
        <f t="shared" si="18"/>
        <v>2.265467049345931</v>
      </c>
      <c r="AK19" s="98">
        <v>8767770228</v>
      </c>
      <c r="AL19" s="98">
        <v>213042222812</v>
      </c>
      <c r="AM19" s="100">
        <f t="shared" si="4"/>
        <v>4.1155082369456668</v>
      </c>
      <c r="AN19" s="98">
        <v>67791556765</v>
      </c>
      <c r="AO19" s="98">
        <v>217380277905</v>
      </c>
      <c r="AP19" s="97">
        <f t="shared" si="5"/>
        <v>31.185697901548554</v>
      </c>
      <c r="AQ19" s="98">
        <v>12504292562</v>
      </c>
      <c r="AR19" s="98">
        <v>217380277905</v>
      </c>
      <c r="AS19" s="100">
        <f t="shared" si="19"/>
        <v>5.7522663428853713</v>
      </c>
      <c r="AT19" s="98">
        <v>11356715721</v>
      </c>
      <c r="AU19" s="98">
        <v>217380277905</v>
      </c>
      <c r="AV19" s="100">
        <f t="shared" si="6"/>
        <v>5.2243542194582782</v>
      </c>
      <c r="AW19" s="98">
        <v>63091579892</v>
      </c>
      <c r="AX19" s="98">
        <v>284642896038</v>
      </c>
      <c r="AY19" s="97">
        <f t="shared" si="7"/>
        <v>22.165169329775665</v>
      </c>
      <c r="AZ19" s="98">
        <v>5087422125</v>
      </c>
      <c r="BA19" s="98">
        <v>284642896038</v>
      </c>
      <c r="BB19" s="100">
        <f t="shared" si="20"/>
        <v>1.7872998749706461</v>
      </c>
      <c r="BC19" s="98">
        <v>14746394451</v>
      </c>
      <c r="BD19" s="98">
        <v>284642896038</v>
      </c>
      <c r="BE19" s="99">
        <f t="shared" si="8"/>
        <v>5.18066484576216</v>
      </c>
      <c r="BF19" s="98">
        <v>107969869432</v>
      </c>
      <c r="BG19" s="98">
        <v>424301874302</v>
      </c>
      <c r="BH19" s="97">
        <f t="shared" si="9"/>
        <v>25.446474779216189</v>
      </c>
      <c r="BI19" s="98">
        <v>29877251438</v>
      </c>
      <c r="BJ19" s="98">
        <v>424301874302</v>
      </c>
      <c r="BK19" s="100">
        <f t="shared" si="10"/>
        <v>7.0415082391869523</v>
      </c>
      <c r="BL19" s="98">
        <v>22021136900</v>
      </c>
      <c r="BM19" s="98">
        <v>424301874302</v>
      </c>
      <c r="BN19" s="99">
        <f t="shared" si="11"/>
        <v>5.1899692727556266</v>
      </c>
    </row>
    <row r="20" spans="1:66" ht="15.75" customHeight="1" x14ac:dyDescent="0.45">
      <c r="A20" s="54">
        <v>25</v>
      </c>
      <c r="B20" s="55" t="s">
        <v>86</v>
      </c>
      <c r="C20" s="97">
        <v>28.54</v>
      </c>
      <c r="D20" s="98">
        <v>10325758226</v>
      </c>
      <c r="E20" s="98">
        <v>33663427535</v>
      </c>
      <c r="F20" s="97">
        <f t="shared" si="0"/>
        <v>30.673520143676004</v>
      </c>
      <c r="G20" s="98">
        <v>3801712445</v>
      </c>
      <c r="H20" s="98">
        <v>33663427535</v>
      </c>
      <c r="I20" s="99">
        <f t="shared" si="12"/>
        <v>11.293301732413743</v>
      </c>
      <c r="J20" s="98">
        <v>5741002620</v>
      </c>
      <c r="K20" s="98">
        <v>33663427535</v>
      </c>
      <c r="L20" s="99">
        <f t="shared" si="13"/>
        <v>17.054123838195196</v>
      </c>
      <c r="M20" s="98">
        <v>13728326963</v>
      </c>
      <c r="N20" s="98">
        <v>51639723360</v>
      </c>
      <c r="O20" s="97">
        <f t="shared" si="14"/>
        <v>26.584818952833366</v>
      </c>
      <c r="P20" s="98">
        <v>4280746752</v>
      </c>
      <c r="Q20" s="98">
        <v>51639723360</v>
      </c>
      <c r="R20" s="99">
        <f t="shared" si="15"/>
        <v>8.2896392030555592</v>
      </c>
      <c r="S20" s="98">
        <v>11059006243</v>
      </c>
      <c r="T20" s="98">
        <v>51639723360</v>
      </c>
      <c r="U20" s="100">
        <f t="shared" si="1"/>
        <v>21.415696141328048</v>
      </c>
      <c r="V20" s="98">
        <v>19383437258</v>
      </c>
      <c r="W20" s="98">
        <v>70716223682</v>
      </c>
      <c r="X20" s="97">
        <f t="shared" si="2"/>
        <v>27.41017018267879</v>
      </c>
      <c r="Y20" s="98">
        <v>7151815056</v>
      </c>
      <c r="Z20" s="98">
        <v>70716223682</v>
      </c>
      <c r="AA20" s="100">
        <f t="shared" si="16"/>
        <v>10.1134006931148</v>
      </c>
      <c r="AB20" s="98">
        <v>9897723123</v>
      </c>
      <c r="AC20" s="98">
        <v>70716223682</v>
      </c>
      <c r="AD20" s="100">
        <f t="shared" si="3"/>
        <v>13.996396594236341</v>
      </c>
      <c r="AE20" s="98" t="s">
        <v>144</v>
      </c>
      <c r="AF20" s="98" t="s">
        <v>145</v>
      </c>
      <c r="AG20" s="97">
        <f t="shared" si="17"/>
        <v>36.109637512206952</v>
      </c>
      <c r="AH20" s="98">
        <v>1571145171</v>
      </c>
      <c r="AI20" s="98">
        <v>71209430594</v>
      </c>
      <c r="AJ20" s="100">
        <f t="shared" si="18"/>
        <v>2.2063723272242854</v>
      </c>
      <c r="AK20" s="98">
        <v>11488176212</v>
      </c>
      <c r="AL20" s="98">
        <v>71209430594</v>
      </c>
      <c r="AM20" s="100">
        <f t="shared" si="4"/>
        <v>16.132942106361931</v>
      </c>
      <c r="AN20" s="98">
        <v>20195924408</v>
      </c>
      <c r="AO20" s="98">
        <v>65323073040</v>
      </c>
      <c r="AP20" s="97">
        <f t="shared" si="5"/>
        <v>30.916984563223483</v>
      </c>
      <c r="AQ20" s="98">
        <v>1536133685</v>
      </c>
      <c r="AR20" s="98">
        <v>65323073040</v>
      </c>
      <c r="AS20" s="100">
        <f t="shared" si="19"/>
        <v>2.3515943349134267</v>
      </c>
      <c r="AT20" s="98">
        <v>11547539748</v>
      </c>
      <c r="AU20" s="98">
        <v>65323073040</v>
      </c>
      <c r="AV20" s="100">
        <f t="shared" si="6"/>
        <v>17.677581917998513</v>
      </c>
      <c r="AW20" s="98">
        <v>29914338125</v>
      </c>
      <c r="AX20" s="98">
        <v>100027875844</v>
      </c>
      <c r="AY20" s="97">
        <f t="shared" si="7"/>
        <v>29.906001574654411</v>
      </c>
      <c r="AZ20" s="98">
        <v>1154030928</v>
      </c>
      <c r="BA20" s="98">
        <v>100027875844</v>
      </c>
      <c r="BB20" s="100">
        <f t="shared" si="20"/>
        <v>1.1537093217892445</v>
      </c>
      <c r="BC20" s="98">
        <v>12688092966</v>
      </c>
      <c r="BD20" s="98">
        <v>100027875844</v>
      </c>
      <c r="BE20" s="99">
        <f t="shared" si="8"/>
        <v>12.68455703866781</v>
      </c>
      <c r="BF20" s="98">
        <v>30946257626</v>
      </c>
      <c r="BG20" s="98">
        <v>105818239325</v>
      </c>
      <c r="BH20" s="97">
        <f t="shared" si="9"/>
        <v>29.244729286181592</v>
      </c>
      <c r="BI20" s="98">
        <v>5173054671</v>
      </c>
      <c r="BJ20" s="98">
        <v>105818239325</v>
      </c>
      <c r="BK20" s="100">
        <f t="shared" si="10"/>
        <v>4.8886228914771257</v>
      </c>
      <c r="BL20" s="98">
        <v>11969369366</v>
      </c>
      <c r="BM20" s="98">
        <v>105818239325</v>
      </c>
      <c r="BN20" s="99">
        <f t="shared" si="11"/>
        <v>11.311253563044483</v>
      </c>
    </row>
    <row r="21" spans="1:66" ht="15.75" customHeight="1" x14ac:dyDescent="0.45">
      <c r="A21" s="54">
        <v>26</v>
      </c>
      <c r="B21" s="55" t="s">
        <v>87</v>
      </c>
      <c r="C21" s="97">
        <v>50.44</v>
      </c>
      <c r="D21" s="98">
        <v>50217491135</v>
      </c>
      <c r="E21" s="98">
        <v>76871962572</v>
      </c>
      <c r="F21" s="97">
        <f t="shared" si="0"/>
        <v>65.326146822341329</v>
      </c>
      <c r="G21" s="98">
        <v>8667381838</v>
      </c>
      <c r="H21" s="98">
        <v>76871962572</v>
      </c>
      <c r="I21" s="99">
        <f t="shared" si="12"/>
        <v>11.275088534238913</v>
      </c>
      <c r="J21" s="98">
        <v>7690413275</v>
      </c>
      <c r="K21" s="98">
        <v>76871962572</v>
      </c>
      <c r="L21" s="99">
        <f t="shared" si="13"/>
        <v>10.004184903952448</v>
      </c>
      <c r="M21" s="98">
        <v>37489144416</v>
      </c>
      <c r="N21" s="98">
        <v>80750137968</v>
      </c>
      <c r="O21" s="97">
        <f t="shared" si="14"/>
        <v>46.426105712483555</v>
      </c>
      <c r="P21" s="98">
        <v>1898736270</v>
      </c>
      <c r="Q21" s="98">
        <v>80750137968</v>
      </c>
      <c r="R21" s="99">
        <f t="shared" si="15"/>
        <v>2.3513721682462503</v>
      </c>
      <c r="S21" s="98">
        <v>11261576175</v>
      </c>
      <c r="T21" s="98">
        <v>80750137968</v>
      </c>
      <c r="U21" s="100">
        <f t="shared" si="1"/>
        <v>13.946200537097267</v>
      </c>
      <c r="V21" s="98">
        <v>36021492351</v>
      </c>
      <c r="W21" s="98">
        <v>62215289397</v>
      </c>
      <c r="X21" s="97">
        <f t="shared" si="2"/>
        <v>57.898135169225696</v>
      </c>
      <c r="Y21" s="98">
        <v>1976426001</v>
      </c>
      <c r="Z21" s="98">
        <v>62215289397</v>
      </c>
      <c r="AA21" s="100">
        <f t="shared" si="16"/>
        <v>3.1767528852727684</v>
      </c>
      <c r="AB21" s="98">
        <v>11915734908</v>
      </c>
      <c r="AC21" s="98">
        <v>62215289397</v>
      </c>
      <c r="AD21" s="100">
        <f t="shared" si="3"/>
        <v>19.15242221564684</v>
      </c>
      <c r="AE21" s="98" t="s">
        <v>146</v>
      </c>
      <c r="AF21" s="98" t="s">
        <v>147</v>
      </c>
      <c r="AG21" s="97">
        <f t="shared" si="17"/>
        <v>64.122951416973635</v>
      </c>
      <c r="AH21" s="98">
        <v>840318669</v>
      </c>
      <c r="AI21" s="98">
        <v>82054162663</v>
      </c>
      <c r="AJ21" s="100">
        <f t="shared" si="18"/>
        <v>1.0241024242136565</v>
      </c>
      <c r="AK21" s="98">
        <v>9565656540</v>
      </c>
      <c r="AL21" s="98">
        <v>82054162663</v>
      </c>
      <c r="AM21" s="100">
        <f t="shared" si="4"/>
        <v>11.657734634727266</v>
      </c>
      <c r="AN21" s="98">
        <v>45267427103</v>
      </c>
      <c r="AO21" s="98">
        <v>59473746496</v>
      </c>
      <c r="AP21" s="97">
        <f t="shared" si="5"/>
        <v>76.113293293276101</v>
      </c>
      <c r="AQ21" s="98">
        <v>904238386</v>
      </c>
      <c r="AR21" s="98">
        <v>59473746496</v>
      </c>
      <c r="AS21" s="100">
        <f t="shared" si="19"/>
        <v>1.5203992337372187</v>
      </c>
      <c r="AT21" s="98">
        <v>8860242957</v>
      </c>
      <c r="AU21" s="98">
        <v>59473746496</v>
      </c>
      <c r="AV21" s="100">
        <f t="shared" si="6"/>
        <v>14.897738042441819</v>
      </c>
      <c r="AW21" s="98">
        <v>23518315253</v>
      </c>
      <c r="AX21" s="98">
        <v>38736953151</v>
      </c>
      <c r="AY21" s="97">
        <f t="shared" si="7"/>
        <v>60.712868049594839</v>
      </c>
      <c r="AZ21" s="98">
        <v>2425360950</v>
      </c>
      <c r="BA21" s="98">
        <v>38736953151</v>
      </c>
      <c r="BB21" s="100">
        <f t="shared" si="20"/>
        <v>6.2611040691448627</v>
      </c>
      <c r="BC21" s="98">
        <v>9473519126</v>
      </c>
      <c r="BD21" s="98">
        <v>38736953151</v>
      </c>
      <c r="BE21" s="99">
        <f t="shared" si="8"/>
        <v>24.45602546248643</v>
      </c>
      <c r="BF21" s="98">
        <v>38895149629</v>
      </c>
      <c r="BG21" s="98">
        <v>69414383383</v>
      </c>
      <c r="BH21" s="97">
        <f t="shared" si="9"/>
        <v>56.033271108082275</v>
      </c>
      <c r="BI21" s="98">
        <v>2318574108</v>
      </c>
      <c r="BJ21" s="98">
        <v>69414383383</v>
      </c>
      <c r="BK21" s="100">
        <f t="shared" si="10"/>
        <v>3.3401926157105835</v>
      </c>
      <c r="BL21" s="98">
        <v>11248135722</v>
      </c>
      <c r="BM21" s="98">
        <v>69414383383</v>
      </c>
      <c r="BN21" s="99">
        <f t="shared" si="11"/>
        <v>16.204329958443072</v>
      </c>
    </row>
    <row r="22" spans="1:66" ht="15.75" customHeight="1" x14ac:dyDescent="0.45">
      <c r="A22" s="54">
        <v>27</v>
      </c>
      <c r="B22" s="55" t="s">
        <v>40</v>
      </c>
      <c r="C22" s="97">
        <v>29.19</v>
      </c>
      <c r="D22" s="98">
        <v>21319690581</v>
      </c>
      <c r="E22" s="98">
        <v>50914811620</v>
      </c>
      <c r="F22" s="97">
        <f t="shared" si="0"/>
        <v>41.873258296855504</v>
      </c>
      <c r="G22" s="98">
        <v>5362312908</v>
      </c>
      <c r="H22" s="98">
        <v>50914811620</v>
      </c>
      <c r="I22" s="99">
        <f t="shared" si="12"/>
        <v>10.531931155949939</v>
      </c>
      <c r="J22" s="98">
        <v>5540067976</v>
      </c>
      <c r="K22" s="98">
        <v>50914811620</v>
      </c>
      <c r="L22" s="99">
        <f t="shared" si="13"/>
        <v>10.881053665381311</v>
      </c>
      <c r="M22" s="98">
        <v>85972316445</v>
      </c>
      <c r="N22" s="98">
        <v>173570382622</v>
      </c>
      <c r="O22" s="97">
        <f t="shared" si="14"/>
        <v>49.531674209781357</v>
      </c>
      <c r="P22" s="98">
        <v>6991724303</v>
      </c>
      <c r="Q22" s="98">
        <v>173570382622</v>
      </c>
      <c r="R22" s="99">
        <f t="shared" si="15"/>
        <v>4.028178193411323</v>
      </c>
      <c r="S22" s="98">
        <v>9178550044</v>
      </c>
      <c r="T22" s="98">
        <v>173570382622</v>
      </c>
      <c r="U22" s="100">
        <f t="shared" si="1"/>
        <v>5.2880853895384687</v>
      </c>
      <c r="V22" s="98">
        <v>67232381382</v>
      </c>
      <c r="W22" s="98">
        <v>167617472288</v>
      </c>
      <c r="X22" s="97">
        <f t="shared" si="2"/>
        <v>40.110604499799081</v>
      </c>
      <c r="Y22" s="98">
        <v>4650760752</v>
      </c>
      <c r="Z22" s="98">
        <v>167617472288</v>
      </c>
      <c r="AA22" s="100">
        <f t="shared" si="16"/>
        <v>2.7746276617327053</v>
      </c>
      <c r="AB22" s="98">
        <v>10170205455</v>
      </c>
      <c r="AC22" s="98">
        <v>167617472288</v>
      </c>
      <c r="AD22" s="100">
        <f t="shared" si="3"/>
        <v>6.0675091422006258</v>
      </c>
      <c r="AE22" s="98" t="s">
        <v>148</v>
      </c>
      <c r="AF22" s="98" t="s">
        <v>149</v>
      </c>
      <c r="AG22" s="97">
        <f t="shared" si="17"/>
        <v>42.31176892562555</v>
      </c>
      <c r="AH22" s="98">
        <v>1098591673</v>
      </c>
      <c r="AI22" s="98">
        <v>96059338768</v>
      </c>
      <c r="AJ22" s="100">
        <f t="shared" si="18"/>
        <v>1.1436594162419647</v>
      </c>
      <c r="AK22" s="98">
        <v>10536707153</v>
      </c>
      <c r="AL22" s="98">
        <v>96059338768</v>
      </c>
      <c r="AM22" s="100">
        <f t="shared" si="4"/>
        <v>10.96895657219542</v>
      </c>
      <c r="AN22" s="98">
        <v>40472834006</v>
      </c>
      <c r="AO22" s="98">
        <v>124530539305</v>
      </c>
      <c r="AP22" s="97">
        <f t="shared" si="5"/>
        <v>32.500328218184293</v>
      </c>
      <c r="AQ22" s="98">
        <v>2081306329</v>
      </c>
      <c r="AR22" s="98">
        <v>124530539305</v>
      </c>
      <c r="AS22" s="100">
        <f t="shared" si="19"/>
        <v>1.6713220231885995</v>
      </c>
      <c r="AT22" s="98">
        <v>8767236688</v>
      </c>
      <c r="AU22" s="98">
        <v>124530539305</v>
      </c>
      <c r="AV22" s="100">
        <f t="shared" si="6"/>
        <v>7.040230241456916</v>
      </c>
      <c r="AW22" s="98">
        <v>80744814437</v>
      </c>
      <c r="AX22" s="98">
        <v>131553316038</v>
      </c>
      <c r="AY22" s="97">
        <f t="shared" si="7"/>
        <v>61.378015293568389</v>
      </c>
      <c r="AZ22" s="98">
        <v>1219485488</v>
      </c>
      <c r="BA22" s="98">
        <v>131553316038</v>
      </c>
      <c r="BB22" s="100">
        <f t="shared" si="20"/>
        <v>0.92698954669279787</v>
      </c>
      <c r="BC22" s="98">
        <v>10102247291</v>
      </c>
      <c r="BD22" s="98">
        <v>131553316038</v>
      </c>
      <c r="BE22" s="99">
        <f t="shared" si="8"/>
        <v>7.6792038355626868</v>
      </c>
      <c r="BF22" s="98">
        <v>83341164942</v>
      </c>
      <c r="BG22" s="98">
        <v>146060817196</v>
      </c>
      <c r="BH22" s="97">
        <f t="shared" si="9"/>
        <v>57.059221317489907</v>
      </c>
      <c r="BI22" s="98">
        <v>2733099787</v>
      </c>
      <c r="BJ22" s="98">
        <v>146060817196</v>
      </c>
      <c r="BK22" s="100">
        <f t="shared" si="10"/>
        <v>1.8712066928479765</v>
      </c>
      <c r="BL22" s="98">
        <v>10796875006</v>
      </c>
      <c r="BM22" s="98">
        <v>146060817196</v>
      </c>
      <c r="BN22" s="99">
        <f t="shared" si="11"/>
        <v>7.3920406672185051</v>
      </c>
    </row>
    <row r="23" spans="1:66" ht="15.75" customHeight="1" x14ac:dyDescent="0.45">
      <c r="A23" s="54">
        <v>28</v>
      </c>
      <c r="B23" s="55" t="s">
        <v>41</v>
      </c>
      <c r="C23" s="97">
        <v>28.85</v>
      </c>
      <c r="D23" s="98">
        <v>5357991592</v>
      </c>
      <c r="E23" s="98">
        <v>17230013570</v>
      </c>
      <c r="F23" s="97">
        <f t="shared" si="0"/>
        <v>31.096850679961481</v>
      </c>
      <c r="G23" s="98">
        <v>1625094087</v>
      </c>
      <c r="H23" s="98">
        <v>17230013570</v>
      </c>
      <c r="I23" s="99">
        <f t="shared" si="12"/>
        <v>9.4317632449781055</v>
      </c>
      <c r="J23" s="98">
        <v>3917350003</v>
      </c>
      <c r="K23" s="98">
        <v>17230013570</v>
      </c>
      <c r="L23" s="99">
        <f t="shared" si="13"/>
        <v>22.735617630741075</v>
      </c>
      <c r="M23" s="98">
        <v>6805623173</v>
      </c>
      <c r="N23" s="98">
        <v>29409610809</v>
      </c>
      <c r="O23" s="97">
        <f t="shared" si="14"/>
        <v>23.140813447681964</v>
      </c>
      <c r="P23" s="98">
        <v>7294099935</v>
      </c>
      <c r="Q23" s="98">
        <v>29409610809</v>
      </c>
      <c r="R23" s="99">
        <f t="shared" si="15"/>
        <v>24.80175607345284</v>
      </c>
      <c r="S23" s="98">
        <v>5799598874</v>
      </c>
      <c r="T23" s="98">
        <v>29409610809</v>
      </c>
      <c r="U23" s="100">
        <f t="shared" si="1"/>
        <v>19.720080322263879</v>
      </c>
      <c r="V23" s="98">
        <v>28054652068</v>
      </c>
      <c r="W23" s="98">
        <v>53214050464</v>
      </c>
      <c r="X23" s="97">
        <f t="shared" si="2"/>
        <v>52.720384604023593</v>
      </c>
      <c r="Y23" s="98">
        <v>12399757569</v>
      </c>
      <c r="Z23" s="98">
        <v>53214050464</v>
      </c>
      <c r="AA23" s="100">
        <f t="shared" si="16"/>
        <v>23.301660860017783</v>
      </c>
      <c r="AB23" s="98">
        <v>6855918263</v>
      </c>
      <c r="AC23" s="98">
        <v>53214050464</v>
      </c>
      <c r="AD23" s="100">
        <f t="shared" si="3"/>
        <v>12.883661745760394</v>
      </c>
      <c r="AE23" s="98" t="s">
        <v>150</v>
      </c>
      <c r="AF23" s="98" t="s">
        <v>151</v>
      </c>
      <c r="AG23" s="97">
        <f t="shared" si="17"/>
        <v>15.191360514838495</v>
      </c>
      <c r="AH23" s="98">
        <v>1129067956</v>
      </c>
      <c r="AI23" s="98">
        <v>63689552990</v>
      </c>
      <c r="AJ23" s="100">
        <f t="shared" si="18"/>
        <v>1.7727679077560441</v>
      </c>
      <c r="AK23" s="98">
        <v>5556132563</v>
      </c>
      <c r="AL23" s="98">
        <v>63689552990</v>
      </c>
      <c r="AM23" s="100">
        <f t="shared" si="4"/>
        <v>8.7237738406993959</v>
      </c>
      <c r="AN23" s="98">
        <v>18427894894</v>
      </c>
      <c r="AO23" s="98">
        <v>44567924604</v>
      </c>
      <c r="AP23" s="97">
        <f t="shared" si="5"/>
        <v>41.347886529915023</v>
      </c>
      <c r="AQ23" s="98">
        <v>902305100</v>
      </c>
      <c r="AR23" s="98">
        <v>44567924604</v>
      </c>
      <c r="AS23" s="100">
        <f t="shared" si="19"/>
        <v>2.0245616281603063</v>
      </c>
      <c r="AT23" s="98">
        <v>5220850451</v>
      </c>
      <c r="AU23" s="98">
        <v>44567924604</v>
      </c>
      <c r="AV23" s="100">
        <f t="shared" si="6"/>
        <v>11.714367445621251</v>
      </c>
      <c r="AW23" s="98">
        <v>13361507027</v>
      </c>
      <c r="AX23" s="98">
        <v>38035167387</v>
      </c>
      <c r="AY23" s="97">
        <f t="shared" si="7"/>
        <v>35.129349875207375</v>
      </c>
      <c r="AZ23" s="98">
        <v>1216375403</v>
      </c>
      <c r="BA23" s="98">
        <v>38035167387</v>
      </c>
      <c r="BB23" s="100">
        <f t="shared" si="20"/>
        <v>3.1980282632218513</v>
      </c>
      <c r="BC23" s="98">
        <v>7193354707</v>
      </c>
      <c r="BD23" s="98">
        <v>38035167387</v>
      </c>
      <c r="BE23" s="99">
        <f t="shared" si="8"/>
        <v>18.91237820464702</v>
      </c>
      <c r="BF23" s="98">
        <v>16572259559</v>
      </c>
      <c r="BG23" s="98">
        <v>34881638383</v>
      </c>
      <c r="BH23" s="97">
        <f t="shared" si="9"/>
        <v>47.509980400108432</v>
      </c>
      <c r="BI23" s="98">
        <v>1620940184</v>
      </c>
      <c r="BJ23" s="98">
        <v>34881638383</v>
      </c>
      <c r="BK23" s="100">
        <f t="shared" si="10"/>
        <v>4.6469726169456118</v>
      </c>
      <c r="BL23" s="98">
        <v>6701832637</v>
      </c>
      <c r="BM23" s="98">
        <v>34881638383</v>
      </c>
      <c r="BN23" s="99">
        <f t="shared" si="11"/>
        <v>19.213067240173622</v>
      </c>
    </row>
    <row r="24" spans="1:66" ht="15.75" customHeight="1" x14ac:dyDescent="0.45">
      <c r="A24" s="54">
        <v>29</v>
      </c>
      <c r="B24" s="55" t="s">
        <v>88</v>
      </c>
      <c r="C24" s="97">
        <v>31.32</v>
      </c>
      <c r="D24" s="98">
        <v>33229605974</v>
      </c>
      <c r="E24" s="98">
        <v>98956747948</v>
      </c>
      <c r="F24" s="97">
        <f t="shared" si="0"/>
        <v>33.579929275223925</v>
      </c>
      <c r="G24" s="98">
        <v>28250531679</v>
      </c>
      <c r="H24" s="98">
        <v>98956747948</v>
      </c>
      <c r="I24" s="99">
        <f t="shared" si="12"/>
        <v>28.54836306246154</v>
      </c>
      <c r="J24" s="98">
        <v>12825488667</v>
      </c>
      <c r="K24" s="98">
        <v>98956747948</v>
      </c>
      <c r="L24" s="99">
        <f t="shared" si="13"/>
        <v>12.960701450839476</v>
      </c>
      <c r="M24" s="98">
        <v>30099563748</v>
      </c>
      <c r="N24" s="98">
        <v>121356590065</v>
      </c>
      <c r="O24" s="97">
        <f t="shared" si="14"/>
        <v>24.802578691341214</v>
      </c>
      <c r="P24" s="98">
        <v>4645130834</v>
      </c>
      <c r="Q24" s="98">
        <v>121356590065</v>
      </c>
      <c r="R24" s="99">
        <f t="shared" si="15"/>
        <v>3.827670859499277</v>
      </c>
      <c r="S24" s="98">
        <v>18614135161</v>
      </c>
      <c r="T24" s="98">
        <v>121356590065</v>
      </c>
      <c r="U24" s="100">
        <f t="shared" si="1"/>
        <v>15.338380182757321</v>
      </c>
      <c r="V24" s="98">
        <v>72112214419</v>
      </c>
      <c r="W24" s="98">
        <v>218131827157</v>
      </c>
      <c r="X24" s="97">
        <f t="shared" si="2"/>
        <v>33.059006271055239</v>
      </c>
      <c r="Y24" s="98">
        <v>9073885212</v>
      </c>
      <c r="Z24" s="98">
        <v>218131827157</v>
      </c>
      <c r="AA24" s="100">
        <f t="shared" si="16"/>
        <v>4.1598171758168458</v>
      </c>
      <c r="AB24" s="98">
        <v>24101179244</v>
      </c>
      <c r="AC24" s="98">
        <v>218131827157</v>
      </c>
      <c r="AD24" s="100">
        <f t="shared" si="3"/>
        <v>11.04890540647845</v>
      </c>
      <c r="AE24" s="98" t="s">
        <v>152</v>
      </c>
      <c r="AF24" s="98" t="s">
        <v>153</v>
      </c>
      <c r="AG24" s="97">
        <f t="shared" si="17"/>
        <v>29.790997089868842</v>
      </c>
      <c r="AH24" s="98">
        <v>6179304252</v>
      </c>
      <c r="AI24" s="98">
        <v>218043518396</v>
      </c>
      <c r="AJ24" s="100">
        <f t="shared" si="18"/>
        <v>2.833977500205922</v>
      </c>
      <c r="AK24" s="98">
        <v>17959697371</v>
      </c>
      <c r="AL24" s="98">
        <v>218043518396</v>
      </c>
      <c r="AM24" s="100">
        <f t="shared" si="4"/>
        <v>8.2367490229094891</v>
      </c>
      <c r="AN24" s="98">
        <v>129868938375</v>
      </c>
      <c r="AO24" s="98">
        <v>230648095080</v>
      </c>
      <c r="AP24" s="97">
        <f t="shared" si="5"/>
        <v>56.306096232858607</v>
      </c>
      <c r="AQ24" s="98">
        <v>1896695978</v>
      </c>
      <c r="AR24" s="98">
        <v>230648095080</v>
      </c>
      <c r="AS24" s="100">
        <f t="shared" si="19"/>
        <v>0.82233325072211561</v>
      </c>
      <c r="AT24" s="98">
        <v>17518882422</v>
      </c>
      <c r="AU24" s="98">
        <v>230648095080</v>
      </c>
      <c r="AV24" s="100">
        <f t="shared" si="6"/>
        <v>7.5955027575335485</v>
      </c>
      <c r="AW24" s="98">
        <v>95191193955</v>
      </c>
      <c r="AX24" s="98">
        <v>149090476486</v>
      </c>
      <c r="AY24" s="97">
        <f t="shared" si="7"/>
        <v>63.847937305330639</v>
      </c>
      <c r="AZ24" s="98">
        <v>1694873683</v>
      </c>
      <c r="BA24" s="98">
        <v>149090476486</v>
      </c>
      <c r="BB24" s="100">
        <f t="shared" si="20"/>
        <v>1.1368088176706264</v>
      </c>
      <c r="BC24" s="98">
        <v>19019070669</v>
      </c>
      <c r="BD24" s="98">
        <v>149090476486</v>
      </c>
      <c r="BE24" s="99">
        <f t="shared" si="8"/>
        <v>12.756730756565757</v>
      </c>
      <c r="BF24" s="98">
        <v>85769429636</v>
      </c>
      <c r="BG24" s="98">
        <v>165906063311</v>
      </c>
      <c r="BH24" s="97">
        <f t="shared" si="9"/>
        <v>51.697585925609303</v>
      </c>
      <c r="BI24" s="98">
        <v>2979951987</v>
      </c>
      <c r="BJ24" s="98">
        <v>165906063311</v>
      </c>
      <c r="BK24" s="100">
        <f t="shared" si="10"/>
        <v>1.7961682216604202</v>
      </c>
      <c r="BL24" s="98">
        <v>20212133522</v>
      </c>
      <c r="BM24" s="98">
        <v>165906063311</v>
      </c>
      <c r="BN24" s="99">
        <f t="shared" si="11"/>
        <v>12.182878141175134</v>
      </c>
    </row>
    <row r="25" spans="1:66" ht="15.75" customHeight="1" x14ac:dyDescent="0.45">
      <c r="A25" s="54">
        <v>30</v>
      </c>
      <c r="B25" s="55" t="s">
        <v>43</v>
      </c>
      <c r="C25" s="97">
        <v>32.11</v>
      </c>
      <c r="D25" s="98">
        <v>8906047198</v>
      </c>
      <c r="E25" s="98">
        <v>29949283466</v>
      </c>
      <c r="F25" s="97">
        <f t="shared" si="0"/>
        <v>29.737096074804636</v>
      </c>
      <c r="G25" s="98">
        <v>3824533465</v>
      </c>
      <c r="H25" s="98">
        <v>29949283466</v>
      </c>
      <c r="I25" s="99">
        <f t="shared" si="12"/>
        <v>12.770033277563423</v>
      </c>
      <c r="J25" s="98">
        <v>5586386413</v>
      </c>
      <c r="K25" s="98">
        <v>29949283466</v>
      </c>
      <c r="L25" s="99">
        <f t="shared" si="13"/>
        <v>18.652821592015581</v>
      </c>
      <c r="M25" s="98">
        <v>7946232207</v>
      </c>
      <c r="N25" s="98">
        <v>28717432283</v>
      </c>
      <c r="O25" s="97">
        <f t="shared" si="14"/>
        <v>27.670413317920385</v>
      </c>
      <c r="P25" s="98">
        <v>1741783144</v>
      </c>
      <c r="Q25" s="98">
        <v>28717432283</v>
      </c>
      <c r="R25" s="99">
        <f t="shared" si="15"/>
        <v>6.0652468049209682</v>
      </c>
      <c r="S25" s="98">
        <v>6663315295</v>
      </c>
      <c r="T25" s="98">
        <v>28717432283</v>
      </c>
      <c r="U25" s="100">
        <f t="shared" si="1"/>
        <v>23.203033019579941</v>
      </c>
      <c r="V25" s="98">
        <v>33211405731</v>
      </c>
      <c r="W25" s="98">
        <v>72434709311</v>
      </c>
      <c r="X25" s="97">
        <f t="shared" si="2"/>
        <v>45.850126337093599</v>
      </c>
      <c r="Y25" s="98">
        <v>7136249569</v>
      </c>
      <c r="Z25" s="98">
        <v>72434709311</v>
      </c>
      <c r="AA25" s="100">
        <f t="shared" si="16"/>
        <v>9.8519751606379167</v>
      </c>
      <c r="AB25" s="98">
        <v>7549752120</v>
      </c>
      <c r="AC25" s="98">
        <v>72434709311</v>
      </c>
      <c r="AD25" s="100">
        <f t="shared" si="3"/>
        <v>10.422837603427073</v>
      </c>
      <c r="AE25" s="98" t="s">
        <v>154</v>
      </c>
      <c r="AF25" s="98" t="s">
        <v>155</v>
      </c>
      <c r="AG25" s="97">
        <f t="shared" si="17"/>
        <v>56.66123012635174</v>
      </c>
      <c r="AH25" s="98">
        <v>1577669717</v>
      </c>
      <c r="AI25" s="98">
        <v>101258883060</v>
      </c>
      <c r="AJ25" s="100">
        <f t="shared" si="18"/>
        <v>1.5580556187501757</v>
      </c>
      <c r="AK25" s="98">
        <v>10918705679</v>
      </c>
      <c r="AL25" s="98">
        <v>101258883060</v>
      </c>
      <c r="AM25" s="100">
        <f t="shared" si="4"/>
        <v>10.78296081197165</v>
      </c>
      <c r="AN25" s="98">
        <v>49620439462</v>
      </c>
      <c r="AO25" s="98">
        <v>68291555507</v>
      </c>
      <c r="AP25" s="97">
        <f t="shared" si="5"/>
        <v>72.659700154163019</v>
      </c>
      <c r="AQ25" s="98">
        <v>1024522322</v>
      </c>
      <c r="AR25" s="98">
        <v>68291555507</v>
      </c>
      <c r="AS25" s="100">
        <f t="shared" si="19"/>
        <v>1.5002181666443148</v>
      </c>
      <c r="AT25" s="98">
        <v>7655638756</v>
      </c>
      <c r="AU25" s="98">
        <v>68291555507</v>
      </c>
      <c r="AV25" s="100">
        <f t="shared" si="6"/>
        <v>11.210227529837542</v>
      </c>
      <c r="AW25" s="98">
        <v>61146496353</v>
      </c>
      <c r="AX25" s="98">
        <v>104333443558</v>
      </c>
      <c r="AY25" s="97">
        <f t="shared" si="7"/>
        <v>58.606803597935553</v>
      </c>
      <c r="AZ25" s="98">
        <v>3433872746</v>
      </c>
      <c r="BA25" s="98">
        <v>104333443558</v>
      </c>
      <c r="BB25" s="100">
        <f t="shared" si="20"/>
        <v>3.2912483561333583</v>
      </c>
      <c r="BC25" s="98">
        <v>7924701229</v>
      </c>
      <c r="BD25" s="98">
        <v>104333443558</v>
      </c>
      <c r="BE25" s="99">
        <f t="shared" si="8"/>
        <v>7.5955522589404234</v>
      </c>
      <c r="BF25" s="98">
        <v>60172500185</v>
      </c>
      <c r="BG25" s="98">
        <v>103164188726</v>
      </c>
      <c r="BH25" s="97">
        <f t="shared" si="9"/>
        <v>58.326926163124085</v>
      </c>
      <c r="BI25" s="98">
        <v>5587578543</v>
      </c>
      <c r="BJ25" s="98">
        <v>103164188726</v>
      </c>
      <c r="BK25" s="100">
        <f t="shared" si="10"/>
        <v>5.4161997607913994</v>
      </c>
      <c r="BL25" s="98">
        <v>8602535442</v>
      </c>
      <c r="BM25" s="98">
        <v>103164188726</v>
      </c>
      <c r="BN25" s="99">
        <f t="shared" si="11"/>
        <v>8.3386837508585394</v>
      </c>
    </row>
    <row r="26" spans="1:66" ht="15.75" customHeight="1" x14ac:dyDescent="0.45">
      <c r="A26" s="54">
        <v>31</v>
      </c>
      <c r="B26" s="55" t="s">
        <v>44</v>
      </c>
      <c r="C26" s="97">
        <v>77.819999999999993</v>
      </c>
      <c r="D26" s="98">
        <v>1290061378</v>
      </c>
      <c r="E26" s="98">
        <v>17543635683</v>
      </c>
      <c r="F26" s="97">
        <f t="shared" si="0"/>
        <v>7.3534437291700341</v>
      </c>
      <c r="G26" s="98">
        <v>1580579171</v>
      </c>
      <c r="H26" s="98">
        <v>17543635683</v>
      </c>
      <c r="I26" s="99">
        <f t="shared" si="12"/>
        <v>9.0094162895300016</v>
      </c>
      <c r="J26" s="98">
        <v>4454925103</v>
      </c>
      <c r="K26" s="98">
        <v>17543635683</v>
      </c>
      <c r="L26" s="99">
        <f t="shared" si="13"/>
        <v>25.393397260961574</v>
      </c>
      <c r="M26" s="98">
        <v>2304754855</v>
      </c>
      <c r="N26" s="98">
        <v>21070184293</v>
      </c>
      <c r="O26" s="97">
        <f t="shared" si="14"/>
        <v>10.938465572727301</v>
      </c>
      <c r="P26" s="98">
        <v>966840564</v>
      </c>
      <c r="Q26" s="98">
        <v>21070184293</v>
      </c>
      <c r="R26" s="99">
        <f t="shared" si="15"/>
        <v>4.5886668600293481</v>
      </c>
      <c r="S26" s="98">
        <v>7137108438</v>
      </c>
      <c r="T26" s="98">
        <v>21070184293</v>
      </c>
      <c r="U26" s="100">
        <f t="shared" si="1"/>
        <v>33.873023314613867</v>
      </c>
      <c r="V26" s="98">
        <v>1330119070</v>
      </c>
      <c r="W26" s="98">
        <v>29326592103</v>
      </c>
      <c r="X26" s="97">
        <f t="shared" si="2"/>
        <v>4.5355391629835289</v>
      </c>
      <c r="Y26" s="98">
        <v>1352890277</v>
      </c>
      <c r="Z26" s="98">
        <v>29326592103</v>
      </c>
      <c r="AA26" s="100">
        <f t="shared" si="16"/>
        <v>4.6131861221665931</v>
      </c>
      <c r="AB26" s="98">
        <v>6800413796</v>
      </c>
      <c r="AC26" s="98">
        <v>29326592103</v>
      </c>
      <c r="AD26" s="100">
        <f t="shared" si="3"/>
        <v>23.188557920796885</v>
      </c>
      <c r="AE26" s="98" t="s">
        <v>156</v>
      </c>
      <c r="AF26" s="98" t="s">
        <v>157</v>
      </c>
      <c r="AG26" s="97">
        <f t="shared" si="17"/>
        <v>9.2681872597909312</v>
      </c>
      <c r="AH26" s="98">
        <v>559015732</v>
      </c>
      <c r="AI26" s="98">
        <v>27767737378</v>
      </c>
      <c r="AJ26" s="100">
        <f t="shared" si="18"/>
        <v>2.0131843095105779</v>
      </c>
      <c r="AK26" s="98">
        <v>7166203116</v>
      </c>
      <c r="AL26" s="98">
        <v>27767737378</v>
      </c>
      <c r="AM26" s="100">
        <f t="shared" si="4"/>
        <v>25.807659509476942</v>
      </c>
      <c r="AN26" s="98">
        <v>2115416738</v>
      </c>
      <c r="AO26" s="98">
        <v>18380798163</v>
      </c>
      <c r="AP26" s="97">
        <f t="shared" si="5"/>
        <v>11.5088404716737</v>
      </c>
      <c r="AQ26" s="98">
        <v>527686327</v>
      </c>
      <c r="AR26" s="98">
        <v>18380798163</v>
      </c>
      <c r="AS26" s="100">
        <f t="shared" si="19"/>
        <v>2.870856435724412</v>
      </c>
      <c r="AT26" s="98">
        <v>6464194731</v>
      </c>
      <c r="AU26" s="98">
        <v>18380798163</v>
      </c>
      <c r="AV26" s="100">
        <f t="shared" si="6"/>
        <v>35.168193860113384</v>
      </c>
      <c r="AW26" s="98">
        <v>2486450387</v>
      </c>
      <c r="AX26" s="98">
        <v>30816532698</v>
      </c>
      <c r="AY26" s="97">
        <f t="shared" si="7"/>
        <v>8.0685598583301079</v>
      </c>
      <c r="AZ26" s="98">
        <v>459963813</v>
      </c>
      <c r="BA26" s="98">
        <v>30816532698</v>
      </c>
      <c r="BB26" s="100">
        <f t="shared" si="20"/>
        <v>1.4925878180638139</v>
      </c>
      <c r="BC26" s="98">
        <v>8084334196</v>
      </c>
      <c r="BD26" s="98">
        <v>30816532698</v>
      </c>
      <c r="BE26" s="99">
        <f t="shared" si="8"/>
        <v>26.233756650126555</v>
      </c>
      <c r="BF26" s="98">
        <v>2251771184</v>
      </c>
      <c r="BG26" s="98">
        <v>24014316651</v>
      </c>
      <c r="BH26" s="97">
        <f t="shared" si="9"/>
        <v>9.376786425884962</v>
      </c>
      <c r="BI26" s="98">
        <v>1142037618</v>
      </c>
      <c r="BJ26" s="98">
        <v>24014316651</v>
      </c>
      <c r="BK26" s="100">
        <f t="shared" si="10"/>
        <v>4.7556531988697808</v>
      </c>
      <c r="BL26" s="98">
        <v>7107614077</v>
      </c>
      <c r="BM26" s="98">
        <v>24014316651</v>
      </c>
      <c r="BN26" s="99">
        <f t="shared" si="11"/>
        <v>29.597403000447343</v>
      </c>
    </row>
    <row r="27" spans="1:66" ht="15.75" customHeight="1" x14ac:dyDescent="0.45">
      <c r="A27" s="54">
        <v>32</v>
      </c>
      <c r="B27" s="55" t="s">
        <v>45</v>
      </c>
      <c r="C27" s="97">
        <v>70.97</v>
      </c>
      <c r="D27" s="98">
        <v>6037593090</v>
      </c>
      <c r="E27" s="98">
        <v>11164606964</v>
      </c>
      <c r="F27" s="97">
        <f t="shared" si="0"/>
        <v>54.077972556204358</v>
      </c>
      <c r="G27" s="98">
        <v>921503847</v>
      </c>
      <c r="H27" s="98">
        <v>11164606964</v>
      </c>
      <c r="I27" s="99">
        <f t="shared" si="12"/>
        <v>8.2537956774597294</v>
      </c>
      <c r="J27" s="98">
        <v>4811176538</v>
      </c>
      <c r="K27" s="98">
        <v>11164606964</v>
      </c>
      <c r="L27" s="99">
        <f t="shared" si="13"/>
        <v>43.093111593749065</v>
      </c>
      <c r="M27" s="98">
        <v>5647778955</v>
      </c>
      <c r="N27" s="98">
        <v>14407987790</v>
      </c>
      <c r="O27" s="97">
        <f t="shared" si="14"/>
        <v>39.198943234251587</v>
      </c>
      <c r="P27" s="98">
        <v>792039996</v>
      </c>
      <c r="Q27" s="98">
        <v>14407987790</v>
      </c>
      <c r="R27" s="99">
        <f t="shared" si="15"/>
        <v>5.4972283954163457</v>
      </c>
      <c r="S27" s="98">
        <v>8973481783</v>
      </c>
      <c r="T27" s="98">
        <v>14407987790</v>
      </c>
      <c r="U27" s="100">
        <f t="shared" si="1"/>
        <v>62.281297803626188</v>
      </c>
      <c r="V27" s="98">
        <v>9039469255</v>
      </c>
      <c r="W27" s="98">
        <v>17728831180</v>
      </c>
      <c r="X27" s="97">
        <f t="shared" si="2"/>
        <v>50.987395408206496</v>
      </c>
      <c r="Y27" s="98">
        <v>1063524886</v>
      </c>
      <c r="Z27" s="98">
        <v>17728831180</v>
      </c>
      <c r="AA27" s="100">
        <f t="shared" si="16"/>
        <v>5.9988437771338745</v>
      </c>
      <c r="AB27" s="98">
        <v>8537525668</v>
      </c>
      <c r="AC27" s="98">
        <v>17728831180</v>
      </c>
      <c r="AD27" s="100">
        <f t="shared" si="3"/>
        <v>48.156167664517177</v>
      </c>
      <c r="AE27" s="98" t="s">
        <v>158</v>
      </c>
      <c r="AF27" s="98" t="s">
        <v>159</v>
      </c>
      <c r="AG27" s="97">
        <f t="shared" si="17"/>
        <v>48.68121653561996</v>
      </c>
      <c r="AH27" s="98">
        <v>403021866</v>
      </c>
      <c r="AI27" s="98">
        <v>24496278178</v>
      </c>
      <c r="AJ27" s="100">
        <f t="shared" si="18"/>
        <v>1.6452371379500099</v>
      </c>
      <c r="AK27" s="98">
        <v>7858699006</v>
      </c>
      <c r="AL27" s="98">
        <v>24496278178</v>
      </c>
      <c r="AM27" s="100">
        <f t="shared" si="4"/>
        <v>32.08119596330296</v>
      </c>
      <c r="AN27" s="98">
        <v>9294704466</v>
      </c>
      <c r="AO27" s="98">
        <v>24045591080</v>
      </c>
      <c r="AP27" s="97">
        <f t="shared" si="5"/>
        <v>38.654506080039354</v>
      </c>
      <c r="AQ27" s="98">
        <v>653749690</v>
      </c>
      <c r="AR27" s="98">
        <v>24045591080</v>
      </c>
      <c r="AS27" s="100">
        <f t="shared" si="19"/>
        <v>2.7187923466924397</v>
      </c>
      <c r="AT27" s="98">
        <v>8821370368</v>
      </c>
      <c r="AU27" s="98">
        <v>24045591080</v>
      </c>
      <c r="AV27" s="100">
        <f t="shared" si="6"/>
        <v>36.686020063516779</v>
      </c>
      <c r="AW27" s="98">
        <v>9105260796</v>
      </c>
      <c r="AX27" s="98">
        <v>23585879325</v>
      </c>
      <c r="AY27" s="97">
        <f t="shared" si="7"/>
        <v>38.604712042042976</v>
      </c>
      <c r="AZ27" s="98">
        <v>795383279</v>
      </c>
      <c r="BA27" s="98">
        <v>23585879325</v>
      </c>
      <c r="BB27" s="100">
        <f t="shared" si="20"/>
        <v>3.3722858836003988</v>
      </c>
      <c r="BC27" s="98">
        <v>10851433275</v>
      </c>
      <c r="BD27" s="98">
        <v>23585879325</v>
      </c>
      <c r="BE27" s="99">
        <f t="shared" si="8"/>
        <v>46.008177712916371</v>
      </c>
      <c r="BF27" s="98">
        <v>10832003577</v>
      </c>
      <c r="BG27" s="98">
        <v>26622889664</v>
      </c>
      <c r="BH27" s="97">
        <f t="shared" si="9"/>
        <v>40.686806404968316</v>
      </c>
      <c r="BI27" s="98">
        <v>939310564</v>
      </c>
      <c r="BJ27" s="98">
        <v>26622889664</v>
      </c>
      <c r="BK27" s="100">
        <f t="shared" si="10"/>
        <v>3.5282066517000006</v>
      </c>
      <c r="BL27" s="98">
        <v>11195643823</v>
      </c>
      <c r="BM27" s="98">
        <v>26622889664</v>
      </c>
      <c r="BN27" s="99">
        <f t="shared" si="11"/>
        <v>42.052699629142708</v>
      </c>
    </row>
    <row r="28" spans="1:66" ht="15.75" customHeight="1" x14ac:dyDescent="0.45">
      <c r="A28" s="54">
        <v>33</v>
      </c>
      <c r="B28" s="55" t="s">
        <v>89</v>
      </c>
      <c r="C28" s="97">
        <v>3.33</v>
      </c>
      <c r="D28" s="98">
        <v>367686343</v>
      </c>
      <c r="E28" s="98">
        <v>999575416</v>
      </c>
      <c r="F28" s="97">
        <f t="shared" si="0"/>
        <v>36.784252304980654</v>
      </c>
      <c r="G28" s="98">
        <v>401258477</v>
      </c>
      <c r="H28" s="98">
        <v>999575416</v>
      </c>
      <c r="I28" s="99">
        <f t="shared" si="12"/>
        <v>40.142891729542093</v>
      </c>
      <c r="J28" s="98">
        <v>700730026</v>
      </c>
      <c r="K28" s="98">
        <v>999575416</v>
      </c>
      <c r="L28" s="99">
        <f t="shared" si="13"/>
        <v>70.102767113272023</v>
      </c>
      <c r="M28" s="98">
        <v>1317914302</v>
      </c>
      <c r="N28" s="98">
        <v>6465667393</v>
      </c>
      <c r="O28" s="97">
        <f t="shared" si="14"/>
        <v>20.383267834451686</v>
      </c>
      <c r="P28" s="98">
        <v>525321136</v>
      </c>
      <c r="Q28" s="98">
        <v>6465667393</v>
      </c>
      <c r="R28" s="99">
        <f t="shared" si="15"/>
        <v>8.1247782180805412</v>
      </c>
      <c r="S28" s="98">
        <v>2243626127</v>
      </c>
      <c r="T28" s="98">
        <v>6465667393</v>
      </c>
      <c r="U28" s="100">
        <f t="shared" si="1"/>
        <v>34.700611562992592</v>
      </c>
      <c r="V28" s="98">
        <v>24566279</v>
      </c>
      <c r="W28" s="98">
        <v>6246144097</v>
      </c>
      <c r="X28" s="97">
        <f t="shared" si="2"/>
        <v>0.39330311018279412</v>
      </c>
      <c r="Y28" s="98">
        <v>316632706</v>
      </c>
      <c r="Z28" s="98">
        <v>6246144097</v>
      </c>
      <c r="AA28" s="100">
        <f t="shared" si="16"/>
        <v>5.0692507422631756</v>
      </c>
      <c r="AB28" s="98">
        <v>1403007192</v>
      </c>
      <c r="AC28" s="98">
        <v>6246144097</v>
      </c>
      <c r="AD28" s="100">
        <f t="shared" si="3"/>
        <v>22.461972862167222</v>
      </c>
      <c r="AE28" s="98" t="s">
        <v>160</v>
      </c>
      <c r="AF28" s="98" t="s">
        <v>161</v>
      </c>
      <c r="AG28" s="97">
        <f t="shared" si="17"/>
        <v>7.6597825749731827</v>
      </c>
      <c r="AH28" s="98">
        <v>1585070166</v>
      </c>
      <c r="AI28" s="98">
        <v>9130443027</v>
      </c>
      <c r="AJ28" s="100">
        <f t="shared" si="18"/>
        <v>17.360276618699942</v>
      </c>
      <c r="AK28" s="98">
        <v>1818751015</v>
      </c>
      <c r="AL28" s="98">
        <v>9130443027</v>
      </c>
      <c r="AM28" s="100">
        <f t="shared" si="4"/>
        <v>19.919635987231928</v>
      </c>
      <c r="AN28" s="98">
        <v>331247619</v>
      </c>
      <c r="AO28" s="98">
        <v>9533159566</v>
      </c>
      <c r="AP28" s="97">
        <f t="shared" si="5"/>
        <v>3.4746887084675908</v>
      </c>
      <c r="AQ28" s="98">
        <v>214846128</v>
      </c>
      <c r="AR28" s="98">
        <v>9533159566</v>
      </c>
      <c r="AS28" s="100">
        <f t="shared" si="19"/>
        <v>2.2536717917346984</v>
      </c>
      <c r="AT28" s="98">
        <v>1582285603</v>
      </c>
      <c r="AU28" s="98">
        <v>9533159566</v>
      </c>
      <c r="AV28" s="100">
        <f t="shared" si="6"/>
        <v>16.597703962107371</v>
      </c>
      <c r="AW28" s="98">
        <v>334365823</v>
      </c>
      <c r="AX28" s="98">
        <v>1377969527</v>
      </c>
      <c r="AY28" s="97">
        <f t="shared" si="7"/>
        <v>24.265110109361657</v>
      </c>
      <c r="AZ28" s="98">
        <v>656789619</v>
      </c>
      <c r="BA28" s="98">
        <v>1377969527</v>
      </c>
      <c r="BB28" s="100">
        <f t="shared" si="20"/>
        <v>47.663580807182825</v>
      </c>
      <c r="BC28" s="98">
        <v>3021417555</v>
      </c>
      <c r="BD28" s="98">
        <v>1377969527</v>
      </c>
      <c r="BE28" s="99">
        <f t="shared" si="8"/>
        <v>219.2659195866238</v>
      </c>
      <c r="BF28" s="98">
        <v>1746579747</v>
      </c>
      <c r="BG28" s="98">
        <v>4771167542</v>
      </c>
      <c r="BH28" s="97">
        <f t="shared" si="9"/>
        <v>36.60696740630199</v>
      </c>
      <c r="BI28" s="98">
        <v>872106091</v>
      </c>
      <c r="BJ28" s="98">
        <v>4771167542</v>
      </c>
      <c r="BK28" s="100">
        <f t="shared" si="10"/>
        <v>18.278672532937851</v>
      </c>
      <c r="BL28" s="98">
        <v>2272369460</v>
      </c>
      <c r="BM28" s="98">
        <v>4771167542</v>
      </c>
      <c r="BN28" s="99">
        <f t="shared" si="11"/>
        <v>47.627115166185455</v>
      </c>
    </row>
    <row r="29" spans="1:66" ht="15.75" customHeight="1" x14ac:dyDescent="0.45">
      <c r="A29" s="54"/>
      <c r="C29" s="92"/>
      <c r="D29" s="92"/>
      <c r="L29" s="101"/>
    </row>
    <row r="30" spans="1:66" ht="15.75" customHeight="1" x14ac:dyDescent="0.45">
      <c r="A30" s="54"/>
      <c r="C30" s="92"/>
      <c r="D30" s="92"/>
    </row>
    <row r="31" spans="1:66" ht="15.75" customHeight="1" x14ac:dyDescent="0.45">
      <c r="A31" s="53" t="s">
        <v>95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88"/>
      <c r="V31" s="53"/>
      <c r="W31" s="53"/>
      <c r="X31" s="88"/>
      <c r="Y31" s="53"/>
      <c r="Z31" s="53"/>
      <c r="AA31" s="88"/>
      <c r="AB31" s="53"/>
      <c r="AC31" s="53"/>
      <c r="AD31" s="88"/>
      <c r="AE31" s="53"/>
      <c r="AF31" s="53"/>
      <c r="AG31" s="88"/>
      <c r="AH31" s="53"/>
      <c r="AI31" s="53"/>
      <c r="AJ31" s="88"/>
      <c r="AK31" s="53"/>
      <c r="AL31" s="53"/>
      <c r="AM31" s="88"/>
      <c r="AN31" s="53"/>
      <c r="AO31" s="53"/>
      <c r="AP31" s="88"/>
      <c r="AQ31" s="53"/>
      <c r="AR31" s="53"/>
      <c r="AS31" s="88"/>
      <c r="AT31" s="53"/>
      <c r="AU31" s="53"/>
      <c r="AV31" s="88"/>
      <c r="AW31" s="53"/>
      <c r="AX31" s="53"/>
      <c r="AY31" s="88"/>
      <c r="AZ31" s="53"/>
      <c r="BA31" s="53"/>
      <c r="BB31" s="88"/>
      <c r="BC31" s="53"/>
      <c r="BD31" s="53"/>
      <c r="BE31" s="53"/>
      <c r="BF31" s="53"/>
      <c r="BG31" s="53"/>
      <c r="BH31" s="88"/>
      <c r="BI31" s="53"/>
      <c r="BJ31" s="53"/>
      <c r="BK31" s="88"/>
      <c r="BL31" s="53"/>
      <c r="BM31" s="53"/>
      <c r="BN31" s="53"/>
    </row>
    <row r="32" spans="1:66" ht="15.75" customHeight="1" x14ac:dyDescent="0.45">
      <c r="A32" s="162" t="s">
        <v>96</v>
      </c>
      <c r="B32" s="162" t="s">
        <v>92</v>
      </c>
      <c r="C32" s="162">
        <v>2015</v>
      </c>
      <c r="D32" s="162"/>
      <c r="E32" s="162"/>
      <c r="F32" s="162"/>
      <c r="G32" s="162"/>
      <c r="H32" s="162"/>
      <c r="I32" s="162"/>
      <c r="J32" s="162"/>
      <c r="K32" s="162"/>
      <c r="L32" s="162"/>
      <c r="M32" s="162">
        <v>2017</v>
      </c>
      <c r="N32" s="162"/>
      <c r="O32" s="162"/>
      <c r="P32" s="162"/>
      <c r="Q32" s="162"/>
      <c r="R32" s="162"/>
      <c r="S32" s="162"/>
      <c r="T32" s="162"/>
      <c r="U32" s="162"/>
      <c r="V32" s="162">
        <v>2018</v>
      </c>
      <c r="W32" s="162"/>
      <c r="X32" s="162"/>
      <c r="Y32" s="162"/>
      <c r="Z32" s="162"/>
      <c r="AA32" s="162"/>
      <c r="AB32" s="162"/>
      <c r="AC32" s="162"/>
      <c r="AD32" s="162"/>
      <c r="AE32" s="162">
        <v>2019</v>
      </c>
      <c r="AF32" s="162"/>
      <c r="AG32" s="162"/>
      <c r="AH32" s="162"/>
      <c r="AI32" s="162"/>
      <c r="AJ32" s="162"/>
      <c r="AK32" s="162"/>
      <c r="AL32" s="162"/>
      <c r="AM32" s="162"/>
      <c r="AN32" s="162">
        <v>2020</v>
      </c>
      <c r="AO32" s="162"/>
      <c r="AP32" s="162"/>
      <c r="AQ32" s="162"/>
      <c r="AR32" s="162"/>
      <c r="AS32" s="162"/>
      <c r="AT32" s="162"/>
      <c r="AU32" s="162"/>
      <c r="AV32" s="162"/>
      <c r="AW32" s="162">
        <v>2021</v>
      </c>
      <c r="AX32" s="162"/>
      <c r="AY32" s="162"/>
      <c r="AZ32" s="162"/>
      <c r="BA32" s="162"/>
      <c r="BB32" s="162"/>
      <c r="BC32" s="162"/>
      <c r="BD32" s="162"/>
      <c r="BE32" s="162"/>
      <c r="BF32" s="162">
        <v>2022</v>
      </c>
      <c r="BG32" s="162"/>
      <c r="BH32" s="162"/>
      <c r="BI32" s="162"/>
      <c r="BJ32" s="162"/>
      <c r="BK32" s="162"/>
      <c r="BL32" s="162"/>
      <c r="BM32" s="162"/>
      <c r="BN32" s="162"/>
    </row>
    <row r="33" spans="1:66" ht="15.75" customHeight="1" x14ac:dyDescent="0.45">
      <c r="A33" s="163"/>
      <c r="B33" s="163"/>
      <c r="C33" s="93" t="s">
        <v>101</v>
      </c>
      <c r="D33" s="117" t="s">
        <v>102</v>
      </c>
      <c r="E33" s="117" t="s">
        <v>103</v>
      </c>
      <c r="F33" s="93" t="s">
        <v>104</v>
      </c>
      <c r="G33" s="94" t="s">
        <v>105</v>
      </c>
      <c r="H33" s="117" t="s">
        <v>103</v>
      </c>
      <c r="I33" s="95" t="s">
        <v>106</v>
      </c>
      <c r="J33" s="94" t="s">
        <v>107</v>
      </c>
      <c r="K33" s="117" t="s">
        <v>103</v>
      </c>
      <c r="L33" s="95" t="s">
        <v>108</v>
      </c>
      <c r="M33" s="117" t="s">
        <v>109</v>
      </c>
      <c r="N33" s="117" t="s">
        <v>110</v>
      </c>
      <c r="O33" s="93" t="s">
        <v>104</v>
      </c>
      <c r="P33" s="94" t="s">
        <v>105</v>
      </c>
      <c r="Q33" s="117" t="s">
        <v>110</v>
      </c>
      <c r="R33" s="95" t="s">
        <v>106</v>
      </c>
      <c r="S33" s="94" t="s">
        <v>107</v>
      </c>
      <c r="T33" s="117" t="s">
        <v>110</v>
      </c>
      <c r="U33" s="96" t="s">
        <v>108</v>
      </c>
      <c r="V33" s="117" t="s">
        <v>111</v>
      </c>
      <c r="W33" s="117" t="s">
        <v>112</v>
      </c>
      <c r="X33" s="96" t="s">
        <v>104</v>
      </c>
      <c r="Y33" s="94" t="s">
        <v>105</v>
      </c>
      <c r="Z33" s="117" t="s">
        <v>112</v>
      </c>
      <c r="AA33" s="96" t="s">
        <v>106</v>
      </c>
      <c r="AB33" s="94" t="s">
        <v>107</v>
      </c>
      <c r="AC33" s="117" t="s">
        <v>112</v>
      </c>
      <c r="AD33" s="96" t="s">
        <v>108</v>
      </c>
      <c r="AE33" s="117" t="s">
        <v>111</v>
      </c>
      <c r="AF33" s="117" t="s">
        <v>112</v>
      </c>
      <c r="AG33" s="96" t="s">
        <v>104</v>
      </c>
      <c r="AH33" s="94" t="s">
        <v>105</v>
      </c>
      <c r="AI33" s="117" t="s">
        <v>112</v>
      </c>
      <c r="AJ33" s="96" t="s">
        <v>106</v>
      </c>
      <c r="AK33" s="94" t="s">
        <v>107</v>
      </c>
      <c r="AL33" s="117" t="s">
        <v>112</v>
      </c>
      <c r="AM33" s="96" t="s">
        <v>108</v>
      </c>
      <c r="AN33" s="117" t="s">
        <v>111</v>
      </c>
      <c r="AO33" s="117" t="s">
        <v>112</v>
      </c>
      <c r="AP33" s="96" t="s">
        <v>104</v>
      </c>
      <c r="AQ33" s="94" t="s">
        <v>105</v>
      </c>
      <c r="AR33" s="117" t="s">
        <v>112</v>
      </c>
      <c r="AS33" s="96" t="s">
        <v>106</v>
      </c>
      <c r="AT33" s="94" t="s">
        <v>107</v>
      </c>
      <c r="AU33" s="117" t="s">
        <v>112</v>
      </c>
      <c r="AV33" s="96" t="s">
        <v>108</v>
      </c>
      <c r="AW33" s="117" t="s">
        <v>111</v>
      </c>
      <c r="AX33" s="117" t="s">
        <v>112</v>
      </c>
      <c r="AY33" s="96" t="s">
        <v>104</v>
      </c>
      <c r="AZ33" s="94" t="s">
        <v>105</v>
      </c>
      <c r="BA33" s="117" t="s">
        <v>112</v>
      </c>
      <c r="BB33" s="96" t="s">
        <v>106</v>
      </c>
      <c r="BC33" s="94" t="s">
        <v>107</v>
      </c>
      <c r="BD33" s="117" t="s">
        <v>112</v>
      </c>
      <c r="BE33" s="95" t="s">
        <v>108</v>
      </c>
      <c r="BF33" s="117" t="s">
        <v>111</v>
      </c>
      <c r="BG33" s="117" t="s">
        <v>112</v>
      </c>
      <c r="BH33" s="96" t="s">
        <v>113</v>
      </c>
      <c r="BI33" s="94" t="s">
        <v>105</v>
      </c>
      <c r="BJ33" s="117" t="s">
        <v>112</v>
      </c>
      <c r="BK33" s="96" t="s">
        <v>106</v>
      </c>
      <c r="BL33" s="94" t="s">
        <v>107</v>
      </c>
      <c r="BM33" s="117" t="s">
        <v>112</v>
      </c>
      <c r="BN33" s="95" t="s">
        <v>108</v>
      </c>
    </row>
    <row r="34" spans="1:66" ht="15.75" customHeight="1" x14ac:dyDescent="0.45">
      <c r="A34" s="54">
        <v>11</v>
      </c>
      <c r="B34" s="58" t="s">
        <v>54</v>
      </c>
      <c r="C34" s="97">
        <v>52.56</v>
      </c>
      <c r="D34" s="102">
        <v>170231335</v>
      </c>
      <c r="E34" s="98">
        <v>8820916624</v>
      </c>
      <c r="F34" s="97">
        <f t="shared" ref="F34:F66" si="21">(D34/E34)*100</f>
        <v>1.929859925632146</v>
      </c>
      <c r="G34" s="98">
        <v>2018383901</v>
      </c>
      <c r="H34" s="98">
        <v>8820916624</v>
      </c>
      <c r="I34" s="99">
        <f t="shared" ref="I34:I66" si="22">(G34/H34)*100</f>
        <v>22.881793208524041</v>
      </c>
      <c r="J34" s="98">
        <v>690419475</v>
      </c>
      <c r="K34" s="98">
        <v>8820916624</v>
      </c>
      <c r="L34" s="99">
        <f t="shared" ref="L34:L66" si="23">(J34/K34)*100</f>
        <v>7.827071770767029</v>
      </c>
      <c r="M34" s="102">
        <v>560187181</v>
      </c>
      <c r="N34" s="102">
        <v>10561137837</v>
      </c>
      <c r="O34" s="99">
        <f t="shared" ref="O34:O66" si="24">(M34/N34)*100</f>
        <v>5.304231320960838</v>
      </c>
      <c r="P34" s="102">
        <v>243922316</v>
      </c>
      <c r="Q34" s="102">
        <v>10561137837</v>
      </c>
      <c r="R34" s="99">
        <f t="shared" ref="R34:R66" si="25">(P34/Q34)*100</f>
        <v>2.3096215556001933</v>
      </c>
      <c r="S34" s="102">
        <v>386069713.9375</v>
      </c>
      <c r="T34" s="102">
        <v>10561137837</v>
      </c>
      <c r="U34" s="100">
        <f t="shared" ref="U34:U66" si="26">(S34/T34)*100</f>
        <v>3.6555693136106924</v>
      </c>
      <c r="V34" s="102">
        <v>23336962</v>
      </c>
      <c r="W34" s="102">
        <v>7051187039</v>
      </c>
      <c r="X34" s="100">
        <f t="shared" ref="X34:X66" si="27">(V34/W34)*100</f>
        <v>0.33096501157781871</v>
      </c>
      <c r="Y34" s="102">
        <v>276016573</v>
      </c>
      <c r="Z34" s="102">
        <v>7051187039</v>
      </c>
      <c r="AA34" s="100">
        <f t="shared" ref="AA34:AA66" si="28">(Y34/Z34)*100</f>
        <v>3.9144695988541622</v>
      </c>
      <c r="AB34" s="102">
        <v>831047940</v>
      </c>
      <c r="AC34" s="102">
        <v>7051187039</v>
      </c>
      <c r="AD34" s="100">
        <f t="shared" ref="AD34:AD66" si="29">(AB34/AC34)*100</f>
        <v>11.785929594598574</v>
      </c>
      <c r="AE34" s="102">
        <v>48822112</v>
      </c>
      <c r="AF34" s="102">
        <v>8047417222</v>
      </c>
      <c r="AG34" s="100">
        <f t="shared" ref="AG34:AG66" si="30">(AE34/AF34)*100</f>
        <v>0.60668051193531125</v>
      </c>
      <c r="AH34" s="102">
        <v>373719903</v>
      </c>
      <c r="AI34" s="102">
        <v>8047417222</v>
      </c>
      <c r="AJ34" s="100">
        <f t="shared" ref="AJ34:AJ66" si="31">(AH34/AI34)*100</f>
        <v>4.6439732486881118</v>
      </c>
      <c r="AK34" s="102">
        <v>775270171</v>
      </c>
      <c r="AL34" s="102">
        <v>8047417222</v>
      </c>
      <c r="AM34" s="100">
        <f t="shared" ref="AM34:AM66" si="32">(AK34/AL34)*100</f>
        <v>9.6337762739648856</v>
      </c>
      <c r="AN34" s="102">
        <v>177589427</v>
      </c>
      <c r="AO34" s="102">
        <v>7949097525</v>
      </c>
      <c r="AP34" s="100">
        <f t="shared" ref="AP34:AP66" si="33">(AN34/AO34)*100</f>
        <v>2.2340828809997526</v>
      </c>
      <c r="AQ34" s="102">
        <v>191143710</v>
      </c>
      <c r="AR34" s="102">
        <v>7949097525</v>
      </c>
      <c r="AS34" s="100">
        <f t="shared" ref="AS34:AS66" si="34">(AQ34/AR34)*100</f>
        <v>2.4045963632833902</v>
      </c>
      <c r="AT34" s="102">
        <v>528680869</v>
      </c>
      <c r="AU34" s="102">
        <v>7949097525</v>
      </c>
      <c r="AV34" s="100">
        <f t="shared" ref="AV34:AV66" si="35">(AT34/AU34)*100</f>
        <v>6.6508288184576019</v>
      </c>
      <c r="AW34" s="102">
        <v>29051068</v>
      </c>
      <c r="AX34" s="102">
        <v>10365427235</v>
      </c>
      <c r="AY34" s="100">
        <f t="shared" ref="AY34:AY66" si="36">(AW34/AX34)*100</f>
        <v>0.2802688913960622</v>
      </c>
      <c r="AZ34" s="102">
        <v>261606698</v>
      </c>
      <c r="BA34" s="102">
        <v>10365427235</v>
      </c>
      <c r="BB34" s="100">
        <f t="shared" ref="BB34:BB66" si="37">(AZ34/BA34)*100</f>
        <v>2.5238390282327807</v>
      </c>
      <c r="BC34" s="102">
        <v>629468564</v>
      </c>
      <c r="BD34" s="102">
        <v>10365427235</v>
      </c>
      <c r="BE34" s="99">
        <f t="shared" ref="BE34:BE66" si="38">(BC34/BD34)*100</f>
        <v>6.0727700820138937</v>
      </c>
      <c r="BF34" s="102">
        <v>164026402</v>
      </c>
      <c r="BG34" s="102">
        <v>9719756213</v>
      </c>
      <c r="BH34" s="103">
        <f>(BF34/BG34)*100</f>
        <v>1.6875567494235875</v>
      </c>
      <c r="BI34" s="102">
        <v>367806643</v>
      </c>
      <c r="BJ34" s="102">
        <v>9719756213</v>
      </c>
      <c r="BK34" s="104">
        <f t="shared" ref="BK34:BK68" si="39">(BI34/BJ34)*100</f>
        <v>3.7841138701407471</v>
      </c>
      <c r="BL34" s="102">
        <v>637231492</v>
      </c>
      <c r="BM34" s="102">
        <v>9719756213</v>
      </c>
      <c r="BN34" s="105">
        <f t="shared" ref="BN34:BN68" si="40">(BL34/BM34)*100</f>
        <v>6.556043979248309</v>
      </c>
    </row>
    <row r="35" spans="1:66" ht="15.75" customHeight="1" x14ac:dyDescent="0.45">
      <c r="A35" s="54">
        <v>12</v>
      </c>
      <c r="B35" s="58" t="s">
        <v>17</v>
      </c>
      <c r="C35" s="97">
        <v>73.708539000253751</v>
      </c>
      <c r="D35" s="102">
        <v>6823373210</v>
      </c>
      <c r="E35" s="98">
        <v>100356505678</v>
      </c>
      <c r="F35" s="97">
        <f t="shared" si="21"/>
        <v>6.7991339115504994</v>
      </c>
      <c r="G35" s="98">
        <v>3702754343</v>
      </c>
      <c r="H35" s="98">
        <v>100356505678</v>
      </c>
      <c r="I35" s="99">
        <f t="shared" si="22"/>
        <v>3.6896007069840739</v>
      </c>
      <c r="J35" s="98">
        <v>5548872937</v>
      </c>
      <c r="K35" s="98">
        <v>100356505678</v>
      </c>
      <c r="L35" s="99">
        <f t="shared" si="23"/>
        <v>5.5291611635063287</v>
      </c>
      <c r="M35" s="102">
        <v>12901656695</v>
      </c>
      <c r="N35" s="102">
        <v>213861480323</v>
      </c>
      <c r="O35" s="99">
        <f t="shared" si="24"/>
        <v>6.0327164459510554</v>
      </c>
      <c r="P35" s="102">
        <v>5987544954</v>
      </c>
      <c r="Q35" s="102">
        <v>213861480323</v>
      </c>
      <c r="R35" s="99">
        <f t="shared" si="25"/>
        <v>2.7997304353064751</v>
      </c>
      <c r="S35" s="102">
        <v>10617310900.8125</v>
      </c>
      <c r="T35" s="102">
        <v>213861480323</v>
      </c>
      <c r="U35" s="100">
        <f t="shared" si="26"/>
        <v>4.9645737440781419</v>
      </c>
      <c r="V35" s="102">
        <v>17335567949</v>
      </c>
      <c r="W35" s="102">
        <v>158409403320</v>
      </c>
      <c r="X35" s="100">
        <f t="shared" si="27"/>
        <v>10.943522029421908</v>
      </c>
      <c r="Y35" s="102">
        <v>5488080889</v>
      </c>
      <c r="Z35" s="102">
        <v>158409403320</v>
      </c>
      <c r="AA35" s="100">
        <f t="shared" si="28"/>
        <v>3.4644918634745601</v>
      </c>
      <c r="AB35" s="102">
        <v>9055652434</v>
      </c>
      <c r="AC35" s="102">
        <v>158409403320</v>
      </c>
      <c r="AD35" s="100">
        <f t="shared" si="29"/>
        <v>5.7166129309298883</v>
      </c>
      <c r="AE35" s="102">
        <v>19571798149</v>
      </c>
      <c r="AF35" s="102">
        <v>163340830845</v>
      </c>
      <c r="AG35" s="100">
        <f t="shared" si="30"/>
        <v>11.982183540851695</v>
      </c>
      <c r="AH35" s="102">
        <v>4774982432</v>
      </c>
      <c r="AI35" s="102">
        <v>163340830845</v>
      </c>
      <c r="AJ35" s="100">
        <f t="shared" si="31"/>
        <v>2.9233244420870816</v>
      </c>
      <c r="AK35" s="102">
        <v>10383095645</v>
      </c>
      <c r="AL35" s="102">
        <v>163340830845</v>
      </c>
      <c r="AM35" s="100">
        <f t="shared" si="32"/>
        <v>6.3567055409757849</v>
      </c>
      <c r="AN35" s="102">
        <v>15610218354</v>
      </c>
      <c r="AO35" s="102">
        <v>153691817188</v>
      </c>
      <c r="AP35" s="100">
        <f t="shared" si="33"/>
        <v>10.156831144045332</v>
      </c>
      <c r="AQ35" s="102">
        <v>4570513315</v>
      </c>
      <c r="AR35" s="102">
        <v>153691817188</v>
      </c>
      <c r="AS35" s="100">
        <f t="shared" si="34"/>
        <v>2.9738169530582259</v>
      </c>
      <c r="AT35" s="102">
        <v>9320056473</v>
      </c>
      <c r="AU35" s="102">
        <v>153691817188</v>
      </c>
      <c r="AV35" s="100">
        <f t="shared" si="35"/>
        <v>6.064120161712613</v>
      </c>
      <c r="AW35" s="102">
        <v>19266218953</v>
      </c>
      <c r="AX35" s="102">
        <v>174866906441</v>
      </c>
      <c r="AY35" s="100">
        <f t="shared" si="36"/>
        <v>11.017647275358195</v>
      </c>
      <c r="AZ35" s="102">
        <v>4613283992</v>
      </c>
      <c r="BA35" s="102">
        <v>174866906441</v>
      </c>
      <c r="BB35" s="100">
        <f t="shared" si="37"/>
        <v>2.6381686997799778</v>
      </c>
      <c r="BC35" s="102">
        <v>10241245954</v>
      </c>
      <c r="BD35" s="102">
        <v>174866906441</v>
      </c>
      <c r="BE35" s="99">
        <f t="shared" si="38"/>
        <v>5.8565946881752557</v>
      </c>
      <c r="BF35" s="102">
        <v>14540920982</v>
      </c>
      <c r="BG35" s="102">
        <v>182599712133</v>
      </c>
      <c r="BH35" s="97">
        <f t="shared" ref="BH35:BH68" si="41">(BF35/BG35)*100</f>
        <v>7.9632770567616458</v>
      </c>
      <c r="BI35" s="102">
        <v>5414831810</v>
      </c>
      <c r="BJ35" s="102">
        <v>182599712133</v>
      </c>
      <c r="BK35" s="100">
        <f t="shared" si="39"/>
        <v>2.9654109235703525</v>
      </c>
      <c r="BL35" s="102">
        <v>9439814473</v>
      </c>
      <c r="BM35" s="102">
        <v>182599712133</v>
      </c>
      <c r="BN35" s="99">
        <f t="shared" si="40"/>
        <v>5.1696765360310808</v>
      </c>
    </row>
    <row r="36" spans="1:66" ht="15.75" customHeight="1" x14ac:dyDescent="0.45">
      <c r="A36" s="54">
        <v>13</v>
      </c>
      <c r="B36" s="58" t="s">
        <v>56</v>
      </c>
      <c r="C36" s="97">
        <v>62.238102947337218</v>
      </c>
      <c r="D36" s="102">
        <v>154508381</v>
      </c>
      <c r="E36" s="98">
        <v>21079471667</v>
      </c>
      <c r="F36" s="97">
        <f t="shared" si="21"/>
        <v>0.73298033006151431</v>
      </c>
      <c r="G36" s="98">
        <v>2313231872</v>
      </c>
      <c r="H36" s="98">
        <v>21079471667</v>
      </c>
      <c r="I36" s="99">
        <f t="shared" si="22"/>
        <v>10.973860771004873</v>
      </c>
      <c r="J36" s="98">
        <v>1682839880</v>
      </c>
      <c r="K36" s="98">
        <v>21079471667</v>
      </c>
      <c r="L36" s="99">
        <f t="shared" si="23"/>
        <v>7.9833114728131109</v>
      </c>
      <c r="M36" s="102">
        <v>180047902</v>
      </c>
      <c r="N36" s="102">
        <v>32205882157</v>
      </c>
      <c r="O36" s="99">
        <f t="shared" si="24"/>
        <v>0.55905284979398173</v>
      </c>
      <c r="P36" s="102">
        <v>2171976676</v>
      </c>
      <c r="Q36" s="102">
        <v>32205882157</v>
      </c>
      <c r="R36" s="99">
        <f t="shared" si="25"/>
        <v>6.7440372085194298</v>
      </c>
      <c r="S36" s="102">
        <v>1736291536.1875</v>
      </c>
      <c r="T36" s="102">
        <v>32205882157</v>
      </c>
      <c r="U36" s="100">
        <f t="shared" si="26"/>
        <v>5.3912248940217715</v>
      </c>
      <c r="V36" s="102">
        <v>866634300</v>
      </c>
      <c r="W36" s="102">
        <v>27613157088</v>
      </c>
      <c r="X36" s="100">
        <f t="shared" si="27"/>
        <v>3.1384832137742702</v>
      </c>
      <c r="Y36" s="102">
        <v>2142877887</v>
      </c>
      <c r="Z36" s="102">
        <v>27613157088</v>
      </c>
      <c r="AA36" s="100">
        <f t="shared" si="28"/>
        <v>7.7603509087022946</v>
      </c>
      <c r="AB36" s="102">
        <v>2077874517</v>
      </c>
      <c r="AC36" s="102">
        <v>27613157088</v>
      </c>
      <c r="AD36" s="100">
        <f t="shared" si="29"/>
        <v>7.52494367224309</v>
      </c>
      <c r="AE36" s="102">
        <v>1429072456</v>
      </c>
      <c r="AF36" s="102">
        <v>25954417520</v>
      </c>
      <c r="AG36" s="100">
        <f t="shared" si="30"/>
        <v>5.5060856399446561</v>
      </c>
      <c r="AH36" s="102">
        <v>2220037994</v>
      </c>
      <c r="AI36" s="102">
        <v>25954417520</v>
      </c>
      <c r="AJ36" s="100">
        <f t="shared" si="31"/>
        <v>8.5536036102111694</v>
      </c>
      <c r="AK36" s="102">
        <v>1645563759</v>
      </c>
      <c r="AL36" s="102">
        <v>25954417520</v>
      </c>
      <c r="AM36" s="100">
        <f t="shared" si="32"/>
        <v>6.340206855853955</v>
      </c>
      <c r="AN36" s="102">
        <v>1081866390</v>
      </c>
      <c r="AO36" s="102">
        <v>24677624764</v>
      </c>
      <c r="AP36" s="100">
        <f t="shared" si="33"/>
        <v>4.3839972458704333</v>
      </c>
      <c r="AQ36" s="102">
        <v>1866934159</v>
      </c>
      <c r="AR36" s="102">
        <v>24677624764</v>
      </c>
      <c r="AS36" s="100">
        <f t="shared" si="34"/>
        <v>7.5652911366231033</v>
      </c>
      <c r="AT36" s="102">
        <v>1276895571</v>
      </c>
      <c r="AU36" s="102">
        <v>24677624764</v>
      </c>
      <c r="AV36" s="100">
        <f t="shared" si="35"/>
        <v>5.1743049957658398</v>
      </c>
      <c r="AW36" s="102">
        <v>1000251558</v>
      </c>
      <c r="AX36" s="102">
        <v>28571098154</v>
      </c>
      <c r="AY36" s="100">
        <f t="shared" si="36"/>
        <v>3.5009209397853098</v>
      </c>
      <c r="AZ36" s="102">
        <v>1975859118</v>
      </c>
      <c r="BA36" s="102">
        <v>28571098154</v>
      </c>
      <c r="BB36" s="100">
        <f t="shared" si="37"/>
        <v>6.9155868890652936</v>
      </c>
      <c r="BC36" s="102">
        <v>1448222670</v>
      </c>
      <c r="BD36" s="102">
        <v>28571098154</v>
      </c>
      <c r="BE36" s="99">
        <f t="shared" si="38"/>
        <v>5.0688379641342083</v>
      </c>
      <c r="BF36" s="102">
        <v>350385776</v>
      </c>
      <c r="BG36" s="102">
        <v>36479040340</v>
      </c>
      <c r="BH36" s="97">
        <f t="shared" si="41"/>
        <v>0.96051259225642216</v>
      </c>
      <c r="BI36" s="102">
        <v>1880045511</v>
      </c>
      <c r="BJ36" s="102">
        <v>36479040340</v>
      </c>
      <c r="BK36" s="100">
        <f t="shared" si="39"/>
        <v>5.1537691054292685</v>
      </c>
      <c r="BL36" s="102">
        <v>839251955</v>
      </c>
      <c r="BM36" s="102">
        <v>36479040340</v>
      </c>
      <c r="BN36" s="99">
        <f t="shared" si="40"/>
        <v>2.3006415387516195</v>
      </c>
    </row>
    <row r="37" spans="1:66" ht="15.75" customHeight="1" x14ac:dyDescent="0.45">
      <c r="A37" s="54">
        <v>14</v>
      </c>
      <c r="B37" s="58" t="s">
        <v>57</v>
      </c>
      <c r="C37" s="97">
        <v>63.854099692619748</v>
      </c>
      <c r="D37" s="102">
        <v>605524297</v>
      </c>
      <c r="E37" s="98">
        <v>128803599951</v>
      </c>
      <c r="F37" s="97">
        <f t="shared" si="21"/>
        <v>0.47011442011741605</v>
      </c>
      <c r="G37" s="98">
        <v>1788790913</v>
      </c>
      <c r="H37" s="98">
        <v>128803599951</v>
      </c>
      <c r="I37" s="99">
        <f t="shared" si="22"/>
        <v>1.3887740045157895</v>
      </c>
      <c r="J37" s="98">
        <v>3120205109</v>
      </c>
      <c r="K37" s="98">
        <v>128803599951</v>
      </c>
      <c r="L37" s="99">
        <f t="shared" si="23"/>
        <v>2.4224517872070357</v>
      </c>
      <c r="M37" s="102">
        <v>1973177933</v>
      </c>
      <c r="N37" s="102">
        <v>180757531642</v>
      </c>
      <c r="O37" s="99">
        <f t="shared" si="24"/>
        <v>1.0916158873578694</v>
      </c>
      <c r="P37" s="102">
        <v>3611098021</v>
      </c>
      <c r="Q37" s="102">
        <v>180757531642</v>
      </c>
      <c r="R37" s="99">
        <f t="shared" si="25"/>
        <v>1.9977579845203759</v>
      </c>
      <c r="S37" s="102">
        <v>5226390523.21875</v>
      </c>
      <c r="T37" s="102">
        <v>180757531642</v>
      </c>
      <c r="U37" s="100">
        <f t="shared" si="26"/>
        <v>2.8913818836439398</v>
      </c>
      <c r="V37" s="102">
        <v>13846439885</v>
      </c>
      <c r="W37" s="102">
        <v>260908803824</v>
      </c>
      <c r="X37" s="100">
        <f t="shared" si="27"/>
        <v>5.3070037047658714</v>
      </c>
      <c r="Y37" s="102">
        <v>6207900656</v>
      </c>
      <c r="Z37" s="102">
        <v>260908803824</v>
      </c>
      <c r="AA37" s="100">
        <f t="shared" si="28"/>
        <v>2.37933736424917</v>
      </c>
      <c r="AB37" s="102">
        <v>6494878213</v>
      </c>
      <c r="AC37" s="102">
        <v>260908803824</v>
      </c>
      <c r="AD37" s="100">
        <f t="shared" si="29"/>
        <v>2.4893288834290233</v>
      </c>
      <c r="AE37" s="102">
        <v>8678927364</v>
      </c>
      <c r="AF37" s="102">
        <v>258652200242</v>
      </c>
      <c r="AG37" s="100">
        <f t="shared" si="30"/>
        <v>3.3554430837548757</v>
      </c>
      <c r="AH37" s="102">
        <v>3402348821</v>
      </c>
      <c r="AI37" s="102">
        <v>258652200242</v>
      </c>
      <c r="AJ37" s="100">
        <f t="shared" si="31"/>
        <v>1.3154146061068481</v>
      </c>
      <c r="AK37" s="102">
        <v>6193364348</v>
      </c>
      <c r="AL37" s="102">
        <v>258652200242</v>
      </c>
      <c r="AM37" s="100">
        <f t="shared" si="32"/>
        <v>2.394475802720939</v>
      </c>
      <c r="AN37" s="102">
        <v>9258483095.4005051</v>
      </c>
      <c r="AO37" s="102">
        <v>240828227215.27829</v>
      </c>
      <c r="AP37" s="100">
        <f t="shared" si="33"/>
        <v>3.8444343515946215</v>
      </c>
      <c r="AQ37" s="102">
        <v>4241874204</v>
      </c>
      <c r="AR37" s="102">
        <v>240828227215.27829</v>
      </c>
      <c r="AS37" s="100">
        <f t="shared" si="34"/>
        <v>1.7613691937399658</v>
      </c>
      <c r="AT37" s="102">
        <v>5030239921</v>
      </c>
      <c r="AU37" s="102">
        <v>240828227215.27829</v>
      </c>
      <c r="AV37" s="100">
        <f t="shared" si="35"/>
        <v>2.0887252209448972</v>
      </c>
      <c r="AW37" s="102">
        <v>4490077334</v>
      </c>
      <c r="AX37" s="102">
        <v>343479837631</v>
      </c>
      <c r="AY37" s="100">
        <f t="shared" si="36"/>
        <v>1.3072317038951453</v>
      </c>
      <c r="AZ37" s="102">
        <v>4064445277</v>
      </c>
      <c r="BA37" s="102">
        <v>343479837631</v>
      </c>
      <c r="BB37" s="100">
        <f t="shared" si="37"/>
        <v>1.1833140789377072</v>
      </c>
      <c r="BC37" s="102">
        <v>6228610512</v>
      </c>
      <c r="BD37" s="102">
        <v>343479837631</v>
      </c>
      <c r="BE37" s="99">
        <f t="shared" si="38"/>
        <v>1.813384609402136</v>
      </c>
      <c r="BF37" s="102">
        <v>2948704684</v>
      </c>
      <c r="BG37" s="102">
        <v>387664580703</v>
      </c>
      <c r="BH37" s="97">
        <f t="shared" si="41"/>
        <v>0.76063298809830648</v>
      </c>
      <c r="BI37" s="102">
        <v>6365596074</v>
      </c>
      <c r="BJ37" s="102">
        <v>387664580703</v>
      </c>
      <c r="BK37" s="100">
        <f t="shared" si="39"/>
        <v>1.6420370575141219</v>
      </c>
      <c r="BL37" s="102">
        <v>6715318481</v>
      </c>
      <c r="BM37" s="102">
        <v>387664580703</v>
      </c>
      <c r="BN37" s="99">
        <f t="shared" si="40"/>
        <v>1.7322496857521223</v>
      </c>
    </row>
    <row r="38" spans="1:66" ht="15.75" customHeight="1" x14ac:dyDescent="0.45">
      <c r="A38" s="54">
        <v>17</v>
      </c>
      <c r="B38" s="58" t="s">
        <v>58</v>
      </c>
      <c r="C38" s="97">
        <v>71.364534034398872</v>
      </c>
      <c r="D38" s="102">
        <v>159394465</v>
      </c>
      <c r="E38" s="98">
        <v>34050936779</v>
      </c>
      <c r="F38" s="97">
        <f t="shared" si="21"/>
        <v>0.46810596147328976</v>
      </c>
      <c r="G38" s="98">
        <v>1921771024</v>
      </c>
      <c r="H38" s="98">
        <v>34050936779</v>
      </c>
      <c r="I38" s="99">
        <f t="shared" si="22"/>
        <v>5.6438124932445346</v>
      </c>
      <c r="J38" s="98">
        <v>1104690480</v>
      </c>
      <c r="K38" s="98">
        <v>34050936779</v>
      </c>
      <c r="L38" s="99">
        <f t="shared" si="23"/>
        <v>3.2442293355091723</v>
      </c>
      <c r="M38" s="102">
        <v>1577144035</v>
      </c>
      <c r="N38" s="102">
        <v>35247166973</v>
      </c>
      <c r="O38" s="99">
        <f t="shared" si="24"/>
        <v>4.4745270909520825</v>
      </c>
      <c r="P38" s="102">
        <v>1277698982</v>
      </c>
      <c r="Q38" s="102">
        <v>35247166973</v>
      </c>
      <c r="R38" s="99">
        <f t="shared" si="25"/>
        <v>3.6249693003092749</v>
      </c>
      <c r="S38" s="102">
        <v>1079511863.75</v>
      </c>
      <c r="T38" s="102">
        <v>35247166973</v>
      </c>
      <c r="U38" s="100">
        <f t="shared" si="26"/>
        <v>3.062691150687165</v>
      </c>
      <c r="V38" s="102">
        <v>15265873</v>
      </c>
      <c r="W38" s="102">
        <v>23031999680</v>
      </c>
      <c r="X38" s="100">
        <f t="shared" si="27"/>
        <v>6.6281144547150325E-2</v>
      </c>
      <c r="Y38" s="102">
        <v>2091550041</v>
      </c>
      <c r="Z38" s="102">
        <v>23031999680</v>
      </c>
      <c r="AA38" s="100">
        <f t="shared" si="28"/>
        <v>9.0810614365204785</v>
      </c>
      <c r="AB38" s="102">
        <v>1204651874</v>
      </c>
      <c r="AC38" s="102">
        <v>23031999680</v>
      </c>
      <c r="AD38" s="100">
        <f t="shared" si="29"/>
        <v>5.2303399215747124</v>
      </c>
      <c r="AE38" s="102">
        <v>20305852</v>
      </c>
      <c r="AF38" s="102">
        <v>30526160994</v>
      </c>
      <c r="AG38" s="100">
        <f t="shared" si="30"/>
        <v>6.6519507657681456E-2</v>
      </c>
      <c r="AH38" s="102">
        <v>987711711</v>
      </c>
      <c r="AI38" s="102">
        <v>30526160994</v>
      </c>
      <c r="AJ38" s="100">
        <f t="shared" si="31"/>
        <v>3.2356237366177076</v>
      </c>
      <c r="AK38" s="102">
        <v>1348361848</v>
      </c>
      <c r="AL38" s="102">
        <v>30526160994</v>
      </c>
      <c r="AM38" s="100">
        <f t="shared" si="32"/>
        <v>4.4170698315619328</v>
      </c>
      <c r="AN38" s="102">
        <v>73364809</v>
      </c>
      <c r="AO38" s="102">
        <v>31183737733</v>
      </c>
      <c r="AP38" s="100">
        <f t="shared" si="33"/>
        <v>0.23526624559301029</v>
      </c>
      <c r="AQ38" s="102">
        <v>503635135</v>
      </c>
      <c r="AR38" s="102">
        <v>31183737733</v>
      </c>
      <c r="AS38" s="100">
        <f t="shared" si="34"/>
        <v>1.6150569867929307</v>
      </c>
      <c r="AT38" s="102">
        <v>1267660939</v>
      </c>
      <c r="AU38" s="102">
        <v>31183737733</v>
      </c>
      <c r="AV38" s="100">
        <f t="shared" si="35"/>
        <v>4.065134686078717</v>
      </c>
      <c r="AW38" s="102">
        <v>337175150</v>
      </c>
      <c r="AX38" s="102">
        <v>32874083384</v>
      </c>
      <c r="AY38" s="100">
        <f t="shared" si="36"/>
        <v>1.0256564299040047</v>
      </c>
      <c r="AZ38" s="102">
        <v>577347733</v>
      </c>
      <c r="BA38" s="102">
        <v>32874083384</v>
      </c>
      <c r="BB38" s="100">
        <f t="shared" si="37"/>
        <v>1.7562397900377607</v>
      </c>
      <c r="BC38" s="102">
        <v>1516940734</v>
      </c>
      <c r="BD38" s="102">
        <v>32874083384</v>
      </c>
      <c r="BE38" s="99">
        <f t="shared" si="38"/>
        <v>4.614397050347276</v>
      </c>
      <c r="BF38" s="102">
        <v>344891575</v>
      </c>
      <c r="BG38" s="102">
        <v>35463924503</v>
      </c>
      <c r="BH38" s="97">
        <f t="shared" si="41"/>
        <v>0.97251384282307662</v>
      </c>
      <c r="BI38" s="102">
        <v>575184457</v>
      </c>
      <c r="BJ38" s="102">
        <v>35463924503</v>
      </c>
      <c r="BK38" s="100">
        <f t="shared" si="39"/>
        <v>1.6218860858203763</v>
      </c>
      <c r="BL38" s="102">
        <v>1802286128</v>
      </c>
      <c r="BM38" s="102">
        <v>35463924503</v>
      </c>
      <c r="BN38" s="99">
        <f t="shared" si="40"/>
        <v>5.0820267448052432</v>
      </c>
    </row>
    <row r="39" spans="1:66" ht="15.75" customHeight="1" x14ac:dyDescent="0.45">
      <c r="A39" s="54">
        <v>16</v>
      </c>
      <c r="B39" s="58" t="s">
        <v>59</v>
      </c>
      <c r="C39" s="97">
        <v>82.283255813953488</v>
      </c>
      <c r="D39" s="102">
        <v>258634503</v>
      </c>
      <c r="E39" s="98">
        <v>26273811083</v>
      </c>
      <c r="F39" s="97">
        <f t="shared" si="21"/>
        <v>0.98438137574698803</v>
      </c>
      <c r="G39" s="98">
        <v>1180893168</v>
      </c>
      <c r="H39" s="98">
        <v>26273811083</v>
      </c>
      <c r="I39" s="99">
        <f t="shared" si="22"/>
        <v>4.4945636712904431</v>
      </c>
      <c r="J39" s="98">
        <v>2138585482</v>
      </c>
      <c r="K39" s="98">
        <v>26273811083</v>
      </c>
      <c r="L39" s="99">
        <f t="shared" si="23"/>
        <v>8.1396089636335009</v>
      </c>
      <c r="M39" s="102">
        <v>530336409</v>
      </c>
      <c r="N39" s="102">
        <v>57852404400</v>
      </c>
      <c r="O39" s="99">
        <f t="shared" si="24"/>
        <v>0.91670590790518636</v>
      </c>
      <c r="P39" s="102">
        <v>3490069458</v>
      </c>
      <c r="Q39" s="102">
        <v>57852404400</v>
      </c>
      <c r="R39" s="99">
        <f t="shared" si="25"/>
        <v>6.0327128910133938</v>
      </c>
      <c r="S39" s="102">
        <v>3262831087.625</v>
      </c>
      <c r="T39" s="102">
        <v>57852404400</v>
      </c>
      <c r="U39" s="100">
        <f t="shared" si="26"/>
        <v>5.6399230446245721</v>
      </c>
      <c r="V39" s="102">
        <v>8824115765</v>
      </c>
      <c r="W39" s="102">
        <v>65213527147</v>
      </c>
      <c r="X39" s="100">
        <f t="shared" si="27"/>
        <v>13.531112563669904</v>
      </c>
      <c r="Y39" s="102">
        <v>1750038079</v>
      </c>
      <c r="Z39" s="102">
        <v>65213527147</v>
      </c>
      <c r="AA39" s="100">
        <f t="shared" si="28"/>
        <v>2.6835507226210606</v>
      </c>
      <c r="AB39" s="102">
        <v>3599144598</v>
      </c>
      <c r="AC39" s="102">
        <v>65213527147</v>
      </c>
      <c r="AD39" s="100">
        <f t="shared" si="29"/>
        <v>5.5190153875392252</v>
      </c>
      <c r="AE39" s="102">
        <v>7456294265</v>
      </c>
      <c r="AF39" s="102">
        <v>79847272814</v>
      </c>
      <c r="AG39" s="100">
        <f t="shared" si="30"/>
        <v>9.3381952848521745</v>
      </c>
      <c r="AH39" s="102">
        <v>3593468329</v>
      </c>
      <c r="AI39" s="102">
        <v>79847272814</v>
      </c>
      <c r="AJ39" s="100">
        <f t="shared" si="31"/>
        <v>4.5004271308937431</v>
      </c>
      <c r="AK39" s="102">
        <v>4515749029</v>
      </c>
      <c r="AL39" s="102">
        <v>79847272814</v>
      </c>
      <c r="AM39" s="100">
        <f t="shared" si="32"/>
        <v>5.6554831115136501</v>
      </c>
      <c r="AN39" s="102">
        <v>5453463042.6662331</v>
      </c>
      <c r="AO39" s="102">
        <v>68028878845.804932</v>
      </c>
      <c r="AP39" s="100">
        <f t="shared" si="33"/>
        <v>8.0163941184847651</v>
      </c>
      <c r="AQ39" s="102">
        <v>3582016760</v>
      </c>
      <c r="AR39" s="102">
        <v>68028878845.804932</v>
      </c>
      <c r="AS39" s="100">
        <f t="shared" si="34"/>
        <v>5.2654355338106367</v>
      </c>
      <c r="AT39" s="102">
        <v>4226727059</v>
      </c>
      <c r="AU39" s="102">
        <v>68028878845.804932</v>
      </c>
      <c r="AV39" s="100">
        <f t="shared" si="35"/>
        <v>6.2131364366306112</v>
      </c>
      <c r="AW39" s="102">
        <v>22276393405</v>
      </c>
      <c r="AX39" s="102">
        <v>105537259897</v>
      </c>
      <c r="AY39" s="100">
        <f t="shared" si="36"/>
        <v>21.107610171744877</v>
      </c>
      <c r="AZ39" s="102">
        <v>4750382960</v>
      </c>
      <c r="BA39" s="102">
        <v>105537259897</v>
      </c>
      <c r="BB39" s="100">
        <f t="shared" si="37"/>
        <v>4.5011429751314154</v>
      </c>
      <c r="BC39" s="102">
        <v>6394867736</v>
      </c>
      <c r="BD39" s="102">
        <v>105537259897</v>
      </c>
      <c r="BE39" s="99">
        <f t="shared" si="38"/>
        <v>6.059345999925644</v>
      </c>
      <c r="BF39" s="102">
        <v>4675770854</v>
      </c>
      <c r="BG39" s="102">
        <v>78052106215</v>
      </c>
      <c r="BH39" s="97">
        <f t="shared" si="41"/>
        <v>5.9905761429682132</v>
      </c>
      <c r="BI39" s="102">
        <v>4707777162</v>
      </c>
      <c r="BJ39" s="102">
        <v>78052106215</v>
      </c>
      <c r="BK39" s="100">
        <f t="shared" si="39"/>
        <v>6.0315824777772145</v>
      </c>
      <c r="BL39" s="102">
        <v>5030360921</v>
      </c>
      <c r="BM39" s="102">
        <v>78052106215</v>
      </c>
      <c r="BN39" s="99">
        <f t="shared" si="40"/>
        <v>6.4448753082248897</v>
      </c>
    </row>
    <row r="40" spans="1:66" ht="15.75" customHeight="1" x14ac:dyDescent="0.45">
      <c r="A40" s="54">
        <v>17</v>
      </c>
      <c r="B40" s="58" t="s">
        <v>61</v>
      </c>
      <c r="C40" s="97">
        <v>86.891999999999996</v>
      </c>
      <c r="D40" s="102">
        <v>438931</v>
      </c>
      <c r="E40" s="98">
        <v>5691080106</v>
      </c>
      <c r="F40" s="97">
        <f t="shared" si="21"/>
        <v>7.7126132794589066E-3</v>
      </c>
      <c r="G40" s="98">
        <v>103008362</v>
      </c>
      <c r="H40" s="98">
        <v>5691080106</v>
      </c>
      <c r="I40" s="99">
        <f t="shared" si="22"/>
        <v>1.8099966980152011</v>
      </c>
      <c r="J40" s="98">
        <v>214969441</v>
      </c>
      <c r="K40" s="98">
        <v>5691080106</v>
      </c>
      <c r="L40" s="99">
        <f t="shared" si="23"/>
        <v>3.7773047821513126</v>
      </c>
      <c r="M40" s="102">
        <v>19093368</v>
      </c>
      <c r="N40" s="102">
        <v>8701128568</v>
      </c>
      <c r="O40" s="99">
        <f t="shared" si="24"/>
        <v>0.21943553472154603</v>
      </c>
      <c r="P40" s="102">
        <v>128897621</v>
      </c>
      <c r="Q40" s="102">
        <v>8701128568</v>
      </c>
      <c r="R40" s="99">
        <f t="shared" si="25"/>
        <v>1.4813896840238023</v>
      </c>
      <c r="S40" s="102">
        <v>386334964</v>
      </c>
      <c r="T40" s="102">
        <v>8701128568</v>
      </c>
      <c r="U40" s="100">
        <f t="shared" si="26"/>
        <v>4.4400558040346381</v>
      </c>
      <c r="V40" s="102">
        <v>4072119</v>
      </c>
      <c r="W40" s="102">
        <v>7310641012</v>
      </c>
      <c r="X40" s="100">
        <f t="shared" si="27"/>
        <v>5.5701257842039421E-2</v>
      </c>
      <c r="Y40" s="102">
        <v>159266897</v>
      </c>
      <c r="Z40" s="102">
        <v>7310641012</v>
      </c>
      <c r="AA40" s="100">
        <f t="shared" si="28"/>
        <v>2.1785626833347784</v>
      </c>
      <c r="AB40" s="102">
        <v>267852619</v>
      </c>
      <c r="AC40" s="102">
        <v>7310641012</v>
      </c>
      <c r="AD40" s="100">
        <f t="shared" si="29"/>
        <v>3.6638732302726287</v>
      </c>
      <c r="AE40" s="102">
        <v>33952386</v>
      </c>
      <c r="AF40" s="102">
        <v>6870674414</v>
      </c>
      <c r="AG40" s="100">
        <f t="shared" si="30"/>
        <v>0.49416380334974203</v>
      </c>
      <c r="AH40" s="102">
        <v>120030601</v>
      </c>
      <c r="AI40" s="102">
        <v>6870674414</v>
      </c>
      <c r="AJ40" s="100">
        <f t="shared" si="31"/>
        <v>1.7469988208933342</v>
      </c>
      <c r="AK40" s="102">
        <v>355713228</v>
      </c>
      <c r="AL40" s="102">
        <v>6870674414</v>
      </c>
      <c r="AM40" s="100">
        <f t="shared" si="32"/>
        <v>5.1772680026167803</v>
      </c>
      <c r="AN40" s="102">
        <v>834784</v>
      </c>
      <c r="AO40" s="102">
        <v>7449291086</v>
      </c>
      <c r="AP40" s="100">
        <f t="shared" si="33"/>
        <v>1.1206220704260986E-2</v>
      </c>
      <c r="AQ40" s="102">
        <v>96650202</v>
      </c>
      <c r="AR40" s="102">
        <v>7449291086</v>
      </c>
      <c r="AS40" s="100">
        <f t="shared" si="34"/>
        <v>1.2974416073180683</v>
      </c>
      <c r="AT40" s="102">
        <v>309240223</v>
      </c>
      <c r="AU40" s="102">
        <v>7449291086</v>
      </c>
      <c r="AV40" s="100">
        <f t="shared" si="35"/>
        <v>4.1512704958083573</v>
      </c>
      <c r="AW40" s="102">
        <v>1399332</v>
      </c>
      <c r="AX40" s="102">
        <v>9538541699</v>
      </c>
      <c r="AY40" s="100">
        <f t="shared" si="36"/>
        <v>1.4670292840956002E-2</v>
      </c>
      <c r="AZ40" s="102">
        <v>136158976</v>
      </c>
      <c r="BA40" s="102">
        <v>9538541699</v>
      </c>
      <c r="BB40" s="100">
        <f t="shared" si="37"/>
        <v>1.4274611392040633</v>
      </c>
      <c r="BC40" s="102">
        <v>293159462</v>
      </c>
      <c r="BD40" s="102">
        <v>9538541699</v>
      </c>
      <c r="BE40" s="99">
        <f t="shared" si="38"/>
        <v>3.0734201437808273</v>
      </c>
      <c r="BF40" s="102">
        <v>510031</v>
      </c>
      <c r="BG40" s="102">
        <v>11023136204</v>
      </c>
      <c r="BH40" s="97">
        <f t="shared" si="41"/>
        <v>4.6269137073251749E-3</v>
      </c>
      <c r="BI40" s="102">
        <v>154098693</v>
      </c>
      <c r="BJ40" s="102">
        <v>11023136204</v>
      </c>
      <c r="BK40" s="100">
        <f t="shared" si="39"/>
        <v>1.3979568985465474</v>
      </c>
      <c r="BL40" s="102">
        <v>312874398</v>
      </c>
      <c r="BM40" s="102">
        <v>11023136204</v>
      </c>
      <c r="BN40" s="99">
        <f t="shared" si="40"/>
        <v>2.8383428473510679</v>
      </c>
    </row>
    <row r="41" spans="1:66" ht="15.75" customHeight="1" x14ac:dyDescent="0.45">
      <c r="A41" s="54">
        <v>18</v>
      </c>
      <c r="B41" s="58" t="s">
        <v>62</v>
      </c>
      <c r="C41" s="97">
        <v>66.907638888888883</v>
      </c>
      <c r="D41" s="102">
        <v>4166076470</v>
      </c>
      <c r="E41" s="98">
        <v>31337148301</v>
      </c>
      <c r="F41" s="97">
        <f t="shared" si="21"/>
        <v>13.294370087488325</v>
      </c>
      <c r="G41" s="98">
        <v>1762565217</v>
      </c>
      <c r="H41" s="98">
        <v>31337148301</v>
      </c>
      <c r="I41" s="99">
        <f t="shared" si="22"/>
        <v>5.6245233295326837</v>
      </c>
      <c r="J41" s="98">
        <v>1870689809</v>
      </c>
      <c r="K41" s="98">
        <v>31337148301</v>
      </c>
      <c r="L41" s="99">
        <f t="shared" si="23"/>
        <v>5.96955980496893</v>
      </c>
      <c r="M41" s="102">
        <v>3439461386</v>
      </c>
      <c r="N41" s="102">
        <v>38396736101</v>
      </c>
      <c r="O41" s="99">
        <f t="shared" si="24"/>
        <v>8.9576920729739395</v>
      </c>
      <c r="P41" s="102">
        <v>3097437113</v>
      </c>
      <c r="Q41" s="102">
        <v>38396736101</v>
      </c>
      <c r="R41" s="99">
        <f t="shared" si="25"/>
        <v>8.0669281494458343</v>
      </c>
      <c r="S41" s="102">
        <v>2300422403.875</v>
      </c>
      <c r="T41" s="102">
        <v>38396736101</v>
      </c>
      <c r="U41" s="100">
        <f t="shared" si="26"/>
        <v>5.9911925790356122</v>
      </c>
      <c r="V41" s="102">
        <v>3216856049</v>
      </c>
      <c r="W41" s="102">
        <v>35411911446</v>
      </c>
      <c r="X41" s="100">
        <f t="shared" si="27"/>
        <v>9.0841073459291177</v>
      </c>
      <c r="Y41" s="102">
        <v>2301325596</v>
      </c>
      <c r="Z41" s="102">
        <v>35411911446</v>
      </c>
      <c r="AA41" s="100">
        <f t="shared" si="28"/>
        <v>6.498733059098817</v>
      </c>
      <c r="AB41" s="102">
        <v>2594302062</v>
      </c>
      <c r="AC41" s="102">
        <v>35411911446</v>
      </c>
      <c r="AD41" s="100">
        <f t="shared" si="29"/>
        <v>7.326071810486928</v>
      </c>
      <c r="AE41" s="102">
        <v>4378919510</v>
      </c>
      <c r="AF41" s="102">
        <v>38639822949</v>
      </c>
      <c r="AG41" s="100">
        <f t="shared" si="30"/>
        <v>11.33265935452048</v>
      </c>
      <c r="AH41" s="102">
        <v>777880507</v>
      </c>
      <c r="AI41" s="102">
        <v>38639822949</v>
      </c>
      <c r="AJ41" s="100">
        <f t="shared" si="31"/>
        <v>2.0131575344605235</v>
      </c>
      <c r="AK41" s="102">
        <v>2810107487</v>
      </c>
      <c r="AL41" s="102">
        <v>38639822949</v>
      </c>
      <c r="AM41" s="100">
        <f t="shared" si="32"/>
        <v>7.2725682276262233</v>
      </c>
      <c r="AN41" s="102">
        <v>6074567665</v>
      </c>
      <c r="AO41" s="102">
        <v>36430283373</v>
      </c>
      <c r="AP41" s="100">
        <f t="shared" si="33"/>
        <v>16.674500175593241</v>
      </c>
      <c r="AQ41" s="102">
        <v>1843186933</v>
      </c>
      <c r="AR41" s="102">
        <v>36430283373</v>
      </c>
      <c r="AS41" s="100">
        <f t="shared" si="34"/>
        <v>5.0594910671654638</v>
      </c>
      <c r="AT41" s="102">
        <v>2609004560</v>
      </c>
      <c r="AU41" s="102">
        <v>36430283373</v>
      </c>
      <c r="AV41" s="100">
        <f t="shared" si="35"/>
        <v>7.1616367440436717</v>
      </c>
      <c r="AW41" s="102">
        <v>3190587221</v>
      </c>
      <c r="AX41" s="102">
        <v>49599932807</v>
      </c>
      <c r="AY41" s="100">
        <f t="shared" si="36"/>
        <v>6.4326442404972681</v>
      </c>
      <c r="AZ41" s="102">
        <v>1018284951</v>
      </c>
      <c r="BA41" s="102">
        <v>49599932807</v>
      </c>
      <c r="BB41" s="100">
        <f t="shared" si="37"/>
        <v>2.0529966340121537</v>
      </c>
      <c r="BC41" s="102">
        <v>2323858803</v>
      </c>
      <c r="BD41" s="102">
        <v>49599932807</v>
      </c>
      <c r="BE41" s="99">
        <f t="shared" si="38"/>
        <v>4.6852055466333935</v>
      </c>
      <c r="BF41" s="102">
        <v>4516834601</v>
      </c>
      <c r="BG41" s="102">
        <v>48067207842</v>
      </c>
      <c r="BH41" s="97">
        <f t="shared" si="41"/>
        <v>9.3969148693785698</v>
      </c>
      <c r="BI41" s="102">
        <v>1818641239</v>
      </c>
      <c r="BJ41" s="102">
        <v>48067207842</v>
      </c>
      <c r="BK41" s="100">
        <f t="shared" si="39"/>
        <v>3.7835383427678817</v>
      </c>
      <c r="BL41" s="102">
        <v>2578383701</v>
      </c>
      <c r="BM41" s="102">
        <v>48067207842</v>
      </c>
      <c r="BN41" s="99">
        <f t="shared" si="40"/>
        <v>5.3641220631647935</v>
      </c>
    </row>
    <row r="42" spans="1:66" ht="15.75" customHeight="1" x14ac:dyDescent="0.45">
      <c r="A42" s="54">
        <v>19</v>
      </c>
      <c r="B42" s="58" t="s">
        <v>63</v>
      </c>
      <c r="C42" s="97">
        <v>88.029707214493683</v>
      </c>
      <c r="D42" s="102">
        <v>49971091</v>
      </c>
      <c r="E42" s="98">
        <v>12690537554</v>
      </c>
      <c r="F42" s="97">
        <f t="shared" si="21"/>
        <v>0.39376654288572144</v>
      </c>
      <c r="G42" s="98">
        <v>661562991</v>
      </c>
      <c r="H42" s="98">
        <v>12690537554</v>
      </c>
      <c r="I42" s="99">
        <f t="shared" si="22"/>
        <v>5.2130415136865365</v>
      </c>
      <c r="J42" s="98">
        <v>534934163</v>
      </c>
      <c r="K42" s="98">
        <v>12690537554</v>
      </c>
      <c r="L42" s="99">
        <f t="shared" si="23"/>
        <v>4.2152206770105751</v>
      </c>
      <c r="M42" s="102">
        <v>32666555</v>
      </c>
      <c r="N42" s="102">
        <v>12187765281</v>
      </c>
      <c r="O42" s="99">
        <f t="shared" si="24"/>
        <v>0.26802743773647508</v>
      </c>
      <c r="P42" s="102">
        <v>257403107</v>
      </c>
      <c r="Q42" s="102">
        <v>12187765281</v>
      </c>
      <c r="R42" s="99">
        <f t="shared" si="25"/>
        <v>2.1119795226223803</v>
      </c>
      <c r="S42" s="102">
        <v>1018274507.5</v>
      </c>
      <c r="T42" s="102">
        <v>12187765281</v>
      </c>
      <c r="U42" s="100">
        <f t="shared" si="26"/>
        <v>8.354891024094707</v>
      </c>
      <c r="V42" s="102">
        <v>146957047</v>
      </c>
      <c r="W42" s="102">
        <v>12414051167</v>
      </c>
      <c r="X42" s="100">
        <f t="shared" si="27"/>
        <v>1.1837960471006652</v>
      </c>
      <c r="Y42" s="102">
        <v>341885736</v>
      </c>
      <c r="Z42" s="102">
        <v>12414051167</v>
      </c>
      <c r="AA42" s="100">
        <f t="shared" si="28"/>
        <v>2.7540222881377141</v>
      </c>
      <c r="AB42" s="102">
        <v>585145137</v>
      </c>
      <c r="AC42" s="102">
        <v>12414051167</v>
      </c>
      <c r="AD42" s="100">
        <f t="shared" si="29"/>
        <v>4.7135711713149568</v>
      </c>
      <c r="AE42" s="102">
        <v>121798212</v>
      </c>
      <c r="AF42" s="102">
        <v>20336163833</v>
      </c>
      <c r="AG42" s="100">
        <f t="shared" si="30"/>
        <v>0.59892422681191726</v>
      </c>
      <c r="AH42" s="102">
        <v>385314491</v>
      </c>
      <c r="AI42" s="102">
        <v>20336163833</v>
      </c>
      <c r="AJ42" s="100">
        <f t="shared" si="31"/>
        <v>1.8947255449168861</v>
      </c>
      <c r="AK42" s="102">
        <v>600185645</v>
      </c>
      <c r="AL42" s="102">
        <v>20336163833</v>
      </c>
      <c r="AM42" s="100">
        <f t="shared" si="32"/>
        <v>2.9513218418611662</v>
      </c>
      <c r="AN42" s="102">
        <v>253289443</v>
      </c>
      <c r="AO42" s="102">
        <v>17555958382</v>
      </c>
      <c r="AP42" s="100">
        <f t="shared" si="33"/>
        <v>1.4427548612765901</v>
      </c>
      <c r="AQ42" s="102">
        <v>357294758</v>
      </c>
      <c r="AR42" s="102">
        <v>17555958382</v>
      </c>
      <c r="AS42" s="100">
        <f t="shared" si="34"/>
        <v>2.0351766062873091</v>
      </c>
      <c r="AT42" s="102">
        <v>570631096</v>
      </c>
      <c r="AU42" s="102">
        <v>17555958382</v>
      </c>
      <c r="AV42" s="100">
        <f t="shared" si="35"/>
        <v>3.250355711625883</v>
      </c>
      <c r="AW42" s="102">
        <v>72049339</v>
      </c>
      <c r="AX42" s="102">
        <v>17983119211</v>
      </c>
      <c r="AY42" s="100">
        <f t="shared" si="36"/>
        <v>0.40064984363740702</v>
      </c>
      <c r="AZ42" s="102">
        <v>353849222</v>
      </c>
      <c r="BA42" s="102">
        <v>17983119211</v>
      </c>
      <c r="BB42" s="100">
        <f t="shared" si="37"/>
        <v>1.9676743386295066</v>
      </c>
      <c r="BC42" s="102">
        <v>721983079</v>
      </c>
      <c r="BD42" s="102">
        <v>17983119211</v>
      </c>
      <c r="BE42" s="99">
        <f t="shared" si="38"/>
        <v>4.0147822551183108</v>
      </c>
      <c r="BF42" s="102">
        <v>43066649</v>
      </c>
      <c r="BG42" s="102">
        <v>20212280463</v>
      </c>
      <c r="BH42" s="97">
        <f t="shared" si="41"/>
        <v>0.21307169707463999</v>
      </c>
      <c r="BI42" s="102">
        <v>342001363</v>
      </c>
      <c r="BJ42" s="102">
        <v>20212280463</v>
      </c>
      <c r="BK42" s="100">
        <f t="shared" si="39"/>
        <v>1.6920473848859239</v>
      </c>
      <c r="BL42" s="102">
        <v>776898124</v>
      </c>
      <c r="BM42" s="102">
        <v>20212280463</v>
      </c>
      <c r="BN42" s="99">
        <f t="shared" si="40"/>
        <v>3.8436935674931219</v>
      </c>
    </row>
    <row r="43" spans="1:66" ht="15.75" customHeight="1" x14ac:dyDescent="0.45">
      <c r="A43" s="54">
        <v>21</v>
      </c>
      <c r="B43" s="58" t="s">
        <v>23</v>
      </c>
      <c r="C43" s="97">
        <v>77.710719236364028</v>
      </c>
      <c r="D43" s="102">
        <v>19326380899</v>
      </c>
      <c r="E43" s="98">
        <v>50506020966</v>
      </c>
      <c r="F43" s="97">
        <f t="shared" si="21"/>
        <v>38.265498903606506</v>
      </c>
      <c r="G43" s="98">
        <v>7368725475</v>
      </c>
      <c r="H43" s="98">
        <v>50506020966</v>
      </c>
      <c r="I43" s="99">
        <f t="shared" si="22"/>
        <v>14.589796095718036</v>
      </c>
      <c r="J43" s="98">
        <v>8800165764</v>
      </c>
      <c r="K43" s="98">
        <v>50506020966</v>
      </c>
      <c r="L43" s="99">
        <f t="shared" si="23"/>
        <v>17.423993408477294</v>
      </c>
      <c r="M43" s="102">
        <v>20731690097</v>
      </c>
      <c r="N43" s="102">
        <v>34220269930</v>
      </c>
      <c r="O43" s="99">
        <f t="shared" si="24"/>
        <v>60.58307003249287</v>
      </c>
      <c r="P43" s="102">
        <v>3018681666</v>
      </c>
      <c r="Q43" s="102">
        <v>34220269930</v>
      </c>
      <c r="R43" s="99">
        <f t="shared" si="25"/>
        <v>8.8213262846112208</v>
      </c>
      <c r="S43" s="102">
        <v>11067738600.75</v>
      </c>
      <c r="T43" s="102">
        <v>34220269930</v>
      </c>
      <c r="U43" s="100">
        <f t="shared" si="26"/>
        <v>32.342639679318275</v>
      </c>
      <c r="V43" s="102">
        <v>20432326926</v>
      </c>
      <c r="W43" s="102">
        <v>30100793302</v>
      </c>
      <c r="X43" s="100">
        <f t="shared" si="27"/>
        <v>67.879695797394163</v>
      </c>
      <c r="Y43" s="102">
        <v>9094342470</v>
      </c>
      <c r="Z43" s="102">
        <v>30100793302</v>
      </c>
      <c r="AA43" s="100">
        <f t="shared" si="28"/>
        <v>30.212966079521035</v>
      </c>
      <c r="AB43" s="102">
        <v>12349099895</v>
      </c>
      <c r="AC43" s="102">
        <v>30100793302</v>
      </c>
      <c r="AD43" s="100">
        <f t="shared" si="29"/>
        <v>41.025828691961699</v>
      </c>
      <c r="AE43" s="102">
        <v>24076824834</v>
      </c>
      <c r="AF43" s="102">
        <v>48897110400</v>
      </c>
      <c r="AG43" s="100">
        <f t="shared" si="30"/>
        <v>49.239770278940654</v>
      </c>
      <c r="AH43" s="102">
        <v>2848868027</v>
      </c>
      <c r="AI43" s="102">
        <v>48897110400</v>
      </c>
      <c r="AJ43" s="100">
        <f t="shared" si="31"/>
        <v>5.8262502706090382</v>
      </c>
      <c r="AK43" s="102">
        <v>10342515953</v>
      </c>
      <c r="AL43" s="102">
        <v>48897110400</v>
      </c>
      <c r="AM43" s="100">
        <f t="shared" si="32"/>
        <v>21.151589262419893</v>
      </c>
      <c r="AN43" s="102">
        <v>30439088349</v>
      </c>
      <c r="AO43" s="102">
        <v>49459314084</v>
      </c>
      <c r="AP43" s="100">
        <f t="shared" si="33"/>
        <v>61.543692856927414</v>
      </c>
      <c r="AQ43" s="102">
        <v>2265954591</v>
      </c>
      <c r="AR43" s="102">
        <v>49459314084</v>
      </c>
      <c r="AS43" s="100">
        <f t="shared" si="34"/>
        <v>4.5814517102917778</v>
      </c>
      <c r="AT43" s="102">
        <v>10314238422</v>
      </c>
      <c r="AU43" s="102">
        <v>49459314084</v>
      </c>
      <c r="AV43" s="100">
        <f t="shared" si="35"/>
        <v>20.853985974173948</v>
      </c>
      <c r="AW43" s="102">
        <v>24990516372</v>
      </c>
      <c r="AX43" s="102">
        <v>50010117892</v>
      </c>
      <c r="AY43" s="100">
        <f t="shared" si="36"/>
        <v>49.970920736416971</v>
      </c>
      <c r="AZ43" s="102">
        <v>2965040301</v>
      </c>
      <c r="BA43" s="102">
        <v>50010117892</v>
      </c>
      <c r="BB43" s="100">
        <f t="shared" si="37"/>
        <v>5.9288808464782887</v>
      </c>
      <c r="BC43" s="102">
        <v>13288696191</v>
      </c>
      <c r="BD43" s="102">
        <v>50010117892</v>
      </c>
      <c r="BE43" s="99">
        <f t="shared" si="38"/>
        <v>26.57201532637411</v>
      </c>
      <c r="BF43" s="102">
        <v>41576423645</v>
      </c>
      <c r="BG43" s="102">
        <v>78983942695</v>
      </c>
      <c r="BH43" s="97">
        <f t="shared" si="41"/>
        <v>52.639083624312356</v>
      </c>
      <c r="BI43" s="102">
        <v>8120206762</v>
      </c>
      <c r="BJ43" s="102">
        <v>78983942695</v>
      </c>
      <c r="BK43" s="100">
        <f t="shared" si="39"/>
        <v>10.280832388117847</v>
      </c>
      <c r="BL43" s="102">
        <v>13092544499</v>
      </c>
      <c r="BM43" s="102">
        <v>78983942695</v>
      </c>
      <c r="BN43" s="99">
        <f t="shared" si="40"/>
        <v>16.576210369185343</v>
      </c>
    </row>
    <row r="44" spans="1:66" ht="15.75" customHeight="1" x14ac:dyDescent="0.45">
      <c r="A44" s="54">
        <v>31</v>
      </c>
      <c r="B44" s="58" t="s">
        <v>64</v>
      </c>
      <c r="C44" s="97">
        <v>38.218826762575027</v>
      </c>
      <c r="D44" s="102">
        <v>33003795111</v>
      </c>
      <c r="E44" s="98">
        <v>108749180537</v>
      </c>
      <c r="F44" s="97">
        <f t="shared" si="21"/>
        <v>30.348546028602978</v>
      </c>
      <c r="G44" s="98">
        <v>24985374334</v>
      </c>
      <c r="H44" s="98">
        <v>108749180537</v>
      </c>
      <c r="I44" s="99">
        <f t="shared" si="22"/>
        <v>22.975229983916215</v>
      </c>
      <c r="J44" s="98">
        <v>14953515216</v>
      </c>
      <c r="K44" s="98">
        <v>108749180537</v>
      </c>
      <c r="L44" s="99">
        <f t="shared" si="23"/>
        <v>13.75046243305928</v>
      </c>
      <c r="M44" s="102">
        <v>51912524151</v>
      </c>
      <c r="N44" s="102">
        <v>243673722744</v>
      </c>
      <c r="O44" s="99">
        <f t="shared" si="24"/>
        <v>21.304112551166842</v>
      </c>
      <c r="P44" s="102">
        <v>21844229056</v>
      </c>
      <c r="Q44" s="102">
        <v>243673722744</v>
      </c>
      <c r="R44" s="99">
        <f t="shared" si="25"/>
        <v>8.9645402918349237</v>
      </c>
      <c r="S44" s="102">
        <v>23709925517.5625</v>
      </c>
      <c r="T44" s="102">
        <v>243673722744</v>
      </c>
      <c r="U44" s="100">
        <f t="shared" si="26"/>
        <v>9.7301938225287401</v>
      </c>
      <c r="V44" s="102">
        <v>65495059855</v>
      </c>
      <c r="W44" s="102">
        <v>290740116606</v>
      </c>
      <c r="X44" s="100">
        <f t="shared" si="27"/>
        <v>22.527011621088544</v>
      </c>
      <c r="Y44" s="102">
        <v>18165101910</v>
      </c>
      <c r="Z44" s="102">
        <v>290740116606</v>
      </c>
      <c r="AA44" s="100">
        <f t="shared" si="28"/>
        <v>6.2478828591159505</v>
      </c>
      <c r="AB44" s="102">
        <v>21697057790</v>
      </c>
      <c r="AC44" s="102">
        <v>290740116606</v>
      </c>
      <c r="AD44" s="100">
        <f t="shared" si="29"/>
        <v>7.4626983174128085</v>
      </c>
      <c r="AE44" s="102">
        <v>70420943198</v>
      </c>
      <c r="AF44" s="102">
        <v>236341131097</v>
      </c>
      <c r="AG44" s="100">
        <f t="shared" si="30"/>
        <v>29.796313012100111</v>
      </c>
      <c r="AH44" s="102">
        <v>5510259819</v>
      </c>
      <c r="AI44" s="102">
        <v>236341131097</v>
      </c>
      <c r="AJ44" s="100">
        <f t="shared" si="31"/>
        <v>2.3314857610368542</v>
      </c>
      <c r="AK44" s="102">
        <v>18525650970</v>
      </c>
      <c r="AL44" s="102">
        <v>236341131097</v>
      </c>
      <c r="AM44" s="100">
        <f t="shared" si="32"/>
        <v>7.8385217520164252</v>
      </c>
      <c r="AN44" s="102">
        <v>89814765158</v>
      </c>
      <c r="AO44" s="102">
        <v>229557868238</v>
      </c>
      <c r="AP44" s="100">
        <f t="shared" si="33"/>
        <v>39.125108560810581</v>
      </c>
      <c r="AQ44" s="102">
        <v>4001738938</v>
      </c>
      <c r="AR44" s="102">
        <v>229557868238</v>
      </c>
      <c r="AS44" s="100">
        <f t="shared" si="34"/>
        <v>1.7432375412421475</v>
      </c>
      <c r="AT44" s="102">
        <v>14678632300</v>
      </c>
      <c r="AU44" s="102">
        <v>229557868238</v>
      </c>
      <c r="AV44" s="100">
        <f t="shared" si="35"/>
        <v>6.3943058944865054</v>
      </c>
      <c r="AW44" s="102">
        <v>97452609563</v>
      </c>
      <c r="AX44" s="102">
        <v>255400157092</v>
      </c>
      <c r="AY44" s="100">
        <f t="shared" si="36"/>
        <v>38.15683227160104</v>
      </c>
      <c r="AZ44" s="102">
        <v>4872880187</v>
      </c>
      <c r="BA44" s="102">
        <v>255400157092</v>
      </c>
      <c r="BB44" s="100">
        <f t="shared" si="37"/>
        <v>1.9079393851918016</v>
      </c>
      <c r="BC44" s="102">
        <v>17009392360</v>
      </c>
      <c r="BD44" s="102">
        <v>255400157092</v>
      </c>
      <c r="BE44" s="99">
        <f t="shared" si="38"/>
        <v>6.6598989419857295</v>
      </c>
      <c r="BF44" s="102">
        <v>97959279823</v>
      </c>
      <c r="BG44" s="102">
        <v>233267091854</v>
      </c>
      <c r="BH44" s="97">
        <f t="shared" si="41"/>
        <v>41.994470392039666</v>
      </c>
      <c r="BI44" s="102">
        <v>5198171936</v>
      </c>
      <c r="BJ44" s="102">
        <v>233267091854</v>
      </c>
      <c r="BK44" s="100">
        <f t="shared" si="39"/>
        <v>2.2284206034743614</v>
      </c>
      <c r="BL44" s="102">
        <v>16213365459</v>
      </c>
      <c r="BM44" s="102">
        <v>233267091854</v>
      </c>
      <c r="BN44" s="99">
        <f t="shared" si="40"/>
        <v>6.9505584050183185</v>
      </c>
    </row>
    <row r="45" spans="1:66" ht="15.75" customHeight="1" x14ac:dyDescent="0.45">
      <c r="A45" s="54">
        <v>32</v>
      </c>
      <c r="B45" s="58" t="s">
        <v>15</v>
      </c>
      <c r="C45" s="97">
        <v>36.321701528575787</v>
      </c>
      <c r="D45" s="102">
        <v>212126496037</v>
      </c>
      <c r="E45" s="98">
        <v>555900912113</v>
      </c>
      <c r="F45" s="97">
        <f t="shared" si="21"/>
        <v>38.159048027228323</v>
      </c>
      <c r="G45" s="98">
        <v>94017921364</v>
      </c>
      <c r="H45" s="98">
        <v>555900912113</v>
      </c>
      <c r="I45" s="99">
        <f t="shared" si="22"/>
        <v>16.912712196609714</v>
      </c>
      <c r="J45" s="98">
        <v>58350833412</v>
      </c>
      <c r="K45" s="98">
        <v>555900912113</v>
      </c>
      <c r="L45" s="99">
        <f t="shared" si="23"/>
        <v>10.496624873344121</v>
      </c>
      <c r="M45" s="102">
        <v>183829135235.10001</v>
      </c>
      <c r="N45" s="102">
        <v>642662139648.09998</v>
      </c>
      <c r="O45" s="99">
        <f t="shared" si="24"/>
        <v>28.604320045328734</v>
      </c>
      <c r="P45" s="102">
        <v>65201035104</v>
      </c>
      <c r="Q45" s="102">
        <v>642662139648.09998</v>
      </c>
      <c r="R45" s="99">
        <f t="shared" si="25"/>
        <v>10.145460745470688</v>
      </c>
      <c r="S45" s="102">
        <v>110799854426.04688</v>
      </c>
      <c r="T45" s="102">
        <v>642662139648.09998</v>
      </c>
      <c r="U45" s="100">
        <f t="shared" si="26"/>
        <v>17.240762694799031</v>
      </c>
      <c r="V45" s="102">
        <v>294243973882</v>
      </c>
      <c r="W45" s="102">
        <v>916733574372</v>
      </c>
      <c r="X45" s="100">
        <f t="shared" si="27"/>
        <v>32.096999838101183</v>
      </c>
      <c r="Y45" s="102">
        <v>76454565395</v>
      </c>
      <c r="Z45" s="102">
        <v>916733574372</v>
      </c>
      <c r="AA45" s="100">
        <f t="shared" si="28"/>
        <v>8.339889312701839</v>
      </c>
      <c r="AB45" s="102">
        <v>116979276245</v>
      </c>
      <c r="AC45" s="102">
        <v>916733574372</v>
      </c>
      <c r="AD45" s="100">
        <f t="shared" si="29"/>
        <v>12.760444202682944</v>
      </c>
      <c r="AE45" s="102">
        <v>300764061542</v>
      </c>
      <c r="AF45" s="102">
        <v>989253528015</v>
      </c>
      <c r="AG45" s="100">
        <f t="shared" si="30"/>
        <v>30.403132566583025</v>
      </c>
      <c r="AH45" s="102">
        <v>38843017200</v>
      </c>
      <c r="AI45" s="102">
        <v>989253528015</v>
      </c>
      <c r="AJ45" s="100">
        <f t="shared" si="31"/>
        <v>3.9264977177226732</v>
      </c>
      <c r="AK45" s="102">
        <v>112343973489</v>
      </c>
      <c r="AL45" s="102">
        <v>989253528015</v>
      </c>
      <c r="AM45" s="100">
        <f t="shared" si="32"/>
        <v>11.356439002489616</v>
      </c>
      <c r="AN45" s="102">
        <v>355526249739.26508</v>
      </c>
      <c r="AO45" s="102">
        <v>965973689626.23413</v>
      </c>
      <c r="AP45" s="100">
        <f t="shared" si="33"/>
        <v>36.804962035439026</v>
      </c>
      <c r="AQ45" s="102">
        <v>29285619144</v>
      </c>
      <c r="AR45" s="102">
        <v>965973689626.23413</v>
      </c>
      <c r="AS45" s="100">
        <f t="shared" si="34"/>
        <v>3.0317201657253765</v>
      </c>
      <c r="AT45" s="102">
        <v>99993852335</v>
      </c>
      <c r="AU45" s="102">
        <v>965973689626.23413</v>
      </c>
      <c r="AV45" s="100">
        <f t="shared" si="35"/>
        <v>10.351612410239744</v>
      </c>
      <c r="AW45" s="102">
        <v>338483891681</v>
      </c>
      <c r="AX45" s="102">
        <v>879253348021</v>
      </c>
      <c r="AY45" s="100">
        <f t="shared" si="36"/>
        <v>38.496741859766644</v>
      </c>
      <c r="AZ45" s="102">
        <v>27476331033</v>
      </c>
      <c r="BA45" s="102">
        <v>879253348021</v>
      </c>
      <c r="BB45" s="100">
        <f t="shared" si="37"/>
        <v>3.1249617752201901</v>
      </c>
      <c r="BC45" s="102">
        <v>108528620420</v>
      </c>
      <c r="BD45" s="102">
        <v>879253348021</v>
      </c>
      <c r="BE45" s="99">
        <f t="shared" si="38"/>
        <v>12.343270647109087</v>
      </c>
      <c r="BF45" s="102">
        <v>338774009532</v>
      </c>
      <c r="BG45" s="102">
        <v>877205884586</v>
      </c>
      <c r="BH45" s="97">
        <f t="shared" si="41"/>
        <v>38.619669052024818</v>
      </c>
      <c r="BI45" s="102">
        <v>39645397514</v>
      </c>
      <c r="BJ45" s="102">
        <v>877205884586</v>
      </c>
      <c r="BK45" s="100">
        <f t="shared" si="39"/>
        <v>4.5195088417254254</v>
      </c>
      <c r="BL45" s="102">
        <v>113323549431.5</v>
      </c>
      <c r="BM45" s="102">
        <v>877205884586</v>
      </c>
      <c r="BN45" s="99">
        <f t="shared" si="40"/>
        <v>12.918694621500789</v>
      </c>
    </row>
    <row r="46" spans="1:66" ht="15.75" customHeight="1" x14ac:dyDescent="0.45">
      <c r="A46" s="54">
        <v>33</v>
      </c>
      <c r="B46" s="58" t="s">
        <v>16</v>
      </c>
      <c r="C46" s="97">
        <v>74.558131852465024</v>
      </c>
      <c r="D46" s="102">
        <v>32889547127</v>
      </c>
      <c r="E46" s="98">
        <v>161356907202</v>
      </c>
      <c r="F46" s="97">
        <f t="shared" si="21"/>
        <v>20.383104570680779</v>
      </c>
      <c r="G46" s="98">
        <v>13787548333</v>
      </c>
      <c r="H46" s="98">
        <v>161356907202</v>
      </c>
      <c r="I46" s="99">
        <f t="shared" si="22"/>
        <v>8.5447524819867802</v>
      </c>
      <c r="J46" s="98">
        <v>20807060376</v>
      </c>
      <c r="K46" s="98">
        <v>161356907202</v>
      </c>
      <c r="L46" s="99">
        <f t="shared" si="23"/>
        <v>12.895054036919529</v>
      </c>
      <c r="M46" s="102">
        <v>35034623399</v>
      </c>
      <c r="N46" s="102">
        <v>198429540604</v>
      </c>
      <c r="O46" s="99">
        <f t="shared" si="24"/>
        <v>17.655951473937829</v>
      </c>
      <c r="P46" s="102">
        <v>28798733804</v>
      </c>
      <c r="Q46" s="102">
        <v>198429540604</v>
      </c>
      <c r="R46" s="99">
        <f t="shared" si="25"/>
        <v>14.513329878373698</v>
      </c>
      <c r="S46" s="102">
        <v>38267277811.21875</v>
      </c>
      <c r="T46" s="102">
        <v>198429540604</v>
      </c>
      <c r="U46" s="100">
        <f t="shared" si="26"/>
        <v>19.285071010463927</v>
      </c>
      <c r="V46" s="102">
        <v>65988660134</v>
      </c>
      <c r="W46" s="102">
        <v>292850934975</v>
      </c>
      <c r="X46" s="100">
        <f t="shared" si="27"/>
        <v>22.533190867098753</v>
      </c>
      <c r="Y46" s="102">
        <v>19409239063</v>
      </c>
      <c r="Z46" s="102">
        <v>292850934975</v>
      </c>
      <c r="AA46" s="100">
        <f t="shared" si="28"/>
        <v>6.6276855372365207</v>
      </c>
      <c r="AB46" s="102">
        <v>38006762680</v>
      </c>
      <c r="AC46" s="102">
        <v>292850934975</v>
      </c>
      <c r="AD46" s="100">
        <f t="shared" si="29"/>
        <v>12.97819407107051</v>
      </c>
      <c r="AE46" s="102">
        <v>58742107050</v>
      </c>
      <c r="AF46" s="102">
        <v>290872898215</v>
      </c>
      <c r="AG46" s="100">
        <f t="shared" si="30"/>
        <v>20.195111820483362</v>
      </c>
      <c r="AH46" s="102">
        <v>11107259777</v>
      </c>
      <c r="AI46" s="102">
        <v>290872898215</v>
      </c>
      <c r="AJ46" s="100">
        <f t="shared" si="31"/>
        <v>3.8185956289368765</v>
      </c>
      <c r="AK46" s="102">
        <v>40084678684</v>
      </c>
      <c r="AL46" s="102">
        <v>290872898215</v>
      </c>
      <c r="AM46" s="100">
        <f t="shared" si="32"/>
        <v>13.780822802670063</v>
      </c>
      <c r="AN46" s="102">
        <v>72332424442.913971</v>
      </c>
      <c r="AO46" s="102">
        <v>246698605391.47559</v>
      </c>
      <c r="AP46" s="100">
        <f t="shared" si="33"/>
        <v>29.320159442382216</v>
      </c>
      <c r="AQ46" s="102">
        <v>11277273039</v>
      </c>
      <c r="AR46" s="102">
        <v>246698605391.47559</v>
      </c>
      <c r="AS46" s="100">
        <f t="shared" si="34"/>
        <v>4.5712755534651572</v>
      </c>
      <c r="AT46" s="102">
        <v>39245685180</v>
      </c>
      <c r="AU46" s="102">
        <v>246698605391.47559</v>
      </c>
      <c r="AV46" s="100">
        <f t="shared" si="35"/>
        <v>15.908353076306483</v>
      </c>
      <c r="AW46" s="102">
        <v>86430929262</v>
      </c>
      <c r="AX46" s="102">
        <v>329876675319</v>
      </c>
      <c r="AY46" s="100">
        <f t="shared" si="36"/>
        <v>26.200982284794421</v>
      </c>
      <c r="AZ46" s="102">
        <v>10386920450</v>
      </c>
      <c r="BA46" s="102">
        <v>329876675319</v>
      </c>
      <c r="BB46" s="100">
        <f t="shared" si="37"/>
        <v>3.1487283664283194</v>
      </c>
      <c r="BC46" s="102">
        <v>44355968468</v>
      </c>
      <c r="BD46" s="102">
        <v>329876675319</v>
      </c>
      <c r="BE46" s="99">
        <f t="shared" si="38"/>
        <v>13.446227571290553</v>
      </c>
      <c r="BF46" s="102">
        <v>112368065320</v>
      </c>
      <c r="BG46" s="102">
        <v>275351092459</v>
      </c>
      <c r="BH46" s="97">
        <f t="shared" si="41"/>
        <v>40.809013799983994</v>
      </c>
      <c r="BI46" s="102">
        <v>13798267813</v>
      </c>
      <c r="BJ46" s="102">
        <v>275351092459</v>
      </c>
      <c r="BK46" s="100">
        <f t="shared" si="39"/>
        <v>5.0111541921899487</v>
      </c>
      <c r="BL46" s="102">
        <v>47733084174.203125</v>
      </c>
      <c r="BM46" s="102">
        <v>275351092459</v>
      </c>
      <c r="BN46" s="99">
        <f t="shared" si="40"/>
        <v>17.335353111522743</v>
      </c>
    </row>
    <row r="47" spans="1:66" ht="15.75" customHeight="1" x14ac:dyDescent="0.45">
      <c r="A47" s="54">
        <v>34</v>
      </c>
      <c r="B47" s="58" t="s">
        <v>65</v>
      </c>
      <c r="C47" s="97">
        <v>77.384182029778884</v>
      </c>
      <c r="D47" s="102">
        <v>1842651008</v>
      </c>
      <c r="E47" s="98">
        <v>5931005937</v>
      </c>
      <c r="F47" s="97">
        <f t="shared" si="21"/>
        <v>31.068102571012485</v>
      </c>
      <c r="G47" s="98">
        <v>764856417</v>
      </c>
      <c r="H47" s="98">
        <v>5931005937</v>
      </c>
      <c r="I47" s="99">
        <f t="shared" si="22"/>
        <v>12.895897005068196</v>
      </c>
      <c r="J47" s="98">
        <v>1429776345</v>
      </c>
      <c r="K47" s="98">
        <v>5931005937</v>
      </c>
      <c r="L47" s="99">
        <f t="shared" si="23"/>
        <v>24.106810213769645</v>
      </c>
      <c r="M47" s="106">
        <v>2079893451</v>
      </c>
      <c r="N47" s="106">
        <v>8609831765</v>
      </c>
      <c r="O47" s="99">
        <f t="shared" si="24"/>
        <v>24.157190381524256</v>
      </c>
      <c r="P47" s="102">
        <v>1116822020</v>
      </c>
      <c r="Q47" s="106">
        <v>8609831765</v>
      </c>
      <c r="R47" s="99">
        <f t="shared" si="25"/>
        <v>12.971473200440636</v>
      </c>
      <c r="S47" s="102">
        <v>2637756846.03125</v>
      </c>
      <c r="T47" s="106">
        <v>8609831765</v>
      </c>
      <c r="U47" s="100">
        <f t="shared" si="26"/>
        <v>30.636566637156005</v>
      </c>
      <c r="V47" s="102">
        <v>2533937533</v>
      </c>
      <c r="W47" s="102">
        <v>9009168594</v>
      </c>
      <c r="X47" s="100">
        <f t="shared" si="27"/>
        <v>28.126208390500899</v>
      </c>
      <c r="Y47" s="102">
        <v>899013822</v>
      </c>
      <c r="Z47" s="102">
        <v>9009168594</v>
      </c>
      <c r="AA47" s="100">
        <f t="shared" si="28"/>
        <v>9.9788766590374678</v>
      </c>
      <c r="AB47" s="102">
        <v>2456588416</v>
      </c>
      <c r="AC47" s="102">
        <v>9009168594</v>
      </c>
      <c r="AD47" s="100">
        <f t="shared" si="29"/>
        <v>27.267648400275903</v>
      </c>
      <c r="AE47" s="102">
        <v>1536651720</v>
      </c>
      <c r="AF47" s="102">
        <v>8086951538</v>
      </c>
      <c r="AG47" s="100">
        <f t="shared" si="30"/>
        <v>19.001619000427848</v>
      </c>
      <c r="AH47" s="102">
        <v>469227116</v>
      </c>
      <c r="AI47" s="102">
        <v>8086951538</v>
      </c>
      <c r="AJ47" s="100">
        <f t="shared" si="31"/>
        <v>5.8022743650080724</v>
      </c>
      <c r="AK47" s="102">
        <v>2343891354</v>
      </c>
      <c r="AL47" s="102">
        <v>8086951538</v>
      </c>
      <c r="AM47" s="100">
        <f t="shared" si="32"/>
        <v>28.983620626217732</v>
      </c>
      <c r="AN47" s="102">
        <v>1763607442</v>
      </c>
      <c r="AO47" s="102">
        <v>5936411477</v>
      </c>
      <c r="AP47" s="100">
        <f t="shared" si="33"/>
        <v>29.708308610899209</v>
      </c>
      <c r="AQ47" s="102">
        <v>622604135</v>
      </c>
      <c r="AR47" s="102">
        <v>5936411477</v>
      </c>
      <c r="AS47" s="100">
        <f t="shared" si="34"/>
        <v>10.487887125281224</v>
      </c>
      <c r="AT47" s="102">
        <v>2445483532</v>
      </c>
      <c r="AU47" s="102">
        <v>5936411477</v>
      </c>
      <c r="AV47" s="100">
        <f t="shared" si="35"/>
        <v>41.194643287022274</v>
      </c>
      <c r="AW47" s="102">
        <v>1829458672</v>
      </c>
      <c r="AX47" s="102">
        <v>6118704768</v>
      </c>
      <c r="AY47" s="100">
        <f t="shared" si="36"/>
        <v>29.899443450316838</v>
      </c>
      <c r="AZ47" s="102">
        <v>336342667</v>
      </c>
      <c r="BA47" s="102">
        <v>6118704768</v>
      </c>
      <c r="BB47" s="100">
        <f t="shared" si="37"/>
        <v>5.4969585844217672</v>
      </c>
      <c r="BC47" s="102">
        <v>2760245783</v>
      </c>
      <c r="BD47" s="102">
        <v>6118704768</v>
      </c>
      <c r="BE47" s="99">
        <f t="shared" si="38"/>
        <v>45.111602661983511</v>
      </c>
      <c r="BF47" s="102">
        <v>2319285233</v>
      </c>
      <c r="BG47" s="102">
        <v>7604150185</v>
      </c>
      <c r="BH47" s="97">
        <f t="shared" si="41"/>
        <v>30.500255473320848</v>
      </c>
      <c r="BI47" s="102">
        <v>480266960</v>
      </c>
      <c r="BJ47" s="102">
        <v>7604150185</v>
      </c>
      <c r="BK47" s="100">
        <f t="shared" si="39"/>
        <v>6.3158531632815196</v>
      </c>
      <c r="BL47" s="102">
        <v>3065902609</v>
      </c>
      <c r="BM47" s="102">
        <v>7604150185</v>
      </c>
      <c r="BN47" s="99">
        <f t="shared" si="40"/>
        <v>40.318806630724112</v>
      </c>
    </row>
    <row r="48" spans="1:66" ht="14.25" x14ac:dyDescent="0.45">
      <c r="A48" s="54">
        <v>35</v>
      </c>
      <c r="B48" s="58" t="s">
        <v>14</v>
      </c>
      <c r="C48" s="97">
        <v>43.31582197885821</v>
      </c>
      <c r="D48" s="102">
        <v>55905772773</v>
      </c>
      <c r="E48" s="98">
        <v>262351426194</v>
      </c>
      <c r="F48" s="97">
        <f t="shared" si="21"/>
        <v>21.309498325981874</v>
      </c>
      <c r="G48" s="98">
        <v>31755880898</v>
      </c>
      <c r="H48" s="98">
        <v>262351426194</v>
      </c>
      <c r="I48" s="99">
        <f t="shared" si="22"/>
        <v>12.104329432734854</v>
      </c>
      <c r="J48" s="98">
        <v>29884065056</v>
      </c>
      <c r="K48" s="98">
        <v>262351426194</v>
      </c>
      <c r="L48" s="99">
        <f t="shared" si="23"/>
        <v>11.390852906552048</v>
      </c>
      <c r="M48" s="106">
        <v>63634297019</v>
      </c>
      <c r="N48" s="106">
        <v>339010314009</v>
      </c>
      <c r="O48" s="99">
        <f t="shared" si="24"/>
        <v>18.770607969558899</v>
      </c>
      <c r="P48" s="102">
        <v>27852917237</v>
      </c>
      <c r="Q48" s="106">
        <v>339010314009</v>
      </c>
      <c r="R48" s="99">
        <f t="shared" si="25"/>
        <v>8.215949806252965</v>
      </c>
      <c r="S48" s="102">
        <v>44910900315.9375</v>
      </c>
      <c r="T48" s="106">
        <v>339010314009</v>
      </c>
      <c r="U48" s="100">
        <f t="shared" si="26"/>
        <v>13.247650133365916</v>
      </c>
      <c r="V48" s="102">
        <v>68099953607</v>
      </c>
      <c r="W48" s="102">
        <v>413651674681</v>
      </c>
      <c r="X48" s="100">
        <f t="shared" si="27"/>
        <v>16.463115653893421</v>
      </c>
      <c r="Y48" s="102">
        <v>26863412024</v>
      </c>
      <c r="Z48" s="102">
        <v>413651674681</v>
      </c>
      <c r="AA48" s="100">
        <f t="shared" si="28"/>
        <v>6.4942108707081942</v>
      </c>
      <c r="AB48" s="102">
        <v>41827356554</v>
      </c>
      <c r="AC48" s="102">
        <v>413651674681</v>
      </c>
      <c r="AD48" s="100">
        <f t="shared" si="29"/>
        <v>10.111733884857696</v>
      </c>
      <c r="AE48" s="102">
        <v>84943170394</v>
      </c>
      <c r="AF48" s="102">
        <v>427577048927</v>
      </c>
      <c r="AG48" s="100">
        <f t="shared" si="30"/>
        <v>19.866166953339516</v>
      </c>
      <c r="AH48" s="102">
        <v>23722118809</v>
      </c>
      <c r="AI48" s="102">
        <v>427577048927</v>
      </c>
      <c r="AJ48" s="100">
        <f t="shared" si="31"/>
        <v>5.5480337096040122</v>
      </c>
      <c r="AK48" s="102">
        <v>44853741198</v>
      </c>
      <c r="AL48" s="102">
        <v>427577048927</v>
      </c>
      <c r="AM48" s="100">
        <f t="shared" si="32"/>
        <v>10.490212538432541</v>
      </c>
      <c r="AN48" s="102">
        <v>81617773791</v>
      </c>
      <c r="AO48" s="102">
        <v>381037352666</v>
      </c>
      <c r="AP48" s="100">
        <f t="shared" si="33"/>
        <v>21.419887898114396</v>
      </c>
      <c r="AQ48" s="102">
        <v>20484187683</v>
      </c>
      <c r="AR48" s="102">
        <v>381037352666</v>
      </c>
      <c r="AS48" s="100">
        <f t="shared" si="34"/>
        <v>5.3759001682324588</v>
      </c>
      <c r="AT48" s="102">
        <v>42937958210</v>
      </c>
      <c r="AU48" s="102">
        <v>381037352666</v>
      </c>
      <c r="AV48" s="100">
        <f t="shared" si="35"/>
        <v>11.268700538038185</v>
      </c>
      <c r="AW48" s="102">
        <v>109380961720</v>
      </c>
      <c r="AX48" s="102">
        <v>469792995156</v>
      </c>
      <c r="AY48" s="100">
        <f t="shared" si="36"/>
        <v>23.282799626179791</v>
      </c>
      <c r="AZ48" s="102">
        <v>17644047184</v>
      </c>
      <c r="BA48" s="102">
        <v>469792995156</v>
      </c>
      <c r="BB48" s="100">
        <f t="shared" si="37"/>
        <v>3.7557067401869406</v>
      </c>
      <c r="BC48" s="102">
        <v>48035605841</v>
      </c>
      <c r="BD48" s="102">
        <v>469792995156</v>
      </c>
      <c r="BE48" s="99">
        <f t="shared" si="38"/>
        <v>10.224845056501799</v>
      </c>
      <c r="BF48" s="102">
        <v>122015908885</v>
      </c>
      <c r="BG48" s="102">
        <v>493430865859</v>
      </c>
      <c r="BH48" s="97">
        <f t="shared" si="41"/>
        <v>24.728065738770905</v>
      </c>
      <c r="BI48" s="102">
        <v>21121124834</v>
      </c>
      <c r="BJ48" s="102">
        <v>493430865859</v>
      </c>
      <c r="BK48" s="100">
        <f t="shared" si="39"/>
        <v>4.2804628359093071</v>
      </c>
      <c r="BL48" s="102">
        <v>50121871566.90625</v>
      </c>
      <c r="BM48" s="102">
        <v>493430865859</v>
      </c>
      <c r="BN48" s="99">
        <f t="shared" si="40"/>
        <v>10.157830617193046</v>
      </c>
    </row>
    <row r="49" spans="1:66" ht="14.25" x14ac:dyDescent="0.45">
      <c r="A49" s="54">
        <v>36</v>
      </c>
      <c r="B49" s="58" t="s">
        <v>18</v>
      </c>
      <c r="C49" s="97">
        <v>36.117925642920071</v>
      </c>
      <c r="D49" s="102">
        <v>64179110413</v>
      </c>
      <c r="E49" s="98">
        <v>217646893582</v>
      </c>
      <c r="F49" s="97">
        <f t="shared" si="21"/>
        <v>29.487721766550308</v>
      </c>
      <c r="G49" s="98">
        <v>29262358094</v>
      </c>
      <c r="H49" s="98">
        <v>217646893582</v>
      </c>
      <c r="I49" s="99">
        <f t="shared" si="22"/>
        <v>13.444877439969158</v>
      </c>
      <c r="J49" s="98">
        <v>19119685744</v>
      </c>
      <c r="K49" s="98">
        <v>217646893582</v>
      </c>
      <c r="L49" s="99">
        <f t="shared" si="23"/>
        <v>8.7847271464945234</v>
      </c>
      <c r="M49" s="106">
        <v>46672638575</v>
      </c>
      <c r="N49" s="106">
        <v>181132500653</v>
      </c>
      <c r="O49" s="99">
        <f t="shared" si="24"/>
        <v>25.767125395354601</v>
      </c>
      <c r="P49" s="102">
        <v>18966744077</v>
      </c>
      <c r="Q49" s="106">
        <v>181132500653</v>
      </c>
      <c r="R49" s="99">
        <f t="shared" si="25"/>
        <v>10.471198712888672</v>
      </c>
      <c r="S49" s="102">
        <v>33922478397.8125</v>
      </c>
      <c r="T49" s="106">
        <v>181132500653</v>
      </c>
      <c r="U49" s="100">
        <f t="shared" si="26"/>
        <v>18.727990987547084</v>
      </c>
      <c r="V49" s="102">
        <v>105312384658</v>
      </c>
      <c r="W49" s="102">
        <v>354116273051</v>
      </c>
      <c r="X49" s="100">
        <f t="shared" si="27"/>
        <v>29.739493119208575</v>
      </c>
      <c r="Y49" s="102">
        <v>29515473547</v>
      </c>
      <c r="Z49" s="102">
        <v>354116273051</v>
      </c>
      <c r="AA49" s="100">
        <f t="shared" si="28"/>
        <v>8.3349667307577153</v>
      </c>
      <c r="AB49" s="102">
        <v>30406850890</v>
      </c>
      <c r="AC49" s="102">
        <v>354116273051</v>
      </c>
      <c r="AD49" s="100">
        <f t="shared" si="29"/>
        <v>8.5866855617846163</v>
      </c>
      <c r="AE49" s="102">
        <v>116264748602</v>
      </c>
      <c r="AF49" s="102">
        <v>413143092651</v>
      </c>
      <c r="AG49" s="100">
        <f t="shared" si="30"/>
        <v>28.141520618429873</v>
      </c>
      <c r="AH49" s="102">
        <v>16780533165</v>
      </c>
      <c r="AI49" s="102">
        <v>413143092651</v>
      </c>
      <c r="AJ49" s="100">
        <f t="shared" si="31"/>
        <v>4.0616758366514061</v>
      </c>
      <c r="AK49" s="102">
        <v>37749059019</v>
      </c>
      <c r="AL49" s="102">
        <v>413143092651</v>
      </c>
      <c r="AM49" s="100">
        <f t="shared" si="32"/>
        <v>9.1370422719104436</v>
      </c>
      <c r="AN49" s="102">
        <v>189902674695</v>
      </c>
      <c r="AO49" s="102">
        <v>441054181051</v>
      </c>
      <c r="AP49" s="100">
        <f t="shared" si="33"/>
        <v>43.056541090365755</v>
      </c>
      <c r="AQ49" s="102">
        <v>15399638555</v>
      </c>
      <c r="AR49" s="102">
        <v>441054181051</v>
      </c>
      <c r="AS49" s="100">
        <f t="shared" si="34"/>
        <v>3.4915525612530827</v>
      </c>
      <c r="AT49" s="102">
        <v>38475785125</v>
      </c>
      <c r="AU49" s="102">
        <v>441054181051</v>
      </c>
      <c r="AV49" s="100">
        <f t="shared" si="35"/>
        <v>8.7235960519215592</v>
      </c>
      <c r="AW49" s="102">
        <v>168190317419</v>
      </c>
      <c r="AX49" s="102">
        <v>515499977874</v>
      </c>
      <c r="AY49" s="100">
        <f t="shared" si="36"/>
        <v>32.626639115028162</v>
      </c>
      <c r="AZ49" s="102">
        <v>9931615310</v>
      </c>
      <c r="BA49" s="102">
        <v>515499977874</v>
      </c>
      <c r="BB49" s="100">
        <f t="shared" si="37"/>
        <v>1.9265985909368</v>
      </c>
      <c r="BC49" s="102">
        <v>48818924981</v>
      </c>
      <c r="BD49" s="102">
        <v>515499977874</v>
      </c>
      <c r="BE49" s="99">
        <f t="shared" si="38"/>
        <v>9.4702089381917425</v>
      </c>
      <c r="BF49" s="102">
        <v>173724085209</v>
      </c>
      <c r="BG49" s="102">
        <v>534397163842</v>
      </c>
      <c r="BH49" s="97">
        <f t="shared" si="41"/>
        <v>32.508422005840451</v>
      </c>
      <c r="BI49" s="102">
        <v>16219498172</v>
      </c>
      <c r="BJ49" s="102">
        <v>534397163842</v>
      </c>
      <c r="BK49" s="100">
        <f t="shared" si="39"/>
        <v>3.0351018436159705</v>
      </c>
      <c r="BL49" s="102">
        <v>50213887048</v>
      </c>
      <c r="BM49" s="102">
        <v>534397163842</v>
      </c>
      <c r="BN49" s="99">
        <f t="shared" si="40"/>
        <v>9.3963610672990487</v>
      </c>
    </row>
    <row r="50" spans="1:66" ht="14.25" x14ac:dyDescent="0.45">
      <c r="A50" s="54">
        <v>51</v>
      </c>
      <c r="B50" s="58" t="s">
        <v>20</v>
      </c>
      <c r="C50" s="97">
        <v>75.207097984399795</v>
      </c>
      <c r="D50" s="102">
        <v>665746751</v>
      </c>
      <c r="E50" s="98">
        <v>4134620659</v>
      </c>
      <c r="F50" s="97">
        <f t="shared" si="21"/>
        <v>16.101761344195907</v>
      </c>
      <c r="G50" s="98">
        <v>361919991</v>
      </c>
      <c r="H50" s="98">
        <v>4134620659</v>
      </c>
      <c r="I50" s="99">
        <f t="shared" si="22"/>
        <v>8.7534025694036472</v>
      </c>
      <c r="J50" s="98">
        <v>879053255</v>
      </c>
      <c r="K50" s="98">
        <v>4134620659</v>
      </c>
      <c r="L50" s="99">
        <f t="shared" si="23"/>
        <v>21.260795789972374</v>
      </c>
      <c r="M50" s="106">
        <v>309606511</v>
      </c>
      <c r="N50" s="106">
        <v>3686807276</v>
      </c>
      <c r="O50" s="99">
        <f t="shared" si="24"/>
        <v>8.3976863400331414</v>
      </c>
      <c r="P50" s="102">
        <v>156616977</v>
      </c>
      <c r="Q50" s="106">
        <v>3686807276</v>
      </c>
      <c r="R50" s="99">
        <f t="shared" si="25"/>
        <v>4.2480380794387909</v>
      </c>
      <c r="S50" s="102">
        <v>1205852501.3359375</v>
      </c>
      <c r="T50" s="106">
        <v>3686807276</v>
      </c>
      <c r="U50" s="100">
        <f t="shared" si="26"/>
        <v>32.707229075565529</v>
      </c>
      <c r="V50" s="102">
        <v>271130206</v>
      </c>
      <c r="W50" s="102">
        <v>3932414940</v>
      </c>
      <c r="X50" s="100">
        <f t="shared" si="27"/>
        <v>6.8947506846772377</v>
      </c>
      <c r="Y50" s="102">
        <v>249529734</v>
      </c>
      <c r="Z50" s="102">
        <v>3932414940</v>
      </c>
      <c r="AA50" s="100">
        <f t="shared" si="28"/>
        <v>6.3454578880223655</v>
      </c>
      <c r="AB50" s="102">
        <v>1125943559</v>
      </c>
      <c r="AC50" s="102">
        <v>3932414940</v>
      </c>
      <c r="AD50" s="100">
        <f t="shared" si="29"/>
        <v>28.632369070391135</v>
      </c>
      <c r="AE50" s="102">
        <v>438734180</v>
      </c>
      <c r="AF50" s="102">
        <v>3943505656</v>
      </c>
      <c r="AG50" s="100">
        <f t="shared" si="30"/>
        <v>11.125486262013364</v>
      </c>
      <c r="AH50" s="102">
        <v>262320255</v>
      </c>
      <c r="AI50" s="102">
        <v>3943505656</v>
      </c>
      <c r="AJ50" s="100">
        <f t="shared" si="31"/>
        <v>6.651955845451436</v>
      </c>
      <c r="AK50" s="102">
        <v>1307130085</v>
      </c>
      <c r="AL50" s="102">
        <v>3943505656</v>
      </c>
      <c r="AM50" s="100">
        <f t="shared" si="32"/>
        <v>33.146398129573271</v>
      </c>
      <c r="AN50" s="102">
        <v>267143574</v>
      </c>
      <c r="AO50" s="102">
        <v>2963592396</v>
      </c>
      <c r="AP50" s="100">
        <f t="shared" si="33"/>
        <v>9.0141807071906133</v>
      </c>
      <c r="AQ50" s="102">
        <v>276456128</v>
      </c>
      <c r="AR50" s="102">
        <v>2963592396</v>
      </c>
      <c r="AS50" s="100">
        <f t="shared" si="34"/>
        <v>9.3284126512517886</v>
      </c>
      <c r="AT50" s="102">
        <v>1394904827</v>
      </c>
      <c r="AU50" s="102">
        <v>2963592396</v>
      </c>
      <c r="AV50" s="100">
        <f t="shared" si="35"/>
        <v>47.068039075910761</v>
      </c>
      <c r="AW50" s="102">
        <v>587438306</v>
      </c>
      <c r="AX50" s="102">
        <v>4560503362</v>
      </c>
      <c r="AY50" s="100">
        <f t="shared" si="36"/>
        <v>12.880997104284123</v>
      </c>
      <c r="AZ50" s="102">
        <v>551781976</v>
      </c>
      <c r="BA50" s="102">
        <v>4560503362</v>
      </c>
      <c r="BB50" s="100">
        <f t="shared" si="37"/>
        <v>12.099146348573617</v>
      </c>
      <c r="BC50" s="102">
        <v>1233958195</v>
      </c>
      <c r="BD50" s="102">
        <v>4560503362</v>
      </c>
      <c r="BE50" s="99">
        <f t="shared" si="38"/>
        <v>27.057499952348461</v>
      </c>
      <c r="BF50" s="102">
        <v>449085801</v>
      </c>
      <c r="BG50" s="102">
        <v>4239167810</v>
      </c>
      <c r="BH50" s="97">
        <f t="shared" si="41"/>
        <v>10.593725493494913</v>
      </c>
      <c r="BI50" s="102">
        <v>282400922</v>
      </c>
      <c r="BJ50" s="102">
        <v>4239167810</v>
      </c>
      <c r="BK50" s="100">
        <f t="shared" si="39"/>
        <v>6.6617066050989857</v>
      </c>
      <c r="BL50" s="102">
        <v>1333347791</v>
      </c>
      <c r="BM50" s="102">
        <v>4239167810</v>
      </c>
      <c r="BN50" s="99">
        <f t="shared" si="40"/>
        <v>31.453055192924761</v>
      </c>
    </row>
    <row r="51" spans="1:66" ht="14.25" x14ac:dyDescent="0.45">
      <c r="A51" s="54">
        <v>52</v>
      </c>
      <c r="B51" s="58" t="s">
        <v>22</v>
      </c>
      <c r="C51" s="97">
        <v>68.24666666666667</v>
      </c>
      <c r="D51" s="102">
        <v>4857997</v>
      </c>
      <c r="E51" s="98">
        <v>2444912065</v>
      </c>
      <c r="F51" s="97">
        <f t="shared" si="21"/>
        <v>0.19869823007315399</v>
      </c>
      <c r="G51" s="98">
        <v>74520902</v>
      </c>
      <c r="H51" s="98">
        <v>2444912065</v>
      </c>
      <c r="I51" s="99">
        <f t="shared" si="22"/>
        <v>3.0479992743624504</v>
      </c>
      <c r="J51" s="98">
        <v>75960639</v>
      </c>
      <c r="K51" s="98">
        <v>2444912065</v>
      </c>
      <c r="L51" s="99">
        <f t="shared" si="23"/>
        <v>3.1068863411249108</v>
      </c>
      <c r="M51" s="106">
        <v>9706058</v>
      </c>
      <c r="N51" s="106">
        <v>1678213581</v>
      </c>
      <c r="O51" s="99">
        <f t="shared" si="24"/>
        <v>0.57835653994746217</v>
      </c>
      <c r="P51" s="102">
        <v>55343741</v>
      </c>
      <c r="Q51" s="106">
        <v>1678213581</v>
      </c>
      <c r="R51" s="99">
        <f t="shared" si="25"/>
        <v>3.2977769710945988</v>
      </c>
      <c r="S51" s="102">
        <v>177397878</v>
      </c>
      <c r="T51" s="106">
        <v>1678213581</v>
      </c>
      <c r="U51" s="100">
        <f t="shared" si="26"/>
        <v>10.570637731002845</v>
      </c>
      <c r="V51" s="102">
        <v>3687532</v>
      </c>
      <c r="W51" s="102">
        <v>2790116166</v>
      </c>
      <c r="X51" s="100">
        <f t="shared" si="27"/>
        <v>0.13216410287628144</v>
      </c>
      <c r="Y51" s="102">
        <v>62533595</v>
      </c>
      <c r="Z51" s="102">
        <v>2790116166</v>
      </c>
      <c r="AA51" s="100">
        <f t="shared" si="28"/>
        <v>2.2412541729275084</v>
      </c>
      <c r="AB51" s="102">
        <v>149641245</v>
      </c>
      <c r="AC51" s="102">
        <v>2790116166</v>
      </c>
      <c r="AD51" s="100">
        <f t="shared" si="29"/>
        <v>5.3632621760881909</v>
      </c>
      <c r="AE51" s="102">
        <v>4766424</v>
      </c>
      <c r="AF51" s="102">
        <v>1946396869</v>
      </c>
      <c r="AG51" s="100">
        <f t="shared" si="30"/>
        <v>0.24488448763529119</v>
      </c>
      <c r="AH51" s="102">
        <v>89942589</v>
      </c>
      <c r="AI51" s="102">
        <v>1946396869</v>
      </c>
      <c r="AJ51" s="100">
        <f t="shared" si="31"/>
        <v>4.6209789191764266</v>
      </c>
      <c r="AK51" s="102">
        <v>165791474</v>
      </c>
      <c r="AL51" s="102">
        <v>1946396869</v>
      </c>
      <c r="AM51" s="100">
        <f t="shared" si="32"/>
        <v>8.5178658392097937</v>
      </c>
      <c r="AN51" s="102">
        <v>31279449</v>
      </c>
      <c r="AO51" s="102">
        <v>2082669632</v>
      </c>
      <c r="AP51" s="100">
        <f t="shared" si="33"/>
        <v>1.501892019713283</v>
      </c>
      <c r="AQ51" s="102">
        <v>40770456</v>
      </c>
      <c r="AR51" s="102">
        <v>2082669632</v>
      </c>
      <c r="AS51" s="100">
        <f t="shared" si="34"/>
        <v>1.9576055353939112</v>
      </c>
      <c r="AT51" s="102">
        <v>166762069</v>
      </c>
      <c r="AU51" s="102">
        <v>2082669632</v>
      </c>
      <c r="AV51" s="100">
        <f t="shared" si="35"/>
        <v>8.0071301966340869</v>
      </c>
      <c r="AW51" s="102">
        <v>2514994</v>
      </c>
      <c r="AX51" s="102">
        <v>1979607611</v>
      </c>
      <c r="AY51" s="100">
        <f t="shared" si="36"/>
        <v>0.12704507630830683</v>
      </c>
      <c r="AZ51" s="102">
        <v>131101723</v>
      </c>
      <c r="BA51" s="102">
        <v>1979607611</v>
      </c>
      <c r="BB51" s="100">
        <f t="shared" si="37"/>
        <v>6.6226115858270456</v>
      </c>
      <c r="BC51" s="102">
        <v>166117703</v>
      </c>
      <c r="BD51" s="102">
        <v>1979607611</v>
      </c>
      <c r="BE51" s="99">
        <f t="shared" si="38"/>
        <v>8.3914459651973932</v>
      </c>
      <c r="BF51" s="102">
        <v>56090771</v>
      </c>
      <c r="BG51" s="102">
        <v>3250572616</v>
      </c>
      <c r="BH51" s="97">
        <f t="shared" si="41"/>
        <v>1.7255658502723326</v>
      </c>
      <c r="BI51" s="102">
        <v>63585584</v>
      </c>
      <c r="BJ51" s="102">
        <v>3250572616</v>
      </c>
      <c r="BK51" s="100">
        <f t="shared" si="39"/>
        <v>1.95613485719465</v>
      </c>
      <c r="BL51" s="102">
        <v>221610019</v>
      </c>
      <c r="BM51" s="102">
        <v>3250572616</v>
      </c>
      <c r="BN51" s="99">
        <f t="shared" si="40"/>
        <v>6.81756863111407</v>
      </c>
    </row>
    <row r="52" spans="1:66" ht="14.25" x14ac:dyDescent="0.45">
      <c r="A52" s="54">
        <v>53</v>
      </c>
      <c r="B52" s="58" t="s">
        <v>66</v>
      </c>
      <c r="C52" s="97">
        <v>56.023333333333333</v>
      </c>
      <c r="D52" s="102">
        <v>440371</v>
      </c>
      <c r="E52" s="98">
        <v>157037336</v>
      </c>
      <c r="F52" s="97">
        <f t="shared" si="21"/>
        <v>0.28042439538072655</v>
      </c>
      <c r="G52" s="98">
        <v>97809829</v>
      </c>
      <c r="H52" s="98">
        <v>157037336</v>
      </c>
      <c r="I52" s="99">
        <f t="shared" si="22"/>
        <v>62.284442344335233</v>
      </c>
      <c r="J52" s="98">
        <v>57203514</v>
      </c>
      <c r="K52" s="98">
        <v>157037336</v>
      </c>
      <c r="L52" s="99">
        <f t="shared" si="23"/>
        <v>36.426696642383185</v>
      </c>
      <c r="M52" s="106">
        <v>1207371</v>
      </c>
      <c r="N52" s="106">
        <v>213686642</v>
      </c>
      <c r="O52" s="99">
        <f t="shared" si="24"/>
        <v>0.56501940818556173</v>
      </c>
      <c r="P52" s="102">
        <v>72506278</v>
      </c>
      <c r="Q52" s="106">
        <v>213686642</v>
      </c>
      <c r="R52" s="99">
        <f t="shared" si="25"/>
        <v>33.931123312799308</v>
      </c>
      <c r="S52" s="102">
        <v>76207492</v>
      </c>
      <c r="T52" s="106">
        <v>213686642</v>
      </c>
      <c r="U52" s="100">
        <f t="shared" si="26"/>
        <v>35.663198825502626</v>
      </c>
      <c r="V52" s="102">
        <v>6029977</v>
      </c>
      <c r="W52" s="102">
        <v>428869097</v>
      </c>
      <c r="X52" s="100">
        <f t="shared" si="27"/>
        <v>1.4060180698913822</v>
      </c>
      <c r="Y52" s="102">
        <v>91705611</v>
      </c>
      <c r="Z52" s="102">
        <v>428869097</v>
      </c>
      <c r="AA52" s="100">
        <f t="shared" si="28"/>
        <v>21.383124044491367</v>
      </c>
      <c r="AB52" s="102">
        <v>75164727</v>
      </c>
      <c r="AC52" s="102">
        <v>428869097</v>
      </c>
      <c r="AD52" s="100">
        <f t="shared" si="29"/>
        <v>17.526263264429147</v>
      </c>
      <c r="AE52" s="102">
        <v>2050114</v>
      </c>
      <c r="AF52" s="102">
        <v>344453719</v>
      </c>
      <c r="AG52" s="100">
        <f t="shared" si="30"/>
        <v>0.59517836124742207</v>
      </c>
      <c r="AH52" s="102">
        <v>60754037</v>
      </c>
      <c r="AI52" s="102">
        <v>344453719</v>
      </c>
      <c r="AJ52" s="100">
        <f t="shared" si="31"/>
        <v>17.637793888937516</v>
      </c>
      <c r="AK52" s="102">
        <v>72767530</v>
      </c>
      <c r="AL52" s="102">
        <v>344453719</v>
      </c>
      <c r="AM52" s="100">
        <f t="shared" si="32"/>
        <v>21.125488269151187</v>
      </c>
      <c r="AN52" s="102">
        <v>976270</v>
      </c>
      <c r="AO52" s="102">
        <v>302256269</v>
      </c>
      <c r="AP52" s="100">
        <f t="shared" si="33"/>
        <v>0.32299412787365545</v>
      </c>
      <c r="AQ52" s="102">
        <v>67221369</v>
      </c>
      <c r="AR52" s="102">
        <v>302256269</v>
      </c>
      <c r="AS52" s="100">
        <f t="shared" si="34"/>
        <v>22.239859316201642</v>
      </c>
      <c r="AT52" s="102">
        <v>58249404</v>
      </c>
      <c r="AU52" s="102">
        <v>302256269</v>
      </c>
      <c r="AV52" s="100">
        <f t="shared" si="35"/>
        <v>19.271528823112682</v>
      </c>
      <c r="AW52" s="102">
        <v>1585388</v>
      </c>
      <c r="AX52" s="102">
        <v>209140733</v>
      </c>
      <c r="AY52" s="100">
        <f t="shared" si="36"/>
        <v>0.75804840944112017</v>
      </c>
      <c r="AZ52" s="102">
        <v>37380023</v>
      </c>
      <c r="BA52" s="102">
        <v>209140733</v>
      </c>
      <c r="BB52" s="100">
        <f t="shared" si="37"/>
        <v>17.873143344104086</v>
      </c>
      <c r="BC52" s="102">
        <v>101493197</v>
      </c>
      <c r="BD52" s="102">
        <v>209140733</v>
      </c>
      <c r="BE52" s="99">
        <f t="shared" si="38"/>
        <v>48.528660841979551</v>
      </c>
      <c r="BF52" s="102">
        <v>1176383</v>
      </c>
      <c r="BG52" s="102">
        <v>129918721</v>
      </c>
      <c r="BH52" s="97">
        <f t="shared" si="41"/>
        <v>0.9054761245686832</v>
      </c>
      <c r="BI52" s="102">
        <v>7316006</v>
      </c>
      <c r="BJ52" s="102">
        <v>129918721</v>
      </c>
      <c r="BK52" s="100">
        <f t="shared" si="39"/>
        <v>5.6312176903280937</v>
      </c>
      <c r="BL52" s="102">
        <v>31576728</v>
      </c>
      <c r="BM52" s="102">
        <v>129918721</v>
      </c>
      <c r="BN52" s="99">
        <f t="shared" si="40"/>
        <v>24.304986807867358</v>
      </c>
    </row>
    <row r="53" spans="1:66" ht="14.25" x14ac:dyDescent="0.45">
      <c r="A53" s="54">
        <v>61</v>
      </c>
      <c r="B53" s="58" t="s">
        <v>67</v>
      </c>
      <c r="C53" s="97">
        <v>72.314516129032256</v>
      </c>
      <c r="D53" s="102">
        <v>169917283</v>
      </c>
      <c r="E53" s="98">
        <v>12656915328</v>
      </c>
      <c r="F53" s="97">
        <f t="shared" si="21"/>
        <v>1.342485736821704</v>
      </c>
      <c r="G53" s="98">
        <v>622779177</v>
      </c>
      <c r="H53" s="98">
        <v>12656915328</v>
      </c>
      <c r="I53" s="99">
        <f t="shared" si="22"/>
        <v>4.9204656969006475</v>
      </c>
      <c r="J53" s="98">
        <v>973429731</v>
      </c>
      <c r="K53" s="98">
        <v>12656915328</v>
      </c>
      <c r="L53" s="99">
        <f t="shared" si="23"/>
        <v>7.6908923365122801</v>
      </c>
      <c r="M53" s="106">
        <v>1138127814</v>
      </c>
      <c r="N53" s="106">
        <v>46676694610</v>
      </c>
      <c r="O53" s="99">
        <f t="shared" si="24"/>
        <v>2.4383213582483791</v>
      </c>
      <c r="P53" s="102">
        <v>789307352</v>
      </c>
      <c r="Q53" s="106">
        <v>46676694610</v>
      </c>
      <c r="R53" s="99">
        <f t="shared" si="25"/>
        <v>1.691009525406495</v>
      </c>
      <c r="S53" s="102">
        <v>2136861599.125</v>
      </c>
      <c r="T53" s="106">
        <v>46676694610</v>
      </c>
      <c r="U53" s="100">
        <f t="shared" si="26"/>
        <v>4.5780053985810714</v>
      </c>
      <c r="V53" s="102">
        <v>1030410279</v>
      </c>
      <c r="W53" s="102">
        <v>40232466819</v>
      </c>
      <c r="X53" s="100">
        <f t="shared" si="27"/>
        <v>2.5611411888703359</v>
      </c>
      <c r="Y53" s="102">
        <v>750657226</v>
      </c>
      <c r="Z53" s="102">
        <v>40232466819</v>
      </c>
      <c r="AA53" s="100">
        <f t="shared" si="28"/>
        <v>1.8657996522487605</v>
      </c>
      <c r="AB53" s="102">
        <v>1449100299</v>
      </c>
      <c r="AC53" s="102">
        <v>40232466819</v>
      </c>
      <c r="AD53" s="100">
        <f t="shared" si="29"/>
        <v>3.6018181672013574</v>
      </c>
      <c r="AE53" s="102">
        <v>1087430415</v>
      </c>
      <c r="AF53" s="102">
        <v>50475541731</v>
      </c>
      <c r="AG53" s="100">
        <f t="shared" si="30"/>
        <v>2.1543709640507833</v>
      </c>
      <c r="AH53" s="102">
        <v>614065614</v>
      </c>
      <c r="AI53" s="102">
        <v>50475541731</v>
      </c>
      <c r="AJ53" s="100">
        <f t="shared" si="31"/>
        <v>1.2165607201851312</v>
      </c>
      <c r="AK53" s="102">
        <v>1829125844</v>
      </c>
      <c r="AL53" s="102">
        <v>50475541731</v>
      </c>
      <c r="AM53" s="100">
        <f t="shared" si="32"/>
        <v>3.6237864543346272</v>
      </c>
      <c r="AN53" s="102">
        <v>375054568</v>
      </c>
      <c r="AO53" s="102">
        <v>40485538376</v>
      </c>
      <c r="AP53" s="100">
        <f t="shared" si="33"/>
        <v>0.92639145493575537</v>
      </c>
      <c r="AQ53" s="102">
        <v>596049493</v>
      </c>
      <c r="AR53" s="102">
        <v>40485538376</v>
      </c>
      <c r="AS53" s="100">
        <f t="shared" si="34"/>
        <v>1.4722528510411033</v>
      </c>
      <c r="AT53" s="102">
        <v>1734891063</v>
      </c>
      <c r="AU53" s="102">
        <v>40485538376</v>
      </c>
      <c r="AV53" s="100">
        <f t="shared" si="35"/>
        <v>4.2852117881886702</v>
      </c>
      <c r="AW53" s="102">
        <v>531450398</v>
      </c>
      <c r="AX53" s="102">
        <v>55038951230</v>
      </c>
      <c r="AY53" s="100">
        <f t="shared" si="36"/>
        <v>0.96558961630490348</v>
      </c>
      <c r="AZ53" s="102">
        <v>518993097</v>
      </c>
      <c r="BA53" s="102">
        <v>55038951230</v>
      </c>
      <c r="BB53" s="100">
        <f t="shared" si="37"/>
        <v>0.94295600733960427</v>
      </c>
      <c r="BC53" s="102">
        <v>2254561985</v>
      </c>
      <c r="BD53" s="102">
        <v>55038951230</v>
      </c>
      <c r="BE53" s="99">
        <f t="shared" si="38"/>
        <v>4.0963025904663484</v>
      </c>
      <c r="BF53" s="102">
        <v>1294529128</v>
      </c>
      <c r="BG53" s="102">
        <v>54915291339</v>
      </c>
      <c r="BH53" s="97">
        <f t="shared" si="41"/>
        <v>2.357319967600072</v>
      </c>
      <c r="BI53" s="102">
        <v>2006593590</v>
      </c>
      <c r="BJ53" s="102">
        <v>54915291339</v>
      </c>
      <c r="BK53" s="100">
        <f t="shared" si="39"/>
        <v>3.6539796859366711</v>
      </c>
      <c r="BL53" s="102">
        <v>2694400640</v>
      </c>
      <c r="BM53" s="102">
        <v>54915291339</v>
      </c>
      <c r="BN53" s="99">
        <f t="shared" si="40"/>
        <v>4.9064669863391543</v>
      </c>
    </row>
    <row r="54" spans="1:66" ht="14.25" x14ac:dyDescent="0.45">
      <c r="A54" s="54">
        <v>62</v>
      </c>
      <c r="B54" s="58" t="s">
        <v>68</v>
      </c>
      <c r="C54" s="97">
        <v>77.509251313827363</v>
      </c>
      <c r="D54" s="102">
        <v>15871107</v>
      </c>
      <c r="E54" s="98">
        <v>34138921003</v>
      </c>
      <c r="F54" s="97">
        <f t="shared" si="21"/>
        <v>4.6489773354598134E-2</v>
      </c>
      <c r="G54" s="98">
        <v>1044627769</v>
      </c>
      <c r="H54" s="98">
        <v>34138921003</v>
      </c>
      <c r="I54" s="99">
        <f t="shared" si="22"/>
        <v>3.0599320022686189</v>
      </c>
      <c r="J54" s="98">
        <v>1269000594</v>
      </c>
      <c r="K54" s="98">
        <v>34138921003</v>
      </c>
      <c r="L54" s="99">
        <f t="shared" si="23"/>
        <v>3.7171666728672679</v>
      </c>
      <c r="M54" s="106">
        <v>89675986</v>
      </c>
      <c r="N54" s="106">
        <v>47163199799</v>
      </c>
      <c r="O54" s="99">
        <f t="shared" si="24"/>
        <v>0.19013974111633833</v>
      </c>
      <c r="P54" s="102">
        <v>625628364</v>
      </c>
      <c r="Q54" s="106">
        <v>47163199799</v>
      </c>
      <c r="R54" s="99">
        <f t="shared" si="25"/>
        <v>1.3265180621041432</v>
      </c>
      <c r="S54" s="102">
        <v>1339701063</v>
      </c>
      <c r="T54" s="106">
        <v>47163199799</v>
      </c>
      <c r="U54" s="100">
        <f t="shared" si="26"/>
        <v>2.8405643991704008</v>
      </c>
      <c r="V54" s="102">
        <v>14260797</v>
      </c>
      <c r="W54" s="102">
        <v>48491467284</v>
      </c>
      <c r="X54" s="100">
        <f t="shared" si="27"/>
        <v>2.9408879126050738E-2</v>
      </c>
      <c r="Y54" s="102">
        <v>438971334</v>
      </c>
      <c r="Z54" s="102">
        <v>48491467284</v>
      </c>
      <c r="AA54" s="100">
        <f t="shared" si="28"/>
        <v>0.90525479756897509</v>
      </c>
      <c r="AB54" s="102">
        <v>1459191766</v>
      </c>
      <c r="AC54" s="102">
        <v>48491467284</v>
      </c>
      <c r="AD54" s="100">
        <f t="shared" si="29"/>
        <v>3.0091722270517223</v>
      </c>
      <c r="AE54" s="102">
        <v>195506626</v>
      </c>
      <c r="AF54" s="102">
        <v>58565671070</v>
      </c>
      <c r="AG54" s="100">
        <f t="shared" si="30"/>
        <v>0.33382461504850303</v>
      </c>
      <c r="AH54" s="102">
        <v>340999700</v>
      </c>
      <c r="AI54" s="102">
        <v>58565671070</v>
      </c>
      <c r="AJ54" s="100">
        <f t="shared" si="31"/>
        <v>0.58225184441654176</v>
      </c>
      <c r="AK54" s="102">
        <v>1402334967</v>
      </c>
      <c r="AL54" s="102">
        <v>58565671070</v>
      </c>
      <c r="AM54" s="100">
        <f t="shared" si="32"/>
        <v>2.3944658045903271</v>
      </c>
      <c r="AN54" s="102">
        <v>24765580</v>
      </c>
      <c r="AO54" s="102">
        <v>46834816480</v>
      </c>
      <c r="AP54" s="100">
        <f t="shared" si="33"/>
        <v>5.2878567402043122E-2</v>
      </c>
      <c r="AQ54" s="102">
        <v>308022461</v>
      </c>
      <c r="AR54" s="102">
        <v>46834816480</v>
      </c>
      <c r="AS54" s="100">
        <f t="shared" si="34"/>
        <v>0.65767837722079181</v>
      </c>
      <c r="AT54" s="102">
        <v>1079723164</v>
      </c>
      <c r="AU54" s="102">
        <v>46834816480</v>
      </c>
      <c r="AV54" s="100">
        <f t="shared" si="35"/>
        <v>2.3053857048016346</v>
      </c>
      <c r="AW54" s="102">
        <v>126731423</v>
      </c>
      <c r="AX54" s="102">
        <v>48812326289</v>
      </c>
      <c r="AY54" s="100">
        <f t="shared" si="36"/>
        <v>0.25962995955093277</v>
      </c>
      <c r="AZ54" s="102">
        <v>337252039</v>
      </c>
      <c r="BA54" s="102">
        <v>48812326289</v>
      </c>
      <c r="BB54" s="100">
        <f t="shared" si="37"/>
        <v>0.69091572690728476</v>
      </c>
      <c r="BC54" s="102">
        <v>1289418548</v>
      </c>
      <c r="BD54" s="102">
        <v>48812326289</v>
      </c>
      <c r="BE54" s="99">
        <f t="shared" si="38"/>
        <v>2.6415838908513036</v>
      </c>
      <c r="BF54" s="102">
        <v>104000976</v>
      </c>
      <c r="BG54" s="102">
        <v>84150378804</v>
      </c>
      <c r="BH54" s="97">
        <f t="shared" si="41"/>
        <v>0.12358943296290475</v>
      </c>
      <c r="BI54" s="102">
        <v>1480187372</v>
      </c>
      <c r="BJ54" s="102">
        <v>84150378804</v>
      </c>
      <c r="BK54" s="100">
        <f t="shared" si="39"/>
        <v>1.7589788578939121</v>
      </c>
      <c r="BL54" s="102">
        <v>1406983860</v>
      </c>
      <c r="BM54" s="102">
        <v>84150378804</v>
      </c>
      <c r="BN54" s="99">
        <f t="shared" si="40"/>
        <v>1.6719875537067936</v>
      </c>
    </row>
    <row r="55" spans="1:66" ht="14.25" x14ac:dyDescent="0.45">
      <c r="A55" s="54">
        <v>63</v>
      </c>
      <c r="B55" s="58" t="s">
        <v>69</v>
      </c>
      <c r="C55" s="97">
        <v>68.413124999999994</v>
      </c>
      <c r="D55" s="102">
        <v>643954907</v>
      </c>
      <c r="E55" s="98">
        <v>20600338174</v>
      </c>
      <c r="F55" s="97">
        <f t="shared" si="21"/>
        <v>3.1259433780205863</v>
      </c>
      <c r="G55" s="98">
        <v>1088247473</v>
      </c>
      <c r="H55" s="98">
        <v>20600338174</v>
      </c>
      <c r="I55" s="99">
        <f t="shared" si="22"/>
        <v>5.2826680018947147</v>
      </c>
      <c r="J55" s="98">
        <v>1408970305</v>
      </c>
      <c r="K55" s="98">
        <v>20600338174</v>
      </c>
      <c r="L55" s="99">
        <f t="shared" si="23"/>
        <v>6.8395493952535347</v>
      </c>
      <c r="M55" s="106">
        <v>589432225</v>
      </c>
      <c r="N55" s="106">
        <v>25344704231</v>
      </c>
      <c r="O55" s="99">
        <f t="shared" si="24"/>
        <v>2.3256622749577982</v>
      </c>
      <c r="P55" s="102">
        <v>751150365</v>
      </c>
      <c r="Q55" s="106">
        <v>25344704231</v>
      </c>
      <c r="R55" s="99">
        <f t="shared" si="25"/>
        <v>2.9637369533049891</v>
      </c>
      <c r="S55" s="102">
        <v>1753018190</v>
      </c>
      <c r="T55" s="106">
        <v>25344704231</v>
      </c>
      <c r="U55" s="100">
        <f t="shared" si="26"/>
        <v>6.9167040736495222</v>
      </c>
      <c r="V55" s="102">
        <v>587956215</v>
      </c>
      <c r="W55" s="102">
        <v>30148781119</v>
      </c>
      <c r="X55" s="100">
        <f t="shared" si="27"/>
        <v>1.9501823728106387</v>
      </c>
      <c r="Y55" s="102">
        <v>1389071261</v>
      </c>
      <c r="Z55" s="102">
        <v>30148781119</v>
      </c>
      <c r="AA55" s="100">
        <f t="shared" si="28"/>
        <v>4.6073877929499325</v>
      </c>
      <c r="AB55" s="102">
        <v>1963688784</v>
      </c>
      <c r="AC55" s="102">
        <v>30148781119</v>
      </c>
      <c r="AD55" s="100">
        <f t="shared" si="29"/>
        <v>6.5133272759822045</v>
      </c>
      <c r="AE55" s="102">
        <v>1019627049</v>
      </c>
      <c r="AF55" s="102">
        <v>24915939036</v>
      </c>
      <c r="AG55" s="100">
        <f t="shared" si="30"/>
        <v>4.092268196381375</v>
      </c>
      <c r="AH55" s="102">
        <v>1264614658</v>
      </c>
      <c r="AI55" s="102">
        <v>24915939036</v>
      </c>
      <c r="AJ55" s="100">
        <f t="shared" si="31"/>
        <v>5.0755247722063013</v>
      </c>
      <c r="AK55" s="102">
        <v>1610994586</v>
      </c>
      <c r="AL55" s="102">
        <v>24915939036</v>
      </c>
      <c r="AM55" s="100">
        <f t="shared" si="32"/>
        <v>6.4657189266370461</v>
      </c>
      <c r="AN55" s="102">
        <v>766684681</v>
      </c>
      <c r="AO55" s="102">
        <v>23596465414</v>
      </c>
      <c r="AP55" s="100">
        <f t="shared" si="33"/>
        <v>3.249150529744675</v>
      </c>
      <c r="AQ55" s="102">
        <v>959215419</v>
      </c>
      <c r="AR55" s="102">
        <v>23596465414</v>
      </c>
      <c r="AS55" s="100">
        <f t="shared" si="34"/>
        <v>4.0650809439912496</v>
      </c>
      <c r="AT55" s="102">
        <v>1708424794</v>
      </c>
      <c r="AU55" s="102">
        <v>23596465414</v>
      </c>
      <c r="AV55" s="100">
        <f t="shared" si="35"/>
        <v>7.2401724750961041</v>
      </c>
      <c r="AW55" s="102">
        <v>688105524</v>
      </c>
      <c r="AX55" s="102">
        <v>30839637781</v>
      </c>
      <c r="AY55" s="100">
        <f t="shared" si="36"/>
        <v>2.231237373429642</v>
      </c>
      <c r="AZ55" s="102">
        <v>1333444000</v>
      </c>
      <c r="BA55" s="102">
        <v>30839637781</v>
      </c>
      <c r="BB55" s="100">
        <f t="shared" si="37"/>
        <v>4.3237991621987266</v>
      </c>
      <c r="BC55" s="102">
        <v>2655708576</v>
      </c>
      <c r="BD55" s="102">
        <v>30839637781</v>
      </c>
      <c r="BE55" s="99">
        <f t="shared" si="38"/>
        <v>8.6113481450685398</v>
      </c>
      <c r="BF55" s="102">
        <v>792977716</v>
      </c>
      <c r="BG55" s="102">
        <v>32548674045</v>
      </c>
      <c r="BH55" s="97">
        <f t="shared" si="41"/>
        <v>2.4362827035708823</v>
      </c>
      <c r="BI55" s="102">
        <v>1886590090</v>
      </c>
      <c r="BJ55" s="102">
        <v>32548674045</v>
      </c>
      <c r="BK55" s="100">
        <f t="shared" si="39"/>
        <v>5.7962118130886209</v>
      </c>
      <c r="BL55" s="102">
        <v>3148012485</v>
      </c>
      <c r="BM55" s="102">
        <v>32548674045</v>
      </c>
      <c r="BN55" s="99">
        <f t="shared" si="40"/>
        <v>9.6717073041062491</v>
      </c>
    </row>
    <row r="56" spans="1:66" ht="14.25" x14ac:dyDescent="0.45">
      <c r="A56" s="54">
        <v>64</v>
      </c>
      <c r="B56" s="58" t="s">
        <v>47</v>
      </c>
      <c r="C56" s="97">
        <v>50.526144770635135</v>
      </c>
      <c r="D56" s="102">
        <v>227214049</v>
      </c>
      <c r="E56" s="98">
        <v>16907551015</v>
      </c>
      <c r="F56" s="97">
        <f t="shared" si="21"/>
        <v>1.343861383581932</v>
      </c>
      <c r="G56" s="98">
        <v>869900815</v>
      </c>
      <c r="H56" s="98">
        <v>16907551015</v>
      </c>
      <c r="I56" s="99">
        <f t="shared" si="22"/>
        <v>5.1450432663384751</v>
      </c>
      <c r="J56" s="98">
        <v>1835093822</v>
      </c>
      <c r="K56" s="98">
        <v>16907551015</v>
      </c>
      <c r="L56" s="99">
        <f t="shared" si="23"/>
        <v>10.853693834026855</v>
      </c>
      <c r="M56" s="106">
        <v>1550972778</v>
      </c>
      <c r="N56" s="106">
        <v>46942110014</v>
      </c>
      <c r="O56" s="99">
        <f t="shared" si="24"/>
        <v>3.3040116380312652</v>
      </c>
      <c r="P56" s="102">
        <v>3028808452</v>
      </c>
      <c r="Q56" s="106">
        <v>46942110014</v>
      </c>
      <c r="R56" s="99">
        <f t="shared" si="25"/>
        <v>6.4522205139408708</v>
      </c>
      <c r="S56" s="102">
        <v>2649661604.03125</v>
      </c>
      <c r="T56" s="106">
        <v>46942110014</v>
      </c>
      <c r="U56" s="100">
        <f t="shared" si="26"/>
        <v>5.644530259166058</v>
      </c>
      <c r="V56" s="102">
        <v>534943850</v>
      </c>
      <c r="W56" s="102">
        <v>74897361602</v>
      </c>
      <c r="X56" s="100">
        <f t="shared" si="27"/>
        <v>0.71423590705725915</v>
      </c>
      <c r="Y56" s="102">
        <v>859837068</v>
      </c>
      <c r="Z56" s="102">
        <v>74897361602</v>
      </c>
      <c r="AA56" s="100">
        <f t="shared" si="28"/>
        <v>1.1480205038050895</v>
      </c>
      <c r="AB56" s="102">
        <v>3735040021</v>
      </c>
      <c r="AC56" s="102">
        <v>74897361602</v>
      </c>
      <c r="AD56" s="100">
        <f t="shared" si="29"/>
        <v>4.9868779635359841</v>
      </c>
      <c r="AE56" s="102">
        <v>7876855068</v>
      </c>
      <c r="AF56" s="102">
        <v>64513410127</v>
      </c>
      <c r="AG56" s="100">
        <f t="shared" si="30"/>
        <v>12.209639906639188</v>
      </c>
      <c r="AH56" s="102">
        <v>1199593603</v>
      </c>
      <c r="AI56" s="102">
        <v>64513410127</v>
      </c>
      <c r="AJ56" s="100">
        <f t="shared" si="31"/>
        <v>1.8594484474444932</v>
      </c>
      <c r="AK56" s="102">
        <v>3392279810</v>
      </c>
      <c r="AL56" s="102">
        <v>64513410127</v>
      </c>
      <c r="AM56" s="100">
        <f t="shared" si="32"/>
        <v>5.2582553043189248</v>
      </c>
      <c r="AN56" s="102">
        <v>9835515591.67136</v>
      </c>
      <c r="AO56" s="102">
        <v>72573356883.366806</v>
      </c>
      <c r="AP56" s="100">
        <f t="shared" si="33"/>
        <v>13.552515708317161</v>
      </c>
      <c r="AQ56" s="102">
        <v>2206430644</v>
      </c>
      <c r="AR56" s="102">
        <v>72573356883.366806</v>
      </c>
      <c r="AS56" s="100">
        <f t="shared" si="34"/>
        <v>3.0402764027382272</v>
      </c>
      <c r="AT56" s="102">
        <v>3620164202</v>
      </c>
      <c r="AU56" s="102">
        <v>72573356883.366806</v>
      </c>
      <c r="AV56" s="100">
        <f t="shared" si="35"/>
        <v>4.9882826941820992</v>
      </c>
      <c r="AW56" s="102">
        <v>1345205013</v>
      </c>
      <c r="AX56" s="102">
        <v>72958823419</v>
      </c>
      <c r="AY56" s="100">
        <f t="shared" si="36"/>
        <v>1.8437866044995463</v>
      </c>
      <c r="AZ56" s="102">
        <v>3079221084</v>
      </c>
      <c r="BA56" s="102">
        <v>72958823419</v>
      </c>
      <c r="BB56" s="100">
        <f t="shared" si="37"/>
        <v>4.2204916961395336</v>
      </c>
      <c r="BC56" s="102">
        <v>3423440096</v>
      </c>
      <c r="BD56" s="102">
        <v>72958823419</v>
      </c>
      <c r="BE56" s="99">
        <f t="shared" si="38"/>
        <v>4.6922907135430378</v>
      </c>
      <c r="BF56" s="102">
        <v>3543382355</v>
      </c>
      <c r="BG56" s="102">
        <v>112220946336</v>
      </c>
      <c r="BH56" s="97">
        <f t="shared" si="41"/>
        <v>3.1575053238196564</v>
      </c>
      <c r="BI56" s="102">
        <v>1890024690</v>
      </c>
      <c r="BJ56" s="102">
        <v>112220946336</v>
      </c>
      <c r="BK56" s="100">
        <f t="shared" si="39"/>
        <v>1.6841995649734494</v>
      </c>
      <c r="BL56" s="102">
        <v>3750857537</v>
      </c>
      <c r="BM56" s="102">
        <v>112220946336</v>
      </c>
      <c r="BN56" s="99">
        <f t="shared" si="40"/>
        <v>3.3423863008333417</v>
      </c>
    </row>
    <row r="57" spans="1:66" ht="14.25" x14ac:dyDescent="0.45">
      <c r="A57" s="54">
        <v>65</v>
      </c>
      <c r="B57" s="58" t="s">
        <v>70</v>
      </c>
      <c r="C57" s="97">
        <v>88.94517294241794</v>
      </c>
      <c r="D57" s="102">
        <v>267131807</v>
      </c>
      <c r="E57" s="98">
        <v>11023070841</v>
      </c>
      <c r="F57" s="97">
        <f t="shared" si="21"/>
        <v>2.4233882812982643</v>
      </c>
      <c r="G57" s="98">
        <v>1886830339</v>
      </c>
      <c r="H57" s="98">
        <v>11023070841</v>
      </c>
      <c r="I57" s="99">
        <f t="shared" si="22"/>
        <v>17.117102540809118</v>
      </c>
      <c r="J57" s="98">
        <v>1299280045</v>
      </c>
      <c r="K57" s="98">
        <v>11023070841</v>
      </c>
      <c r="L57" s="99">
        <f t="shared" si="23"/>
        <v>11.786915495157345</v>
      </c>
      <c r="M57" s="106">
        <v>47075839</v>
      </c>
      <c r="N57" s="106">
        <v>9279077776</v>
      </c>
      <c r="O57" s="99">
        <f t="shared" si="24"/>
        <v>0.50733316539020679</v>
      </c>
      <c r="P57" s="102">
        <v>185022603</v>
      </c>
      <c r="Q57" s="106">
        <v>9279077776</v>
      </c>
      <c r="R57" s="99">
        <f t="shared" si="25"/>
        <v>1.9939762061112829</v>
      </c>
      <c r="S57" s="102">
        <v>515258267</v>
      </c>
      <c r="T57" s="106">
        <v>9279077776</v>
      </c>
      <c r="U57" s="100">
        <f t="shared" si="26"/>
        <v>5.5529038492671861</v>
      </c>
      <c r="V57" s="102">
        <v>1821901</v>
      </c>
      <c r="W57" s="102">
        <v>4313703312</v>
      </c>
      <c r="X57" s="100">
        <f t="shared" si="27"/>
        <v>4.2235194871464078E-2</v>
      </c>
      <c r="Y57" s="102">
        <v>192738917</v>
      </c>
      <c r="Z57" s="102">
        <v>4313703312</v>
      </c>
      <c r="AA57" s="100">
        <f t="shared" si="28"/>
        <v>4.4680615021397658</v>
      </c>
      <c r="AB57" s="102">
        <v>706581222</v>
      </c>
      <c r="AC57" s="102">
        <v>4313703312</v>
      </c>
      <c r="AD57" s="100">
        <f t="shared" si="29"/>
        <v>16.379921633330909</v>
      </c>
      <c r="AE57" s="102">
        <v>969603</v>
      </c>
      <c r="AF57" s="102">
        <v>3434342814</v>
      </c>
      <c r="AG57" s="100">
        <f t="shared" si="30"/>
        <v>2.8232563040807724E-2</v>
      </c>
      <c r="AH57" s="102">
        <v>111165234</v>
      </c>
      <c r="AI57" s="102">
        <v>3434342814</v>
      </c>
      <c r="AJ57" s="100">
        <f t="shared" si="31"/>
        <v>3.2368706334975674</v>
      </c>
      <c r="AK57" s="102">
        <v>944116829</v>
      </c>
      <c r="AL57" s="102">
        <v>3434342814</v>
      </c>
      <c r="AM57" s="100">
        <f t="shared" si="32"/>
        <v>27.49046557470427</v>
      </c>
      <c r="AN57" s="102">
        <v>2675353</v>
      </c>
      <c r="AO57" s="102">
        <v>3037244624</v>
      </c>
      <c r="AP57" s="100">
        <f t="shared" si="33"/>
        <v>8.8084870703519599E-2</v>
      </c>
      <c r="AQ57" s="102">
        <v>87517345</v>
      </c>
      <c r="AR57" s="102">
        <v>3037244624</v>
      </c>
      <c r="AS57" s="100">
        <f t="shared" si="34"/>
        <v>2.8814717230362938</v>
      </c>
      <c r="AT57" s="102">
        <v>948810471</v>
      </c>
      <c r="AU57" s="102">
        <v>3037244624</v>
      </c>
      <c r="AV57" s="100">
        <f t="shared" si="35"/>
        <v>31.239185131898683</v>
      </c>
      <c r="AW57" s="102">
        <v>0</v>
      </c>
      <c r="AX57" s="102">
        <v>4181246380</v>
      </c>
      <c r="AY57" s="100">
        <f t="shared" si="36"/>
        <v>0</v>
      </c>
      <c r="AZ57" s="102">
        <v>318312611</v>
      </c>
      <c r="BA57" s="102">
        <v>4181246380</v>
      </c>
      <c r="BB57" s="100">
        <f t="shared" si="37"/>
        <v>7.6128642531703665</v>
      </c>
      <c r="BC57" s="102">
        <v>928423646</v>
      </c>
      <c r="BD57" s="102">
        <v>4181246380</v>
      </c>
      <c r="BE57" s="99">
        <f t="shared" si="38"/>
        <v>22.20447114623272</v>
      </c>
      <c r="BF57" s="102">
        <v>8656</v>
      </c>
      <c r="BG57" s="102">
        <v>6308156706</v>
      </c>
      <c r="BH57" s="97">
        <f t="shared" si="41"/>
        <v>1.3721916565209691E-4</v>
      </c>
      <c r="BI57" s="102">
        <v>100921929</v>
      </c>
      <c r="BJ57" s="102">
        <v>6308156706</v>
      </c>
      <c r="BK57" s="100">
        <f t="shared" si="39"/>
        <v>1.5998640126363404</v>
      </c>
      <c r="BL57" s="102">
        <v>869701234</v>
      </c>
      <c r="BM57" s="102">
        <v>6308156706</v>
      </c>
      <c r="BN57" s="99">
        <f t="shared" si="40"/>
        <v>13.786931341968472</v>
      </c>
    </row>
    <row r="58" spans="1:66" ht="14.25" x14ac:dyDescent="0.45">
      <c r="A58" s="54">
        <v>71</v>
      </c>
      <c r="B58" s="58" t="s">
        <v>71</v>
      </c>
      <c r="C58" s="97">
        <v>61.759705882352939</v>
      </c>
      <c r="D58" s="102">
        <v>93268701</v>
      </c>
      <c r="E58" s="98">
        <v>5718485284</v>
      </c>
      <c r="F58" s="97">
        <f t="shared" si="21"/>
        <v>1.6310036026666115</v>
      </c>
      <c r="G58" s="98">
        <v>1454394995</v>
      </c>
      <c r="H58" s="98">
        <v>5718485284</v>
      </c>
      <c r="I58" s="99">
        <f t="shared" si="22"/>
        <v>25.433220910252498</v>
      </c>
      <c r="J58" s="98">
        <v>340368359</v>
      </c>
      <c r="K58" s="98">
        <v>5718485284</v>
      </c>
      <c r="L58" s="99">
        <f t="shared" si="23"/>
        <v>5.9520719578020342</v>
      </c>
      <c r="M58" s="106">
        <v>275121132</v>
      </c>
      <c r="N58" s="106">
        <v>5135888933</v>
      </c>
      <c r="O58" s="99">
        <f t="shared" si="24"/>
        <v>5.356835702428147</v>
      </c>
      <c r="P58" s="102">
        <v>320389336</v>
      </c>
      <c r="Q58" s="106">
        <v>5135888933</v>
      </c>
      <c r="R58" s="99">
        <f t="shared" si="25"/>
        <v>6.2382450278739316</v>
      </c>
      <c r="S58" s="102">
        <v>704555554.125</v>
      </c>
      <c r="T58" s="106">
        <v>5135888933</v>
      </c>
      <c r="U58" s="100">
        <f t="shared" si="26"/>
        <v>13.718278633285234</v>
      </c>
      <c r="V58" s="102">
        <v>225114685</v>
      </c>
      <c r="W58" s="102">
        <v>9018738361</v>
      </c>
      <c r="X58" s="100">
        <f t="shared" si="27"/>
        <v>2.4960773446258311</v>
      </c>
      <c r="Y58" s="102">
        <v>655695442</v>
      </c>
      <c r="Z58" s="102">
        <v>9018738361</v>
      </c>
      <c r="AA58" s="100">
        <f t="shared" si="28"/>
        <v>7.270367713908227</v>
      </c>
      <c r="AB58" s="102">
        <v>767294283</v>
      </c>
      <c r="AC58" s="102">
        <v>9018738361</v>
      </c>
      <c r="AD58" s="100">
        <f t="shared" si="29"/>
        <v>8.507778497245619</v>
      </c>
      <c r="AE58" s="102">
        <v>122810084</v>
      </c>
      <c r="AF58" s="102">
        <v>7002119811</v>
      </c>
      <c r="AG58" s="100">
        <f t="shared" si="30"/>
        <v>1.7538986380534527</v>
      </c>
      <c r="AH58" s="102">
        <v>378567790</v>
      </c>
      <c r="AI58" s="102">
        <v>7002119811</v>
      </c>
      <c r="AJ58" s="100">
        <f t="shared" si="31"/>
        <v>5.4064740424076696</v>
      </c>
      <c r="AK58" s="102">
        <v>784540030</v>
      </c>
      <c r="AL58" s="102">
        <v>7002119811</v>
      </c>
      <c r="AM58" s="100">
        <f t="shared" si="32"/>
        <v>11.204321707942281</v>
      </c>
      <c r="AN58" s="102">
        <v>169953026</v>
      </c>
      <c r="AO58" s="102">
        <v>11538836987</v>
      </c>
      <c r="AP58" s="100">
        <f t="shared" si="33"/>
        <v>1.4728782995329095</v>
      </c>
      <c r="AQ58" s="102">
        <v>312484881</v>
      </c>
      <c r="AR58" s="102">
        <v>11538836987</v>
      </c>
      <c r="AS58" s="100">
        <f t="shared" si="34"/>
        <v>2.7081141830156268</v>
      </c>
      <c r="AT58" s="102">
        <v>599228184</v>
      </c>
      <c r="AU58" s="102">
        <v>11538836987</v>
      </c>
      <c r="AV58" s="100">
        <f t="shared" si="35"/>
        <v>5.1931419490119186</v>
      </c>
      <c r="AW58" s="102">
        <v>151407987</v>
      </c>
      <c r="AX58" s="102">
        <v>8100009990</v>
      </c>
      <c r="AY58" s="100">
        <f t="shared" si="36"/>
        <v>1.8692321020211482</v>
      </c>
      <c r="AZ58" s="102">
        <v>477950422</v>
      </c>
      <c r="BA58" s="102">
        <v>8100009990</v>
      </c>
      <c r="BB58" s="100">
        <f t="shared" si="37"/>
        <v>5.9006152164017269</v>
      </c>
      <c r="BC58" s="102">
        <v>892676002</v>
      </c>
      <c r="BD58" s="102">
        <v>8100009990</v>
      </c>
      <c r="BE58" s="99">
        <f t="shared" si="38"/>
        <v>11.020677790546776</v>
      </c>
      <c r="BF58" s="102">
        <v>148636040</v>
      </c>
      <c r="BG58" s="102">
        <v>14686355489</v>
      </c>
      <c r="BH58" s="97">
        <f t="shared" si="41"/>
        <v>1.0120689241883569</v>
      </c>
      <c r="BI58" s="102">
        <v>495175401</v>
      </c>
      <c r="BJ58" s="102">
        <v>14686355489</v>
      </c>
      <c r="BK58" s="100">
        <f t="shared" si="39"/>
        <v>3.3716697200396903</v>
      </c>
      <c r="BL58" s="102">
        <v>740838237</v>
      </c>
      <c r="BM58" s="102">
        <v>14686355489</v>
      </c>
      <c r="BN58" s="99">
        <f t="shared" si="40"/>
        <v>5.044398098322513</v>
      </c>
    </row>
    <row r="59" spans="1:66" ht="14.25" x14ac:dyDescent="0.45">
      <c r="A59" s="54">
        <v>72</v>
      </c>
      <c r="B59" s="58" t="s">
        <v>72</v>
      </c>
      <c r="C59" s="97">
        <v>73.008181818181825</v>
      </c>
      <c r="D59" s="102">
        <v>2247766</v>
      </c>
      <c r="E59" s="98">
        <v>3514068108</v>
      </c>
      <c r="F59" s="97">
        <f t="shared" si="21"/>
        <v>6.3964781868707021E-2</v>
      </c>
      <c r="G59" s="98">
        <v>174134934</v>
      </c>
      <c r="H59" s="98">
        <v>3514068108</v>
      </c>
      <c r="I59" s="99">
        <f t="shared" si="22"/>
        <v>4.9553659362369986</v>
      </c>
      <c r="J59" s="98">
        <v>223733875</v>
      </c>
      <c r="K59" s="98">
        <v>3514068108</v>
      </c>
      <c r="L59" s="99">
        <f t="shared" si="23"/>
        <v>6.3668053129265072</v>
      </c>
      <c r="M59" s="106">
        <v>1048342309</v>
      </c>
      <c r="N59" s="106">
        <v>12473824694</v>
      </c>
      <c r="O59" s="99">
        <f t="shared" si="24"/>
        <v>8.4043373601703752</v>
      </c>
      <c r="P59" s="102">
        <v>239612517</v>
      </c>
      <c r="Q59" s="106">
        <v>12473824694</v>
      </c>
      <c r="R59" s="99">
        <f t="shared" si="25"/>
        <v>1.9209225949379853</v>
      </c>
      <c r="S59" s="102">
        <v>927264562</v>
      </c>
      <c r="T59" s="106">
        <v>12473824694</v>
      </c>
      <c r="U59" s="100">
        <f t="shared" si="26"/>
        <v>7.4336828097802341</v>
      </c>
      <c r="V59" s="102">
        <v>5243738368</v>
      </c>
      <c r="W59" s="102">
        <v>12282004829</v>
      </c>
      <c r="X59" s="100">
        <f t="shared" si="27"/>
        <v>42.694482220187702</v>
      </c>
      <c r="Y59" s="102">
        <v>1278540602</v>
      </c>
      <c r="Z59" s="102">
        <v>12282004829</v>
      </c>
      <c r="AA59" s="100">
        <f t="shared" si="28"/>
        <v>10.40986890821878</v>
      </c>
      <c r="AB59" s="102">
        <v>1942670197</v>
      </c>
      <c r="AC59" s="102">
        <v>12282004829</v>
      </c>
      <c r="AD59" s="100">
        <f t="shared" si="29"/>
        <v>15.817207565437604</v>
      </c>
      <c r="AE59" s="102">
        <v>26135393752</v>
      </c>
      <c r="AF59" s="102">
        <v>67305422366</v>
      </c>
      <c r="AG59" s="100">
        <f t="shared" si="30"/>
        <v>38.83103743094933</v>
      </c>
      <c r="AH59" s="102">
        <v>447725782</v>
      </c>
      <c r="AI59" s="102">
        <v>67305422366</v>
      </c>
      <c r="AJ59" s="100">
        <f t="shared" si="31"/>
        <v>0.66521502467559446</v>
      </c>
      <c r="AK59" s="102">
        <v>1557351403</v>
      </c>
      <c r="AL59" s="102">
        <v>67305422366</v>
      </c>
      <c r="AM59" s="100">
        <f t="shared" si="32"/>
        <v>2.3138572617987334</v>
      </c>
      <c r="AN59" s="102">
        <v>15605296142</v>
      </c>
      <c r="AO59" s="102">
        <v>56260229272</v>
      </c>
      <c r="AP59" s="100">
        <f t="shared" si="33"/>
        <v>27.737704492019478</v>
      </c>
      <c r="AQ59" s="102">
        <v>5203631966</v>
      </c>
      <c r="AR59" s="102">
        <v>56260229272</v>
      </c>
      <c r="AS59" s="100">
        <f t="shared" si="34"/>
        <v>9.2492192679168159</v>
      </c>
      <c r="AT59" s="102">
        <v>3730128786</v>
      </c>
      <c r="AU59" s="102">
        <v>56260229272</v>
      </c>
      <c r="AV59" s="100">
        <f t="shared" si="35"/>
        <v>6.630134349375</v>
      </c>
      <c r="AW59" s="102">
        <v>12747258342</v>
      </c>
      <c r="AX59" s="102">
        <v>83014382363</v>
      </c>
      <c r="AY59" s="100">
        <f t="shared" si="36"/>
        <v>15.355481760087789</v>
      </c>
      <c r="AZ59" s="102">
        <v>861990275</v>
      </c>
      <c r="BA59" s="102">
        <v>83014382363</v>
      </c>
      <c r="BB59" s="100">
        <f t="shared" si="37"/>
        <v>1.0383625709949198</v>
      </c>
      <c r="BC59" s="102">
        <v>1870971480</v>
      </c>
      <c r="BD59" s="102">
        <v>83014382363</v>
      </c>
      <c r="BE59" s="99">
        <f t="shared" si="38"/>
        <v>2.2537919656123386</v>
      </c>
      <c r="BF59" s="102">
        <v>52208115752</v>
      </c>
      <c r="BG59" s="102">
        <v>218071745557</v>
      </c>
      <c r="BH59" s="97">
        <f t="shared" si="41"/>
        <v>23.940797840935218</v>
      </c>
      <c r="BI59" s="102">
        <v>18814623049</v>
      </c>
      <c r="BJ59" s="102">
        <v>218071745557</v>
      </c>
      <c r="BK59" s="100">
        <f t="shared" si="39"/>
        <v>8.6277215789434756</v>
      </c>
      <c r="BL59" s="102">
        <v>7751749761</v>
      </c>
      <c r="BM59" s="102">
        <v>218071745557</v>
      </c>
      <c r="BN59" s="99">
        <f t="shared" si="40"/>
        <v>3.5546786408300806</v>
      </c>
    </row>
    <row r="60" spans="1:66" ht="14.25" x14ac:dyDescent="0.45">
      <c r="A60" s="54">
        <v>73</v>
      </c>
      <c r="B60" s="58" t="s">
        <v>73</v>
      </c>
      <c r="C60" s="97">
        <v>67.40150537634409</v>
      </c>
      <c r="D60" s="102">
        <v>3218995626</v>
      </c>
      <c r="E60" s="98">
        <v>20596393726</v>
      </c>
      <c r="F60" s="97">
        <f t="shared" si="21"/>
        <v>15.628928388257011</v>
      </c>
      <c r="G60" s="98">
        <v>2675686071</v>
      </c>
      <c r="H60" s="98">
        <v>20596393726</v>
      </c>
      <c r="I60" s="99">
        <f t="shared" si="22"/>
        <v>12.991041570652872</v>
      </c>
      <c r="J60" s="98">
        <v>2118402905</v>
      </c>
      <c r="K60" s="98">
        <v>20596393726</v>
      </c>
      <c r="L60" s="99">
        <f t="shared" si="23"/>
        <v>10.285309812881561</v>
      </c>
      <c r="M60" s="106">
        <v>3448765390.8599997</v>
      </c>
      <c r="N60" s="106">
        <v>18268412324.860001</v>
      </c>
      <c r="O60" s="99">
        <f t="shared" si="24"/>
        <v>18.878298395788093</v>
      </c>
      <c r="P60" s="102">
        <v>4997290047</v>
      </c>
      <c r="Q60" s="106">
        <v>18268412324.860001</v>
      </c>
      <c r="R60" s="99">
        <f t="shared" si="25"/>
        <v>27.354813095605429</v>
      </c>
      <c r="S60" s="102">
        <v>3166720638.5625</v>
      </c>
      <c r="T60" s="106">
        <v>18268412324.860001</v>
      </c>
      <c r="U60" s="100">
        <f t="shared" si="26"/>
        <v>17.334405323516631</v>
      </c>
      <c r="V60" s="102">
        <v>1971725845</v>
      </c>
      <c r="W60" s="102">
        <v>19834034337</v>
      </c>
      <c r="X60" s="100">
        <f t="shared" si="27"/>
        <v>9.9411234824867893</v>
      </c>
      <c r="Y60" s="102">
        <v>3543341206</v>
      </c>
      <c r="Z60" s="102">
        <v>19834034337</v>
      </c>
      <c r="AA60" s="100">
        <f t="shared" si="28"/>
        <v>17.864954480743066</v>
      </c>
      <c r="AB60" s="102">
        <v>2599430934</v>
      </c>
      <c r="AC60" s="102">
        <v>19834034337</v>
      </c>
      <c r="AD60" s="100">
        <f t="shared" si="29"/>
        <v>13.105911232344763</v>
      </c>
      <c r="AE60" s="102">
        <v>4755991862</v>
      </c>
      <c r="AF60" s="102">
        <v>28072625369</v>
      </c>
      <c r="AG60" s="100">
        <f t="shared" si="30"/>
        <v>16.941742353930103</v>
      </c>
      <c r="AH60" s="102">
        <v>2783070113</v>
      </c>
      <c r="AI60" s="102">
        <v>28072625369</v>
      </c>
      <c r="AJ60" s="100">
        <f t="shared" si="31"/>
        <v>9.9138220113651538</v>
      </c>
      <c r="AK60" s="102">
        <v>2199168972</v>
      </c>
      <c r="AL60" s="102">
        <v>28072625369</v>
      </c>
      <c r="AM60" s="100">
        <f t="shared" si="32"/>
        <v>7.8338557334523298</v>
      </c>
      <c r="AN60" s="102">
        <v>3443275742</v>
      </c>
      <c r="AO60" s="102">
        <v>17017293913</v>
      </c>
      <c r="AP60" s="100">
        <f t="shared" si="33"/>
        <v>20.233979383582149</v>
      </c>
      <c r="AQ60" s="102">
        <v>2167666138</v>
      </c>
      <c r="AR60" s="102">
        <v>17017293913</v>
      </c>
      <c r="AS60" s="100">
        <f t="shared" si="34"/>
        <v>12.738019035706127</v>
      </c>
      <c r="AT60" s="102">
        <v>1965106491</v>
      </c>
      <c r="AU60" s="102">
        <v>17017293913</v>
      </c>
      <c r="AV60" s="100">
        <f t="shared" si="35"/>
        <v>11.547702596232405</v>
      </c>
      <c r="AW60" s="102">
        <v>3865509707</v>
      </c>
      <c r="AX60" s="102">
        <v>33712831365</v>
      </c>
      <c r="AY60" s="100">
        <f t="shared" si="36"/>
        <v>11.465989507523524</v>
      </c>
      <c r="AZ60" s="102">
        <v>1951187100</v>
      </c>
      <c r="BA60" s="102">
        <v>33712831365</v>
      </c>
      <c r="BB60" s="100">
        <f t="shared" si="37"/>
        <v>5.7876690298569349</v>
      </c>
      <c r="BC60" s="102">
        <v>2240944528</v>
      </c>
      <c r="BD60" s="102">
        <v>33712831365</v>
      </c>
      <c r="BE60" s="99">
        <f t="shared" si="38"/>
        <v>6.6471561042674825</v>
      </c>
      <c r="BF60" s="102">
        <v>4043023916</v>
      </c>
      <c r="BG60" s="102">
        <v>28323780433</v>
      </c>
      <c r="BH60" s="97">
        <f t="shared" si="41"/>
        <v>14.274308917073364</v>
      </c>
      <c r="BI60" s="102">
        <v>5018127971</v>
      </c>
      <c r="BJ60" s="102">
        <v>28323780433</v>
      </c>
      <c r="BK60" s="100">
        <f t="shared" si="39"/>
        <v>17.717013386932578</v>
      </c>
      <c r="BL60" s="102">
        <v>2276329351</v>
      </c>
      <c r="BM60" s="102">
        <v>28323780433</v>
      </c>
      <c r="BN60" s="99">
        <f t="shared" si="40"/>
        <v>8.0368132932842951</v>
      </c>
    </row>
    <row r="61" spans="1:66" ht="14.25" x14ac:dyDescent="0.45">
      <c r="A61" s="54">
        <v>74</v>
      </c>
      <c r="B61" s="58" t="s">
        <v>74</v>
      </c>
      <c r="C61" s="97">
        <v>96.578947368421055</v>
      </c>
      <c r="D61" s="102">
        <v>1925510</v>
      </c>
      <c r="E61" s="98">
        <v>831519830</v>
      </c>
      <c r="F61" s="97">
        <f t="shared" si="21"/>
        <v>0.23156513296862685</v>
      </c>
      <c r="G61" s="98">
        <v>68827560</v>
      </c>
      <c r="H61" s="98">
        <v>831519830</v>
      </c>
      <c r="I61" s="99">
        <f t="shared" si="22"/>
        <v>8.2773203376280282</v>
      </c>
      <c r="J61" s="98">
        <v>252898954</v>
      </c>
      <c r="K61" s="98">
        <v>831519830</v>
      </c>
      <c r="L61" s="99">
        <f t="shared" si="23"/>
        <v>30.414061682690118</v>
      </c>
      <c r="M61" s="106">
        <v>499005471</v>
      </c>
      <c r="N61" s="106">
        <v>5052797036</v>
      </c>
      <c r="O61" s="99">
        <f t="shared" si="24"/>
        <v>9.8758265460635464</v>
      </c>
      <c r="P61" s="102">
        <v>228537853</v>
      </c>
      <c r="Q61" s="106">
        <v>5052797036</v>
      </c>
      <c r="R61" s="99">
        <f t="shared" si="25"/>
        <v>4.5229968940315857</v>
      </c>
      <c r="S61" s="102">
        <v>540055763.375</v>
      </c>
      <c r="T61" s="106">
        <v>5052797036</v>
      </c>
      <c r="U61" s="100">
        <f t="shared" si="26"/>
        <v>10.688253645005503</v>
      </c>
      <c r="V61" s="102">
        <v>10851520</v>
      </c>
      <c r="W61" s="102">
        <v>3453498534</v>
      </c>
      <c r="X61" s="100">
        <f t="shared" si="27"/>
        <v>0.31421817305453648</v>
      </c>
      <c r="Y61" s="102">
        <v>2445398145</v>
      </c>
      <c r="Z61" s="102">
        <v>3453498534</v>
      </c>
      <c r="AA61" s="100">
        <f t="shared" si="28"/>
        <v>70.809300219034057</v>
      </c>
      <c r="AB61" s="102">
        <v>452534067</v>
      </c>
      <c r="AC61" s="102">
        <v>3453498534</v>
      </c>
      <c r="AD61" s="100">
        <f t="shared" si="29"/>
        <v>13.10364149701417</v>
      </c>
      <c r="AE61" s="102">
        <v>7261392</v>
      </c>
      <c r="AF61" s="102">
        <v>6361064079</v>
      </c>
      <c r="AG61" s="100">
        <f t="shared" si="30"/>
        <v>0.11415373135404003</v>
      </c>
      <c r="AH61" s="102">
        <v>1185278527</v>
      </c>
      <c r="AI61" s="102">
        <v>6361064079</v>
      </c>
      <c r="AJ61" s="100">
        <f t="shared" si="31"/>
        <v>18.633337320292071</v>
      </c>
      <c r="AK61" s="102">
        <v>408021089</v>
      </c>
      <c r="AL61" s="102">
        <v>6361064079</v>
      </c>
      <c r="AM61" s="100">
        <f t="shared" si="32"/>
        <v>6.4143527550211941</v>
      </c>
      <c r="AN61" s="102">
        <v>465000840</v>
      </c>
      <c r="AO61" s="102">
        <v>5345467404</v>
      </c>
      <c r="AP61" s="100">
        <f t="shared" si="33"/>
        <v>8.698974380650812</v>
      </c>
      <c r="AQ61" s="102">
        <v>4180812222</v>
      </c>
      <c r="AR61" s="102">
        <v>5345467404</v>
      </c>
      <c r="AS61" s="100">
        <f t="shared" si="34"/>
        <v>78.212285400365715</v>
      </c>
      <c r="AT61" s="102">
        <v>578983435</v>
      </c>
      <c r="AU61" s="102">
        <v>5345467404</v>
      </c>
      <c r="AV61" s="100">
        <f t="shared" si="35"/>
        <v>10.831296708810685</v>
      </c>
      <c r="AW61" s="102">
        <v>107347</v>
      </c>
      <c r="AX61" s="102">
        <v>25557254994</v>
      </c>
      <c r="AY61" s="100">
        <f t="shared" si="36"/>
        <v>4.2002554666063134E-4</v>
      </c>
      <c r="AZ61" s="102">
        <v>1025406854</v>
      </c>
      <c r="BA61" s="102">
        <v>25557254994</v>
      </c>
      <c r="BB61" s="100">
        <f t="shared" si="37"/>
        <v>4.012194792596981</v>
      </c>
      <c r="BC61" s="102">
        <v>1714719280</v>
      </c>
      <c r="BD61" s="102">
        <v>25557254994</v>
      </c>
      <c r="BE61" s="99">
        <f t="shared" si="38"/>
        <v>6.709324927119753</v>
      </c>
      <c r="BF61" s="102">
        <v>7485951</v>
      </c>
      <c r="BG61" s="102">
        <v>17559066233</v>
      </c>
      <c r="BH61" s="97">
        <f t="shared" si="41"/>
        <v>4.2632967497617386E-2</v>
      </c>
      <c r="BI61" s="102">
        <v>1419098522</v>
      </c>
      <c r="BJ61" s="102">
        <v>17559066233</v>
      </c>
      <c r="BK61" s="100">
        <f t="shared" si="39"/>
        <v>8.0818564220287943</v>
      </c>
      <c r="BL61" s="102">
        <v>1353318546</v>
      </c>
      <c r="BM61" s="102">
        <v>17559066233</v>
      </c>
      <c r="BN61" s="99">
        <f t="shared" si="40"/>
        <v>7.7072352711820873</v>
      </c>
    </row>
    <row r="62" spans="1:66" ht="14.25" x14ac:dyDescent="0.45">
      <c r="A62" s="54">
        <v>75</v>
      </c>
      <c r="B62" s="58" t="s">
        <v>75</v>
      </c>
      <c r="C62" s="97">
        <v>100</v>
      </c>
      <c r="D62" s="102">
        <v>15440748</v>
      </c>
      <c r="E62" s="98">
        <v>773483067</v>
      </c>
      <c r="F62" s="97">
        <f t="shared" si="21"/>
        <v>1.9962619298038233</v>
      </c>
      <c r="G62" s="98">
        <v>183502256</v>
      </c>
      <c r="H62" s="98">
        <v>773483067</v>
      </c>
      <c r="I62" s="99">
        <f t="shared" si="22"/>
        <v>23.724146504166459</v>
      </c>
      <c r="J62" s="98">
        <v>99755418</v>
      </c>
      <c r="K62" s="98">
        <v>773483067</v>
      </c>
      <c r="L62" s="99">
        <f t="shared" si="23"/>
        <v>12.896910385757677</v>
      </c>
      <c r="M62" s="106">
        <v>16664416</v>
      </c>
      <c r="N62" s="106">
        <v>682622446</v>
      </c>
      <c r="O62" s="99">
        <f t="shared" si="24"/>
        <v>2.4412346968151115</v>
      </c>
      <c r="P62" s="102">
        <v>50112952</v>
      </c>
      <c r="Q62" s="106">
        <v>682622446</v>
      </c>
      <c r="R62" s="99">
        <f t="shared" si="25"/>
        <v>7.3412399919823317</v>
      </c>
      <c r="S62" s="102">
        <v>189410611</v>
      </c>
      <c r="T62" s="106">
        <v>682622446</v>
      </c>
      <c r="U62" s="100">
        <f t="shared" si="26"/>
        <v>27.747492352456284</v>
      </c>
      <c r="V62" s="102">
        <v>2506927</v>
      </c>
      <c r="W62" s="102">
        <v>825693443</v>
      </c>
      <c r="X62" s="100">
        <f t="shared" si="27"/>
        <v>0.30361473998044092</v>
      </c>
      <c r="Y62" s="102">
        <v>47539038</v>
      </c>
      <c r="Z62" s="102">
        <v>825693443</v>
      </c>
      <c r="AA62" s="100">
        <f t="shared" si="28"/>
        <v>5.7574682714296426</v>
      </c>
      <c r="AB62" s="102">
        <v>193363835</v>
      </c>
      <c r="AC62" s="102">
        <v>825693443</v>
      </c>
      <c r="AD62" s="100">
        <f t="shared" si="29"/>
        <v>23.418356611559044</v>
      </c>
      <c r="AE62" s="102">
        <v>5281585</v>
      </c>
      <c r="AF62" s="102">
        <v>569699407</v>
      </c>
      <c r="AG62" s="100">
        <f t="shared" si="30"/>
        <v>0.92708276243650722</v>
      </c>
      <c r="AH62" s="102">
        <v>52823988</v>
      </c>
      <c r="AI62" s="102">
        <v>569699407</v>
      </c>
      <c r="AJ62" s="100">
        <f t="shared" si="31"/>
        <v>9.2722560969771202</v>
      </c>
      <c r="AK62" s="102">
        <v>207158154</v>
      </c>
      <c r="AL62" s="102">
        <v>569699407</v>
      </c>
      <c r="AM62" s="100">
        <f t="shared" si="32"/>
        <v>36.362711888868091</v>
      </c>
      <c r="AN62" s="102">
        <v>0</v>
      </c>
      <c r="AO62" s="102">
        <v>784568039</v>
      </c>
      <c r="AP62" s="100">
        <f t="shared" si="33"/>
        <v>0</v>
      </c>
      <c r="AQ62" s="102">
        <v>60393728</v>
      </c>
      <c r="AR62" s="102">
        <v>784568039</v>
      </c>
      <c r="AS62" s="100">
        <f t="shared" si="34"/>
        <v>7.6977043414841422</v>
      </c>
      <c r="AT62" s="102">
        <v>178189137</v>
      </c>
      <c r="AU62" s="102">
        <v>784568039</v>
      </c>
      <c r="AV62" s="100">
        <f t="shared" si="35"/>
        <v>22.71175068858496</v>
      </c>
      <c r="AW62" s="102">
        <v>89294511</v>
      </c>
      <c r="AX62" s="102">
        <v>1960000032</v>
      </c>
      <c r="AY62" s="100">
        <f t="shared" si="36"/>
        <v>4.5558423235780845</v>
      </c>
      <c r="AZ62" s="102">
        <v>17646684</v>
      </c>
      <c r="BA62" s="102">
        <v>1960000032</v>
      </c>
      <c r="BB62" s="100">
        <f t="shared" si="37"/>
        <v>0.90034100570871822</v>
      </c>
      <c r="BC62" s="102">
        <v>166809698</v>
      </c>
      <c r="BD62" s="102">
        <v>1960000032</v>
      </c>
      <c r="BE62" s="99">
        <f t="shared" si="38"/>
        <v>8.510698738600837</v>
      </c>
      <c r="BF62" s="102">
        <v>329488</v>
      </c>
      <c r="BG62" s="102">
        <v>1062983395</v>
      </c>
      <c r="BH62" s="97">
        <f t="shared" si="41"/>
        <v>3.0996533111413281E-2</v>
      </c>
      <c r="BI62" s="102">
        <v>34816958</v>
      </c>
      <c r="BJ62" s="102">
        <v>1062983395</v>
      </c>
      <c r="BK62" s="100">
        <f t="shared" si="39"/>
        <v>3.2753999887270111</v>
      </c>
      <c r="BL62" s="102">
        <v>130101055</v>
      </c>
      <c r="BM62" s="102">
        <v>1062983395</v>
      </c>
      <c r="BN62" s="99">
        <f t="shared" si="40"/>
        <v>12.239236813290013</v>
      </c>
    </row>
    <row r="63" spans="1:66" ht="14.25" x14ac:dyDescent="0.45">
      <c r="A63" s="54">
        <v>76</v>
      </c>
      <c r="B63" s="58" t="s">
        <v>76</v>
      </c>
      <c r="C63" s="97">
        <v>80</v>
      </c>
      <c r="D63" s="102">
        <v>5536051</v>
      </c>
      <c r="E63" s="98">
        <v>1872649474</v>
      </c>
      <c r="F63" s="97">
        <f t="shared" si="21"/>
        <v>0.29562665500740692</v>
      </c>
      <c r="G63" s="98">
        <v>68305379</v>
      </c>
      <c r="H63" s="98">
        <v>1872649474</v>
      </c>
      <c r="I63" s="99">
        <f t="shared" si="22"/>
        <v>3.6475261360097972</v>
      </c>
      <c r="J63" s="98">
        <v>51696864</v>
      </c>
      <c r="K63" s="98">
        <v>1872649474</v>
      </c>
      <c r="L63" s="99">
        <f t="shared" si="23"/>
        <v>2.7606268400874256</v>
      </c>
      <c r="M63" s="106">
        <v>1588374</v>
      </c>
      <c r="N63" s="106">
        <v>2787157210</v>
      </c>
      <c r="O63" s="99">
        <f t="shared" si="24"/>
        <v>5.6989035074917781E-2</v>
      </c>
      <c r="P63" s="102">
        <v>74923951</v>
      </c>
      <c r="Q63" s="106">
        <v>2787157210</v>
      </c>
      <c r="R63" s="99">
        <f t="shared" si="25"/>
        <v>2.6881853212722078</v>
      </c>
      <c r="S63" s="102">
        <v>112552565</v>
      </c>
      <c r="T63" s="106">
        <v>2787157210</v>
      </c>
      <c r="U63" s="100">
        <f t="shared" si="26"/>
        <v>4.0382567799252342</v>
      </c>
      <c r="V63" s="102">
        <v>5089995</v>
      </c>
      <c r="W63" s="102">
        <v>7085650629</v>
      </c>
      <c r="X63" s="100">
        <f t="shared" si="27"/>
        <v>7.1835252209130618E-2</v>
      </c>
      <c r="Y63" s="102">
        <v>37457449</v>
      </c>
      <c r="Z63" s="102">
        <v>7085650629</v>
      </c>
      <c r="AA63" s="100">
        <f t="shared" si="28"/>
        <v>0.52863810200710371</v>
      </c>
      <c r="AB63" s="102">
        <v>108707257</v>
      </c>
      <c r="AC63" s="102">
        <v>7085650629</v>
      </c>
      <c r="AD63" s="100">
        <f t="shared" si="29"/>
        <v>1.5341887808451244</v>
      </c>
      <c r="AE63" s="102">
        <v>633200</v>
      </c>
      <c r="AF63" s="102">
        <v>5448908356</v>
      </c>
      <c r="AG63" s="100">
        <f t="shared" si="30"/>
        <v>1.1620676264499098E-2</v>
      </c>
      <c r="AH63" s="102">
        <v>74204357</v>
      </c>
      <c r="AI63" s="102">
        <v>5448908356</v>
      </c>
      <c r="AJ63" s="100">
        <f t="shared" si="31"/>
        <v>1.3618206097794021</v>
      </c>
      <c r="AK63" s="102">
        <v>96413201</v>
      </c>
      <c r="AL63" s="102">
        <v>5448908356</v>
      </c>
      <c r="AM63" s="100">
        <f t="shared" si="32"/>
        <v>1.7694039741710057</v>
      </c>
      <c r="AN63" s="102">
        <v>129010</v>
      </c>
      <c r="AO63" s="102">
        <v>6205477805</v>
      </c>
      <c r="AP63" s="100">
        <f t="shared" si="33"/>
        <v>2.0789696467216675E-3</v>
      </c>
      <c r="AQ63" s="102">
        <v>109336866</v>
      </c>
      <c r="AR63" s="102">
        <v>6205477805</v>
      </c>
      <c r="AS63" s="100">
        <f t="shared" si="34"/>
        <v>1.76194113387857</v>
      </c>
      <c r="AT63" s="102">
        <v>72317492</v>
      </c>
      <c r="AU63" s="102">
        <v>6205477805</v>
      </c>
      <c r="AV63" s="100">
        <f t="shared" si="35"/>
        <v>1.1653815269749401</v>
      </c>
      <c r="AW63" s="102">
        <v>523861</v>
      </c>
      <c r="AX63" s="102">
        <v>9008593517</v>
      </c>
      <c r="AY63" s="100">
        <f t="shared" si="36"/>
        <v>5.8151252913279826E-3</v>
      </c>
      <c r="AZ63" s="102">
        <v>67177741</v>
      </c>
      <c r="BA63" s="102">
        <v>9008593517</v>
      </c>
      <c r="BB63" s="100">
        <f t="shared" si="37"/>
        <v>0.74570731683286351</v>
      </c>
      <c r="BC63" s="102">
        <v>88908501</v>
      </c>
      <c r="BD63" s="102">
        <v>9008593517</v>
      </c>
      <c r="BE63" s="99">
        <f t="shared" si="38"/>
        <v>0.98692987792402798</v>
      </c>
      <c r="BF63" s="102">
        <v>814230</v>
      </c>
      <c r="BG63" s="102">
        <v>12561829079</v>
      </c>
      <c r="BH63" s="97">
        <f t="shared" si="41"/>
        <v>6.4817790059026803E-3</v>
      </c>
      <c r="BI63" s="102">
        <v>109325534</v>
      </c>
      <c r="BJ63" s="102">
        <v>12561829079</v>
      </c>
      <c r="BK63" s="100">
        <f t="shared" si="39"/>
        <v>0.87029948674244328</v>
      </c>
      <c r="BL63" s="102">
        <v>121555532</v>
      </c>
      <c r="BM63" s="102">
        <v>12561829079</v>
      </c>
      <c r="BN63" s="99">
        <f t="shared" si="40"/>
        <v>0.96765790423950415</v>
      </c>
    </row>
    <row r="64" spans="1:66" ht="14.25" x14ac:dyDescent="0.45">
      <c r="A64" s="54">
        <v>81</v>
      </c>
      <c r="B64" s="58" t="s">
        <v>77</v>
      </c>
      <c r="C64" s="97">
        <v>93.843571428571423</v>
      </c>
      <c r="D64" s="102">
        <v>1517885</v>
      </c>
      <c r="E64" s="98">
        <v>1930093812</v>
      </c>
      <c r="F64" s="97">
        <f t="shared" si="21"/>
        <v>7.864306856810957E-2</v>
      </c>
      <c r="G64" s="98">
        <v>140936724</v>
      </c>
      <c r="H64" s="98">
        <v>1930093812</v>
      </c>
      <c r="I64" s="99">
        <f t="shared" si="22"/>
        <v>7.3020659992665689</v>
      </c>
      <c r="J64" s="98">
        <v>121885904</v>
      </c>
      <c r="K64" s="98">
        <v>1930093812</v>
      </c>
      <c r="L64" s="99">
        <f t="shared" si="23"/>
        <v>6.3150248574549597</v>
      </c>
      <c r="M64" s="106">
        <v>460659</v>
      </c>
      <c r="N64" s="106">
        <v>227231198</v>
      </c>
      <c r="O64" s="99">
        <f t="shared" si="24"/>
        <v>0.20272700406217986</v>
      </c>
      <c r="P64" s="102">
        <v>32492655</v>
      </c>
      <c r="Q64" s="106">
        <v>227231198</v>
      </c>
      <c r="R64" s="99">
        <f t="shared" si="25"/>
        <v>14.299381108750744</v>
      </c>
      <c r="S64" s="102">
        <v>84593914</v>
      </c>
      <c r="T64" s="106">
        <v>227231198</v>
      </c>
      <c r="U64" s="100">
        <f t="shared" si="26"/>
        <v>37.228124810572886</v>
      </c>
      <c r="V64" s="102">
        <v>1124481</v>
      </c>
      <c r="W64" s="102">
        <v>451696611</v>
      </c>
      <c r="X64" s="100">
        <f t="shared" si="27"/>
        <v>0.24894607854385695</v>
      </c>
      <c r="Y64" s="102">
        <v>19742574</v>
      </c>
      <c r="Z64" s="102">
        <v>451696611</v>
      </c>
      <c r="AA64" s="100">
        <f t="shared" si="28"/>
        <v>4.3707598240093946</v>
      </c>
      <c r="AB64" s="102">
        <v>85700431</v>
      </c>
      <c r="AC64" s="102">
        <v>451696611</v>
      </c>
      <c r="AD64" s="100">
        <f t="shared" si="29"/>
        <v>18.973007304675129</v>
      </c>
      <c r="AE64" s="102">
        <v>1529338</v>
      </c>
      <c r="AF64" s="102">
        <v>323227714</v>
      </c>
      <c r="AG64" s="100">
        <f t="shared" si="30"/>
        <v>0.47314569071883483</v>
      </c>
      <c r="AH64" s="102">
        <v>15978104</v>
      </c>
      <c r="AI64" s="102">
        <v>323227714</v>
      </c>
      <c r="AJ64" s="100">
        <f t="shared" si="31"/>
        <v>4.9432964154800167</v>
      </c>
      <c r="AK64" s="102">
        <v>86817203</v>
      </c>
      <c r="AL64" s="102">
        <v>323227714</v>
      </c>
      <c r="AM64" s="100">
        <f t="shared" si="32"/>
        <v>26.859455188919846</v>
      </c>
      <c r="AN64" s="102">
        <v>15240</v>
      </c>
      <c r="AO64" s="102">
        <v>294947274</v>
      </c>
      <c r="AP64" s="100">
        <f t="shared" si="33"/>
        <v>5.1670252087157786E-3</v>
      </c>
      <c r="AQ64" s="102">
        <v>19960817</v>
      </c>
      <c r="AR64" s="102">
        <v>294947274</v>
      </c>
      <c r="AS64" s="100">
        <f t="shared" si="34"/>
        <v>6.767588230023784</v>
      </c>
      <c r="AT64" s="102">
        <v>90946777</v>
      </c>
      <c r="AU64" s="102">
        <v>294947274</v>
      </c>
      <c r="AV64" s="100">
        <f t="shared" si="35"/>
        <v>30.834927126670102</v>
      </c>
      <c r="AW64" s="102">
        <v>567015491</v>
      </c>
      <c r="AX64" s="102">
        <v>1598410397</v>
      </c>
      <c r="AY64" s="100">
        <f t="shared" si="36"/>
        <v>35.473711386275475</v>
      </c>
      <c r="AZ64" s="102">
        <v>290187536</v>
      </c>
      <c r="BA64" s="102">
        <v>1598410397</v>
      </c>
      <c r="BB64" s="100">
        <f t="shared" si="37"/>
        <v>18.154757785900465</v>
      </c>
      <c r="BC64" s="102">
        <v>233118793</v>
      </c>
      <c r="BD64" s="102">
        <v>1598410397</v>
      </c>
      <c r="BE64" s="99">
        <f t="shared" si="38"/>
        <v>14.584414205358801</v>
      </c>
      <c r="BF64" s="102">
        <v>26755469</v>
      </c>
      <c r="BG64" s="102">
        <v>801376983</v>
      </c>
      <c r="BH64" s="97">
        <f t="shared" si="41"/>
        <v>3.3386869809810849</v>
      </c>
      <c r="BI64" s="102">
        <v>916178598</v>
      </c>
      <c r="BJ64" s="102">
        <v>801376983</v>
      </c>
      <c r="BK64" s="100">
        <f t="shared" si="39"/>
        <v>114.32554433622909</v>
      </c>
      <c r="BL64" s="102">
        <v>397494564</v>
      </c>
      <c r="BM64" s="102">
        <v>801376983</v>
      </c>
      <c r="BN64" s="99">
        <f t="shared" si="40"/>
        <v>49.60144506670963</v>
      </c>
    </row>
    <row r="65" spans="1:66" ht="14.25" x14ac:dyDescent="0.45">
      <c r="A65" s="54">
        <v>82</v>
      </c>
      <c r="B65" s="58" t="s">
        <v>78</v>
      </c>
      <c r="C65" s="97"/>
      <c r="D65" s="102">
        <v>0</v>
      </c>
      <c r="E65" s="98">
        <v>63824681</v>
      </c>
      <c r="F65" s="97">
        <f t="shared" si="21"/>
        <v>0</v>
      </c>
      <c r="G65" s="98">
        <v>12728634</v>
      </c>
      <c r="H65" s="98">
        <v>63824681</v>
      </c>
      <c r="I65" s="99">
        <f t="shared" si="22"/>
        <v>19.943122003226307</v>
      </c>
      <c r="J65" s="98">
        <v>13066606</v>
      </c>
      <c r="K65" s="98">
        <v>63824681</v>
      </c>
      <c r="L65" s="99">
        <f t="shared" si="23"/>
        <v>20.472653831203637</v>
      </c>
      <c r="M65" s="106">
        <v>10410376</v>
      </c>
      <c r="N65" s="106">
        <v>50556312</v>
      </c>
      <c r="O65" s="99">
        <f t="shared" si="24"/>
        <v>20.591644422164336</v>
      </c>
      <c r="P65" s="102">
        <v>2589553</v>
      </c>
      <c r="Q65" s="106">
        <v>50556312</v>
      </c>
      <c r="R65" s="99">
        <f t="shared" si="25"/>
        <v>5.122116106886911</v>
      </c>
      <c r="S65" s="102">
        <v>20801409</v>
      </c>
      <c r="T65" s="106">
        <v>50556312</v>
      </c>
      <c r="U65" s="100">
        <f t="shared" si="26"/>
        <v>41.14502853768289</v>
      </c>
      <c r="V65" s="102">
        <v>775599602</v>
      </c>
      <c r="W65" s="102">
        <v>1905136410</v>
      </c>
      <c r="X65" s="100">
        <f t="shared" si="27"/>
        <v>40.710974706530337</v>
      </c>
      <c r="Y65" s="102">
        <v>94110776</v>
      </c>
      <c r="Z65" s="102">
        <v>1905136410</v>
      </c>
      <c r="AA65" s="100">
        <f t="shared" si="28"/>
        <v>4.939844491240394</v>
      </c>
      <c r="AB65" s="102">
        <v>181195731</v>
      </c>
      <c r="AC65" s="102">
        <v>1905136410</v>
      </c>
      <c r="AD65" s="100">
        <f t="shared" si="29"/>
        <v>9.5109058883610338</v>
      </c>
      <c r="AE65" s="102">
        <v>404628742</v>
      </c>
      <c r="AF65" s="102">
        <v>2462740028</v>
      </c>
      <c r="AG65" s="100">
        <f t="shared" si="30"/>
        <v>16.430022552100247</v>
      </c>
      <c r="AH65" s="102">
        <v>25276465</v>
      </c>
      <c r="AI65" s="102">
        <v>2462740028</v>
      </c>
      <c r="AJ65" s="100">
        <f t="shared" si="31"/>
        <v>1.0263553892258417</v>
      </c>
      <c r="AK65" s="102">
        <v>116309558</v>
      </c>
      <c r="AL65" s="102">
        <v>2462740028</v>
      </c>
      <c r="AM65" s="100">
        <f t="shared" si="32"/>
        <v>4.7227704377085793</v>
      </c>
      <c r="AN65" s="102">
        <v>1486966427</v>
      </c>
      <c r="AO65" s="102">
        <v>10079458410</v>
      </c>
      <c r="AP65" s="100">
        <f t="shared" si="33"/>
        <v>14.752443698014128</v>
      </c>
      <c r="AQ65" s="102">
        <v>54432858</v>
      </c>
      <c r="AR65" s="102">
        <v>10079458410</v>
      </c>
      <c r="AS65" s="100">
        <f t="shared" si="34"/>
        <v>0.54003752767109237</v>
      </c>
      <c r="AT65" s="102">
        <v>122419349</v>
      </c>
      <c r="AU65" s="102">
        <v>10079458410</v>
      </c>
      <c r="AV65" s="100">
        <f t="shared" si="35"/>
        <v>1.2145429250300366</v>
      </c>
      <c r="AW65" s="102">
        <v>1038832527</v>
      </c>
      <c r="AX65" s="102">
        <v>22125409342</v>
      </c>
      <c r="AY65" s="100">
        <f t="shared" si="36"/>
        <v>4.6952013901411327</v>
      </c>
      <c r="AZ65" s="102">
        <v>251782861</v>
      </c>
      <c r="BA65" s="102">
        <v>22125409342</v>
      </c>
      <c r="BB65" s="100">
        <f t="shared" si="37"/>
        <v>1.1379805774804272</v>
      </c>
      <c r="BC65" s="102">
        <v>374205441</v>
      </c>
      <c r="BD65" s="102">
        <v>22125409342</v>
      </c>
      <c r="BE65" s="99">
        <f t="shared" si="38"/>
        <v>1.6912927359479721</v>
      </c>
      <c r="BF65" s="102">
        <v>895128116</v>
      </c>
      <c r="BG65" s="102">
        <v>22926855638</v>
      </c>
      <c r="BH65" s="97">
        <f t="shared" si="41"/>
        <v>3.9042777175094798</v>
      </c>
      <c r="BI65" s="102">
        <v>1249103553</v>
      </c>
      <c r="BJ65" s="102">
        <v>22926855638</v>
      </c>
      <c r="BK65" s="100">
        <f t="shared" si="39"/>
        <v>5.4482113584284084</v>
      </c>
      <c r="BL65" s="102">
        <v>4137469807</v>
      </c>
      <c r="BM65" s="102">
        <v>22926855638</v>
      </c>
      <c r="BN65" s="99">
        <f t="shared" si="40"/>
        <v>18.046390103937199</v>
      </c>
    </row>
    <row r="66" spans="1:66" ht="14.25" x14ac:dyDescent="0.45">
      <c r="A66" s="54">
        <v>91</v>
      </c>
      <c r="B66" s="58" t="s">
        <v>79</v>
      </c>
      <c r="C66" s="97">
        <v>80.656000000000006</v>
      </c>
      <c r="D66" s="102">
        <v>168437638</v>
      </c>
      <c r="E66" s="98">
        <v>4533338843</v>
      </c>
      <c r="F66" s="97">
        <f t="shared" si="21"/>
        <v>3.7155316166160226</v>
      </c>
      <c r="G66" s="98">
        <v>488815534</v>
      </c>
      <c r="H66" s="98">
        <v>4533338843</v>
      </c>
      <c r="I66" s="99">
        <f t="shared" si="22"/>
        <v>10.782682498017721</v>
      </c>
      <c r="J66" s="98">
        <v>188206977</v>
      </c>
      <c r="K66" s="98">
        <v>4533338843</v>
      </c>
      <c r="L66" s="99">
        <f t="shared" si="23"/>
        <v>4.1516194469031005</v>
      </c>
      <c r="M66" s="106">
        <v>100488209</v>
      </c>
      <c r="N66" s="106">
        <v>5135081246</v>
      </c>
      <c r="O66" s="99">
        <f t="shared" si="24"/>
        <v>1.9568961850073132</v>
      </c>
      <c r="P66" s="102">
        <v>155068264</v>
      </c>
      <c r="Q66" s="106">
        <v>5135081246</v>
      </c>
      <c r="R66" s="99">
        <f t="shared" si="25"/>
        <v>3.0197820944077818</v>
      </c>
      <c r="S66" s="102">
        <v>210442937</v>
      </c>
      <c r="T66" s="106">
        <v>5135081246</v>
      </c>
      <c r="U66" s="100">
        <f t="shared" si="26"/>
        <v>4.0981423061986737</v>
      </c>
      <c r="V66" s="102">
        <v>699501526</v>
      </c>
      <c r="W66" s="102">
        <v>3565520622</v>
      </c>
      <c r="X66" s="100">
        <f t="shared" si="27"/>
        <v>19.61849615127538</v>
      </c>
      <c r="Y66" s="102">
        <v>291838524</v>
      </c>
      <c r="Z66" s="102">
        <v>3565520622</v>
      </c>
      <c r="AA66" s="100">
        <f t="shared" si="28"/>
        <v>8.1850185411716847</v>
      </c>
      <c r="AB66" s="102">
        <v>222288739</v>
      </c>
      <c r="AC66" s="102">
        <v>3565520622</v>
      </c>
      <c r="AD66" s="100">
        <f t="shared" si="29"/>
        <v>6.2343977939275543</v>
      </c>
      <c r="AE66" s="102">
        <v>28130651</v>
      </c>
      <c r="AF66" s="102">
        <v>4915385354</v>
      </c>
      <c r="AG66" s="100">
        <f t="shared" si="30"/>
        <v>0.57229797816580308</v>
      </c>
      <c r="AH66" s="102">
        <v>279327698</v>
      </c>
      <c r="AI66" s="102">
        <v>4915385354</v>
      </c>
      <c r="AJ66" s="100">
        <f t="shared" si="31"/>
        <v>5.6827222665806074</v>
      </c>
      <c r="AK66" s="102">
        <v>315373637</v>
      </c>
      <c r="AL66" s="102">
        <v>4915385354</v>
      </c>
      <c r="AM66" s="100">
        <f t="shared" si="32"/>
        <v>6.4160511188274985</v>
      </c>
      <c r="AN66" s="102">
        <v>342281059.14120626</v>
      </c>
      <c r="AO66" s="102">
        <v>2958618524.8987236</v>
      </c>
      <c r="AP66" s="100">
        <f t="shared" si="33"/>
        <v>11.568948692123898</v>
      </c>
      <c r="AQ66" s="102">
        <v>447846013</v>
      </c>
      <c r="AR66" s="102">
        <v>2958618524.8987236</v>
      </c>
      <c r="AS66" s="100">
        <f t="shared" si="34"/>
        <v>15.136997528781789</v>
      </c>
      <c r="AT66" s="102">
        <v>314627915</v>
      </c>
      <c r="AU66" s="102">
        <v>2958618524.8987236</v>
      </c>
      <c r="AV66" s="100">
        <f t="shared" si="35"/>
        <v>10.63428462818707</v>
      </c>
      <c r="AW66" s="102">
        <v>8316225</v>
      </c>
      <c r="AX66" s="102">
        <v>1803438194</v>
      </c>
      <c r="AY66" s="100">
        <f t="shared" si="36"/>
        <v>0.46113168877469168</v>
      </c>
      <c r="AZ66" s="102">
        <v>79733737</v>
      </c>
      <c r="BA66" s="102">
        <v>1803438194</v>
      </c>
      <c r="BB66" s="100">
        <f t="shared" si="37"/>
        <v>4.421207073537226</v>
      </c>
      <c r="BC66" s="102">
        <v>247544171</v>
      </c>
      <c r="BD66" s="102">
        <v>1803438194</v>
      </c>
      <c r="BE66" s="99">
        <f t="shared" si="38"/>
        <v>13.726235355532236</v>
      </c>
      <c r="BF66" s="102">
        <v>6800370</v>
      </c>
      <c r="BG66" s="102">
        <v>1574140661</v>
      </c>
      <c r="BH66" s="97">
        <f t="shared" si="41"/>
        <v>0.43200523107509003</v>
      </c>
      <c r="BI66" s="102">
        <v>107479087</v>
      </c>
      <c r="BJ66" s="102">
        <v>1574140661</v>
      </c>
      <c r="BK66" s="100">
        <f t="shared" si="39"/>
        <v>6.8277943428335082</v>
      </c>
      <c r="BL66" s="102">
        <v>250796601</v>
      </c>
      <c r="BM66" s="102">
        <v>1574140661</v>
      </c>
      <c r="BN66" s="99">
        <f t="shared" si="40"/>
        <v>15.932286562032971</v>
      </c>
    </row>
    <row r="67" spans="1:66" ht="14.25" x14ac:dyDescent="0.45">
      <c r="A67" s="54">
        <v>92</v>
      </c>
      <c r="B67" s="58" t="s">
        <v>97</v>
      </c>
      <c r="C67" s="97"/>
      <c r="D67" s="102"/>
      <c r="E67" s="98"/>
      <c r="F67" s="97"/>
      <c r="G67" s="98"/>
      <c r="H67" s="98"/>
      <c r="I67" s="99"/>
      <c r="J67" s="98"/>
      <c r="K67" s="98"/>
      <c r="L67" s="99"/>
      <c r="M67" s="106"/>
      <c r="N67" s="106"/>
      <c r="O67" s="99"/>
      <c r="P67" s="102"/>
      <c r="Q67" s="106"/>
      <c r="R67" s="99"/>
      <c r="S67" s="102"/>
      <c r="T67" s="106"/>
      <c r="U67" s="100"/>
      <c r="V67" s="102"/>
      <c r="W67" s="102"/>
      <c r="X67" s="100"/>
      <c r="Y67" s="102"/>
      <c r="Z67" s="102"/>
      <c r="AA67" s="100"/>
      <c r="AB67" s="102"/>
      <c r="AC67" s="102"/>
      <c r="AD67" s="100"/>
      <c r="AE67" s="102"/>
      <c r="AF67" s="102"/>
      <c r="AG67" s="100"/>
      <c r="AH67" s="102"/>
      <c r="AI67" s="102"/>
      <c r="AJ67" s="100"/>
      <c r="AK67" s="102"/>
      <c r="AL67" s="102"/>
      <c r="AM67" s="100"/>
      <c r="AN67" s="102"/>
      <c r="AO67" s="102"/>
      <c r="AP67" s="100"/>
      <c r="AQ67" s="102"/>
      <c r="AR67" s="102"/>
      <c r="AS67" s="100"/>
      <c r="AT67" s="102"/>
      <c r="AU67" s="102"/>
      <c r="AV67" s="100"/>
      <c r="AW67" s="102"/>
      <c r="AX67" s="102"/>
      <c r="AY67" s="100"/>
      <c r="AZ67" s="102"/>
      <c r="BA67" s="102"/>
      <c r="BB67" s="100"/>
      <c r="BC67" s="102"/>
      <c r="BD67" s="102"/>
      <c r="BE67" s="99"/>
      <c r="BF67" s="102"/>
      <c r="BG67" s="102"/>
      <c r="BH67" s="97"/>
      <c r="BI67" s="102"/>
      <c r="BJ67" s="102"/>
      <c r="BK67" s="100"/>
      <c r="BL67" s="102"/>
      <c r="BM67" s="102"/>
      <c r="BN67" s="99"/>
    </row>
    <row r="68" spans="1:66" ht="14.25" x14ac:dyDescent="0.45">
      <c r="A68" s="54">
        <v>94</v>
      </c>
      <c r="B68" s="58" t="s">
        <v>80</v>
      </c>
      <c r="C68" s="97">
        <v>67.930430626477431</v>
      </c>
      <c r="D68" s="102">
        <v>389559</v>
      </c>
      <c r="E68" s="98">
        <v>3901144253</v>
      </c>
      <c r="F68" s="97">
        <f>(D68/E68)*100</f>
        <v>9.9857625028971202E-3</v>
      </c>
      <c r="G68" s="98">
        <v>274671915</v>
      </c>
      <c r="H68" s="98">
        <v>3901144253</v>
      </c>
      <c r="I68" s="99">
        <f>(G68/H68)*100</f>
        <v>7.0408038561705553</v>
      </c>
      <c r="J68" s="98">
        <v>242761760</v>
      </c>
      <c r="K68" s="98">
        <v>3901144253</v>
      </c>
      <c r="L68" s="99">
        <f>(J68/K68)*100</f>
        <v>6.2228347442757324</v>
      </c>
      <c r="M68" s="106">
        <v>95796952</v>
      </c>
      <c r="N68" s="106">
        <v>7659734750</v>
      </c>
      <c r="O68" s="99">
        <f>(M68/N68)*100</f>
        <v>1.2506562580381781</v>
      </c>
      <c r="P68" s="102">
        <v>146522178</v>
      </c>
      <c r="Q68" s="106">
        <v>7659734750</v>
      </c>
      <c r="R68" s="99">
        <f>(P68/Q68)*100</f>
        <v>1.9128884064816998</v>
      </c>
      <c r="S68" s="102">
        <v>648357874.5</v>
      </c>
      <c r="T68" s="106">
        <v>7659734750</v>
      </c>
      <c r="U68" s="100">
        <f>(S68/T68)*100</f>
        <v>8.4644951249780558</v>
      </c>
      <c r="V68" s="102">
        <v>283398960</v>
      </c>
      <c r="W68" s="102">
        <v>9786692939</v>
      </c>
      <c r="X68" s="100">
        <f>(V68/W68)*100</f>
        <v>2.8957581663838079</v>
      </c>
      <c r="Y68" s="102">
        <v>260555384</v>
      </c>
      <c r="Z68" s="102">
        <v>9786692939</v>
      </c>
      <c r="AA68" s="100">
        <f>(Y68/Z68)*100</f>
        <v>2.6623435068825549</v>
      </c>
      <c r="AB68" s="102">
        <v>387787563</v>
      </c>
      <c r="AC68" s="102">
        <v>9786692939</v>
      </c>
      <c r="AD68" s="100">
        <f>(AB68/AC68)*100</f>
        <v>3.9623963418190575</v>
      </c>
      <c r="AE68" s="102">
        <v>18396129</v>
      </c>
      <c r="AF68" s="102">
        <v>4224258662</v>
      </c>
      <c r="AG68" s="100">
        <f>(AE68/AF68)*100</f>
        <v>0.43548774996865952</v>
      </c>
      <c r="AH68" s="102">
        <v>63824108</v>
      </c>
      <c r="AI68" s="102">
        <v>4224258662</v>
      </c>
      <c r="AJ68" s="100">
        <f>(AH68/AI68)*100</f>
        <v>1.5108948837375906</v>
      </c>
      <c r="AK68" s="102">
        <v>426203262</v>
      </c>
      <c r="AL68" s="102">
        <v>4224258662</v>
      </c>
      <c r="AM68" s="100">
        <f>(AK68/AL68)*100</f>
        <v>10.089421508061998</v>
      </c>
      <c r="AN68" s="102">
        <v>25410004</v>
      </c>
      <c r="AO68" s="102">
        <v>3410107108</v>
      </c>
      <c r="AP68" s="100">
        <f>(AN68/AO68)*100</f>
        <v>0.74513800286181509</v>
      </c>
      <c r="AQ68" s="102">
        <v>27879080</v>
      </c>
      <c r="AR68" s="102">
        <v>3410107108</v>
      </c>
      <c r="AS68" s="100">
        <f>(AQ68/AR68)*100</f>
        <v>0.81754264945510335</v>
      </c>
      <c r="AT68" s="102">
        <v>301596533</v>
      </c>
      <c r="AU68" s="102">
        <v>3410107108</v>
      </c>
      <c r="AV68" s="100">
        <f>(AT68/AU68)*100</f>
        <v>8.8441953125889921</v>
      </c>
      <c r="AW68" s="102">
        <v>21147595</v>
      </c>
      <c r="AX68" s="102">
        <v>2314177009</v>
      </c>
      <c r="AY68" s="100">
        <f>(AW68/AX68)*100</f>
        <v>0.9138278929293433</v>
      </c>
      <c r="AZ68" s="102">
        <v>121055084</v>
      </c>
      <c r="BA68" s="102">
        <v>2314177009</v>
      </c>
      <c r="BB68" s="100">
        <f>(AZ68/BA68)*100</f>
        <v>5.2310209430483541</v>
      </c>
      <c r="BC68" s="102">
        <v>366046431</v>
      </c>
      <c r="BD68" s="102">
        <v>2314177009</v>
      </c>
      <c r="BE68" s="99">
        <f>(BC68/BD68)*100</f>
        <v>15.81756406603381</v>
      </c>
      <c r="BF68" s="102">
        <v>1647101</v>
      </c>
      <c r="BG68" s="102">
        <v>5295992175</v>
      </c>
      <c r="BH68" s="97">
        <f t="shared" si="41"/>
        <v>3.1100895650398128E-2</v>
      </c>
      <c r="BI68" s="102">
        <v>206473717</v>
      </c>
      <c r="BJ68" s="102">
        <v>5295992175</v>
      </c>
      <c r="BK68" s="100">
        <f t="shared" si="39"/>
        <v>3.8986786644940619</v>
      </c>
      <c r="BL68" s="102">
        <v>834487294</v>
      </c>
      <c r="BM68" s="102">
        <v>5295992175</v>
      </c>
      <c r="BN68" s="99">
        <f t="shared" si="40"/>
        <v>15.756958591050033</v>
      </c>
    </row>
    <row r="69" spans="1:66" ht="14.25" x14ac:dyDescent="0.45">
      <c r="A69" s="54">
        <v>95</v>
      </c>
      <c r="B69" s="58" t="s">
        <v>98</v>
      </c>
      <c r="C69" s="97"/>
      <c r="D69" s="98"/>
      <c r="E69" s="98"/>
      <c r="F69" s="97"/>
      <c r="G69" s="98"/>
      <c r="H69" s="98"/>
      <c r="I69" s="107"/>
      <c r="J69" s="98"/>
      <c r="K69" s="98"/>
      <c r="L69" s="107"/>
      <c r="M69" s="106"/>
      <c r="N69" s="108"/>
      <c r="O69" s="99"/>
      <c r="P69" s="102"/>
      <c r="Q69" s="106"/>
      <c r="R69" s="99"/>
      <c r="S69" s="102"/>
      <c r="T69" s="106"/>
      <c r="U69" s="100"/>
      <c r="V69" s="102"/>
      <c r="W69" s="102"/>
      <c r="X69" s="100"/>
      <c r="Y69" s="102"/>
      <c r="Z69" s="102"/>
      <c r="AA69" s="100"/>
      <c r="AB69" s="102"/>
      <c r="AC69" s="102"/>
      <c r="AD69" s="100"/>
      <c r="AE69" s="102"/>
      <c r="AF69" s="102"/>
      <c r="AG69" s="100"/>
      <c r="AH69" s="102"/>
      <c r="AI69" s="102"/>
      <c r="AJ69" s="100"/>
      <c r="AK69" s="102"/>
      <c r="AL69" s="102"/>
      <c r="AM69" s="100"/>
      <c r="AN69" s="102"/>
      <c r="AO69" s="102"/>
      <c r="AP69" s="100"/>
      <c r="AQ69" s="102"/>
      <c r="AR69" s="102"/>
      <c r="AS69" s="100"/>
      <c r="AT69" s="102"/>
      <c r="AU69" s="102"/>
      <c r="AV69" s="100"/>
      <c r="AW69" s="102"/>
      <c r="AX69" s="102"/>
      <c r="AY69" s="100"/>
      <c r="AZ69" s="102"/>
      <c r="BA69" s="102"/>
      <c r="BB69" s="100"/>
      <c r="BC69" s="102"/>
      <c r="BD69" s="102"/>
      <c r="BE69" s="99"/>
      <c r="BF69" s="58"/>
      <c r="BG69" s="58"/>
      <c r="BH69" s="97"/>
      <c r="BI69" s="58"/>
      <c r="BJ69" s="58"/>
      <c r="BK69" s="100"/>
      <c r="BL69" s="108"/>
      <c r="BM69" s="108"/>
      <c r="BN69" s="99"/>
    </row>
    <row r="70" spans="1:66" ht="14.25" x14ac:dyDescent="0.45">
      <c r="A70" s="54">
        <v>96</v>
      </c>
      <c r="B70" s="58" t="s">
        <v>99</v>
      </c>
      <c r="C70" s="97"/>
      <c r="D70" s="98"/>
      <c r="E70" s="98"/>
      <c r="F70" s="97"/>
      <c r="G70" s="98"/>
      <c r="H70" s="98"/>
      <c r="I70" s="107"/>
      <c r="J70" s="98"/>
      <c r="K70" s="98"/>
      <c r="L70" s="107"/>
      <c r="M70" s="106"/>
      <c r="N70" s="108"/>
      <c r="O70" s="99"/>
      <c r="P70" s="102"/>
      <c r="Q70" s="106"/>
      <c r="R70" s="99"/>
      <c r="S70" s="102"/>
      <c r="T70" s="106"/>
      <c r="U70" s="100"/>
      <c r="V70" s="102"/>
      <c r="W70" s="102"/>
      <c r="X70" s="100"/>
      <c r="Y70" s="102"/>
      <c r="Z70" s="102"/>
      <c r="AA70" s="100"/>
      <c r="AB70" s="102"/>
      <c r="AC70" s="102"/>
      <c r="AD70" s="100"/>
      <c r="AE70" s="102"/>
      <c r="AF70" s="102"/>
      <c r="AG70" s="100"/>
      <c r="AH70" s="102"/>
      <c r="AI70" s="102"/>
      <c r="AJ70" s="100"/>
      <c r="AK70" s="102"/>
      <c r="AL70" s="102"/>
      <c r="AM70" s="100"/>
      <c r="AN70" s="102"/>
      <c r="AO70" s="102"/>
      <c r="AP70" s="100"/>
      <c r="AQ70" s="102"/>
      <c r="AR70" s="102"/>
      <c r="AS70" s="100"/>
      <c r="AT70" s="102"/>
      <c r="AU70" s="102"/>
      <c r="AV70" s="100"/>
      <c r="AW70" s="102"/>
      <c r="AX70" s="102"/>
      <c r="AY70" s="100"/>
      <c r="AZ70" s="102"/>
      <c r="BA70" s="102"/>
      <c r="BB70" s="100"/>
      <c r="BC70" s="102"/>
      <c r="BD70" s="102"/>
      <c r="BE70" s="99"/>
      <c r="BF70" s="58"/>
      <c r="BG70" s="58"/>
      <c r="BH70" s="97"/>
      <c r="BI70" s="58"/>
      <c r="BJ70" s="58"/>
      <c r="BK70" s="100"/>
      <c r="BL70" s="108"/>
      <c r="BM70" s="108"/>
      <c r="BN70" s="99"/>
    </row>
    <row r="71" spans="1:66" ht="14.25" x14ac:dyDescent="0.45">
      <c r="A71" s="54">
        <v>97</v>
      </c>
      <c r="B71" s="58" t="s">
        <v>100</v>
      </c>
      <c r="C71" s="109"/>
      <c r="D71" s="106"/>
      <c r="E71" s="106"/>
      <c r="F71" s="109"/>
      <c r="G71" s="58"/>
      <c r="H71" s="110"/>
      <c r="I71" s="111"/>
      <c r="J71" s="58"/>
      <c r="K71" s="110"/>
      <c r="L71" s="111"/>
      <c r="M71" s="108"/>
      <c r="N71" s="108"/>
      <c r="O71" s="99"/>
      <c r="P71" s="102"/>
      <c r="Q71" s="106"/>
      <c r="R71" s="99"/>
      <c r="S71" s="102"/>
      <c r="T71" s="106"/>
      <c r="U71" s="100"/>
      <c r="V71" s="102"/>
      <c r="W71" s="102"/>
      <c r="X71" s="100"/>
      <c r="Y71" s="102"/>
      <c r="Z71" s="102"/>
      <c r="AA71" s="100"/>
      <c r="AB71" s="102"/>
      <c r="AC71" s="102"/>
      <c r="AD71" s="100"/>
      <c r="AE71" s="102"/>
      <c r="AF71" s="102"/>
      <c r="AG71" s="100"/>
      <c r="AH71" s="102"/>
      <c r="AI71" s="102"/>
      <c r="AJ71" s="100"/>
      <c r="AK71" s="102"/>
      <c r="AL71" s="102"/>
      <c r="AM71" s="100"/>
      <c r="AN71" s="102"/>
      <c r="AO71" s="102"/>
      <c r="AP71" s="100"/>
      <c r="AQ71" s="102"/>
      <c r="AR71" s="102"/>
      <c r="AS71" s="100"/>
      <c r="AT71" s="102"/>
      <c r="AU71" s="102"/>
      <c r="AV71" s="100"/>
      <c r="AW71" s="102"/>
      <c r="AX71" s="102"/>
      <c r="AY71" s="100"/>
      <c r="AZ71" s="102"/>
      <c r="BA71" s="102"/>
      <c r="BB71" s="100"/>
      <c r="BC71" s="102"/>
      <c r="BD71" s="102"/>
      <c r="BE71" s="99"/>
      <c r="BF71" s="58"/>
      <c r="BG71" s="58"/>
      <c r="BH71" s="97"/>
      <c r="BI71" s="58"/>
      <c r="BJ71" s="58"/>
      <c r="BK71" s="100"/>
      <c r="BL71" s="108"/>
      <c r="BM71" s="108"/>
      <c r="BN71" s="99"/>
    </row>
    <row r="72" spans="1:66" ht="14.25" x14ac:dyDescent="0.45">
      <c r="A72" s="54"/>
      <c r="B72" s="58"/>
      <c r="P72" s="102"/>
      <c r="Q72" s="112"/>
      <c r="R72" s="58"/>
    </row>
    <row r="73" spans="1:66" ht="14.25" x14ac:dyDescent="0.45">
      <c r="A73" s="54"/>
      <c r="B73" s="58"/>
    </row>
    <row r="74" spans="1:66" ht="14.25" x14ac:dyDescent="0.45">
      <c r="A74" s="58"/>
      <c r="B74" s="58"/>
    </row>
    <row r="75" spans="1:66" ht="14.25" x14ac:dyDescent="0.45">
      <c r="A75" s="58"/>
      <c r="B75" s="58"/>
    </row>
    <row r="76" spans="1:66" ht="14.25" x14ac:dyDescent="0.45">
      <c r="A76" s="58"/>
      <c r="B76" s="58"/>
    </row>
    <row r="77" spans="1:66" ht="14.25" x14ac:dyDescent="0.45">
      <c r="A77" s="58"/>
      <c r="B77" s="58"/>
    </row>
    <row r="78" spans="1:66" ht="14.25" x14ac:dyDescent="0.45">
      <c r="A78" s="58"/>
      <c r="B78" s="58"/>
    </row>
    <row r="79" spans="1:66" ht="14.25" x14ac:dyDescent="0.45">
      <c r="A79" s="58"/>
      <c r="B79" s="58"/>
    </row>
    <row r="80" spans="1:66" ht="14.25" x14ac:dyDescent="0.45">
      <c r="A80" s="58"/>
      <c r="B80" s="58"/>
    </row>
    <row r="81" spans="1:2" ht="14.25" x14ac:dyDescent="0.45">
      <c r="A81" s="58"/>
      <c r="B81" s="58"/>
    </row>
    <row r="82" spans="1:2" ht="14.25" x14ac:dyDescent="0.45">
      <c r="A82" s="58"/>
      <c r="B82" s="58"/>
    </row>
    <row r="83" spans="1:2" ht="14.25" x14ac:dyDescent="0.45">
      <c r="A83" s="54"/>
      <c r="B83" s="58"/>
    </row>
    <row r="84" spans="1:2" ht="14.25" x14ac:dyDescent="0.45">
      <c r="A84" s="54"/>
      <c r="B84" s="58"/>
    </row>
    <row r="85" spans="1:2" ht="14.25" x14ac:dyDescent="0.45">
      <c r="A85" s="54"/>
      <c r="B85" s="58"/>
    </row>
    <row r="86" spans="1:2" ht="14.25" x14ac:dyDescent="0.45">
      <c r="A86" s="54"/>
      <c r="B86" s="58"/>
    </row>
    <row r="87" spans="1:2" ht="14.25" x14ac:dyDescent="0.45">
      <c r="A87" s="54"/>
      <c r="B87" s="58"/>
    </row>
    <row r="88" spans="1:2" ht="14.25" x14ac:dyDescent="0.45">
      <c r="A88" s="54"/>
      <c r="B88" s="58"/>
    </row>
    <row r="89" spans="1:2" ht="14.25" x14ac:dyDescent="0.45">
      <c r="A89" s="54"/>
      <c r="B89" s="58"/>
    </row>
    <row r="90" spans="1:2" ht="14.25" x14ac:dyDescent="0.45">
      <c r="A90" s="54"/>
      <c r="B90" s="58"/>
    </row>
    <row r="91" spans="1:2" ht="14.25" x14ac:dyDescent="0.45">
      <c r="A91" s="54"/>
      <c r="B91" s="58"/>
    </row>
    <row r="92" spans="1:2" ht="14.25" x14ac:dyDescent="0.45">
      <c r="A92" s="54"/>
      <c r="B92" s="58"/>
    </row>
    <row r="93" spans="1:2" ht="14.25" x14ac:dyDescent="0.45">
      <c r="A93" s="54"/>
      <c r="B93" s="58"/>
    </row>
    <row r="94" spans="1:2" ht="14.25" x14ac:dyDescent="0.45">
      <c r="A94" s="54"/>
      <c r="B94" s="58"/>
    </row>
    <row r="95" spans="1:2" ht="14.25" x14ac:dyDescent="0.45">
      <c r="A95" s="54"/>
      <c r="B95" s="58"/>
    </row>
    <row r="96" spans="1:2" ht="14.25" x14ac:dyDescent="0.45">
      <c r="A96" s="54"/>
    </row>
    <row r="97" spans="1:4" ht="14.25" x14ac:dyDescent="0.45">
      <c r="A97" s="54"/>
      <c r="C97" s="92"/>
      <c r="D97" s="92"/>
    </row>
    <row r="98" spans="1:4" ht="14.25" x14ac:dyDescent="0.45">
      <c r="A98" s="54"/>
      <c r="C98" s="92"/>
      <c r="D98" s="92"/>
    </row>
    <row r="99" spans="1:4" ht="14.25" x14ac:dyDescent="0.45">
      <c r="A99" s="54"/>
      <c r="C99" s="92"/>
      <c r="D99" s="92"/>
    </row>
    <row r="100" spans="1:4" ht="14.25" x14ac:dyDescent="0.45">
      <c r="A100" s="54"/>
      <c r="C100" s="92"/>
      <c r="D100" s="92"/>
    </row>
    <row r="101" spans="1:4" ht="14.25" x14ac:dyDescent="0.45">
      <c r="A101" s="54"/>
      <c r="C101" s="92"/>
      <c r="D101" s="92"/>
    </row>
    <row r="102" spans="1:4" ht="14.25" x14ac:dyDescent="0.45">
      <c r="A102" s="54"/>
      <c r="C102" s="92"/>
      <c r="D102" s="92"/>
    </row>
    <row r="103" spans="1:4" ht="14.25" x14ac:dyDescent="0.45">
      <c r="A103" s="54"/>
      <c r="C103" s="92"/>
      <c r="D103" s="92"/>
    </row>
    <row r="104" spans="1:4" ht="14.25" x14ac:dyDescent="0.45">
      <c r="A104" s="54"/>
      <c r="C104" s="92"/>
      <c r="D104" s="92"/>
    </row>
    <row r="105" spans="1:4" ht="14.25" x14ac:dyDescent="0.45">
      <c r="A105" s="54"/>
      <c r="C105" s="92"/>
      <c r="D105" s="92"/>
    </row>
    <row r="106" spans="1:4" ht="14.25" x14ac:dyDescent="0.45">
      <c r="A106" s="54"/>
      <c r="C106" s="92"/>
      <c r="D106" s="92"/>
    </row>
    <row r="107" spans="1:4" ht="14.25" x14ac:dyDescent="0.45">
      <c r="A107" s="54"/>
      <c r="C107" s="92"/>
      <c r="D107" s="92"/>
    </row>
    <row r="108" spans="1:4" ht="14.25" x14ac:dyDescent="0.45">
      <c r="A108" s="54"/>
      <c r="C108" s="92"/>
      <c r="D108" s="92"/>
    </row>
    <row r="109" spans="1:4" ht="14.25" x14ac:dyDescent="0.45">
      <c r="A109" s="54"/>
      <c r="C109" s="92"/>
      <c r="D109" s="92"/>
    </row>
    <row r="110" spans="1:4" ht="14.25" x14ac:dyDescent="0.45">
      <c r="A110" s="54"/>
      <c r="C110" s="92"/>
      <c r="D110" s="92"/>
    </row>
    <row r="111" spans="1:4" ht="14.25" x14ac:dyDescent="0.45">
      <c r="A111" s="54"/>
      <c r="C111" s="92"/>
      <c r="D111" s="92"/>
    </row>
    <row r="112" spans="1:4" ht="14.25" x14ac:dyDescent="0.45">
      <c r="A112" s="54"/>
      <c r="C112" s="92"/>
      <c r="D112" s="92"/>
    </row>
    <row r="113" spans="1:4" ht="14.25" x14ac:dyDescent="0.45">
      <c r="A113" s="54"/>
      <c r="C113" s="92"/>
      <c r="D113" s="92"/>
    </row>
    <row r="114" spans="1:4" ht="14.25" x14ac:dyDescent="0.45">
      <c r="A114" s="54"/>
      <c r="C114" s="92"/>
      <c r="D114" s="92"/>
    </row>
    <row r="115" spans="1:4" ht="14.25" x14ac:dyDescent="0.45">
      <c r="A115" s="54"/>
      <c r="C115" s="92"/>
      <c r="D115" s="92"/>
    </row>
    <row r="116" spans="1:4" ht="14.25" x14ac:dyDescent="0.45">
      <c r="A116" s="54"/>
      <c r="C116" s="92"/>
      <c r="D116" s="92"/>
    </row>
    <row r="117" spans="1:4" ht="14.25" x14ac:dyDescent="0.45">
      <c r="A117" s="54"/>
      <c r="C117" s="92"/>
      <c r="D117" s="92"/>
    </row>
    <row r="118" spans="1:4" ht="14.25" x14ac:dyDescent="0.45">
      <c r="A118" s="54"/>
      <c r="C118" s="92"/>
      <c r="D118" s="92"/>
    </row>
    <row r="119" spans="1:4" ht="14.25" x14ac:dyDescent="0.45">
      <c r="A119" s="54"/>
      <c r="C119" s="92"/>
      <c r="D119" s="92"/>
    </row>
    <row r="120" spans="1:4" ht="14.25" x14ac:dyDescent="0.45">
      <c r="A120" s="54"/>
      <c r="C120" s="92"/>
      <c r="D120" s="92"/>
    </row>
    <row r="121" spans="1:4" ht="14.25" x14ac:dyDescent="0.45">
      <c r="A121" s="54"/>
      <c r="C121" s="92"/>
      <c r="D121" s="92"/>
    </row>
    <row r="122" spans="1:4" ht="14.25" x14ac:dyDescent="0.45">
      <c r="A122" s="54"/>
      <c r="C122" s="92"/>
      <c r="D122" s="92"/>
    </row>
    <row r="123" spans="1:4" ht="14.25" x14ac:dyDescent="0.45">
      <c r="A123" s="54"/>
      <c r="C123" s="92"/>
      <c r="D123" s="92"/>
    </row>
    <row r="124" spans="1:4" ht="14.25" x14ac:dyDescent="0.45">
      <c r="A124" s="54"/>
      <c r="C124" s="92"/>
      <c r="D124" s="92"/>
    </row>
    <row r="125" spans="1:4" ht="14.25" x14ac:dyDescent="0.45">
      <c r="A125" s="54"/>
      <c r="C125" s="92"/>
      <c r="D125" s="92"/>
    </row>
    <row r="126" spans="1:4" ht="14.25" x14ac:dyDescent="0.45">
      <c r="A126" s="54"/>
      <c r="C126" s="92"/>
      <c r="D126" s="92"/>
    </row>
    <row r="127" spans="1:4" ht="14.25" x14ac:dyDescent="0.45">
      <c r="A127" s="54"/>
      <c r="C127" s="92"/>
      <c r="D127" s="92"/>
    </row>
    <row r="128" spans="1:4" ht="14.25" x14ac:dyDescent="0.45">
      <c r="A128" s="54"/>
      <c r="C128" s="92"/>
      <c r="D128" s="92"/>
    </row>
    <row r="129" spans="1:4" ht="14.25" x14ac:dyDescent="0.45">
      <c r="A129" s="54"/>
      <c r="C129" s="92"/>
      <c r="D129" s="92"/>
    </row>
    <row r="130" spans="1:4" ht="14.25" x14ac:dyDescent="0.45">
      <c r="A130" s="54"/>
      <c r="C130" s="92"/>
      <c r="D130" s="92"/>
    </row>
    <row r="131" spans="1:4" ht="14.25" x14ac:dyDescent="0.45">
      <c r="A131" s="54"/>
      <c r="C131" s="92"/>
      <c r="D131" s="92"/>
    </row>
    <row r="132" spans="1:4" ht="14.25" x14ac:dyDescent="0.45">
      <c r="A132" s="54"/>
      <c r="C132" s="92"/>
      <c r="D132" s="92"/>
    </row>
    <row r="133" spans="1:4" ht="14.25" x14ac:dyDescent="0.45">
      <c r="A133" s="54"/>
      <c r="C133" s="92"/>
      <c r="D133" s="92"/>
    </row>
    <row r="134" spans="1:4" ht="14.25" x14ac:dyDescent="0.45">
      <c r="A134" s="54"/>
      <c r="C134" s="92"/>
      <c r="D134" s="92"/>
    </row>
    <row r="135" spans="1:4" ht="14.25" x14ac:dyDescent="0.45">
      <c r="A135" s="54"/>
      <c r="C135" s="92"/>
      <c r="D135" s="92"/>
    </row>
    <row r="136" spans="1:4" ht="14.25" x14ac:dyDescent="0.45">
      <c r="A136" s="54"/>
      <c r="C136" s="92"/>
      <c r="D136" s="92"/>
    </row>
    <row r="137" spans="1:4" ht="14.25" x14ac:dyDescent="0.45">
      <c r="A137" s="54"/>
      <c r="C137" s="92"/>
      <c r="D137" s="92"/>
    </row>
    <row r="138" spans="1:4" ht="14.25" x14ac:dyDescent="0.45">
      <c r="A138" s="54"/>
      <c r="C138" s="92"/>
      <c r="D138" s="92"/>
    </row>
    <row r="139" spans="1:4" ht="14.25" x14ac:dyDescent="0.45">
      <c r="A139" s="54"/>
      <c r="C139" s="92"/>
      <c r="D139" s="92"/>
    </row>
    <row r="140" spans="1:4" ht="14.25" x14ac:dyDescent="0.45">
      <c r="A140" s="54"/>
      <c r="C140" s="92"/>
      <c r="D140" s="92"/>
    </row>
    <row r="141" spans="1:4" ht="14.25" x14ac:dyDescent="0.45">
      <c r="A141" s="54"/>
      <c r="C141" s="92"/>
      <c r="D141" s="92"/>
    </row>
    <row r="142" spans="1:4" ht="14.25" x14ac:dyDescent="0.45">
      <c r="A142" s="54"/>
      <c r="C142" s="92"/>
      <c r="D142" s="92"/>
    </row>
    <row r="143" spans="1:4" ht="14.25" x14ac:dyDescent="0.45">
      <c r="A143" s="54"/>
      <c r="C143" s="92"/>
      <c r="D143" s="92"/>
    </row>
    <row r="144" spans="1:4" ht="14.25" x14ac:dyDescent="0.45">
      <c r="A144" s="54"/>
      <c r="C144" s="92"/>
      <c r="D144" s="92"/>
    </row>
    <row r="145" spans="1:4" ht="14.25" x14ac:dyDescent="0.45">
      <c r="A145" s="54"/>
      <c r="C145" s="92"/>
      <c r="D145" s="92"/>
    </row>
    <row r="146" spans="1:4" ht="14.25" x14ac:dyDescent="0.45">
      <c r="A146" s="54"/>
      <c r="C146" s="92"/>
      <c r="D146" s="92"/>
    </row>
    <row r="147" spans="1:4" ht="14.25" x14ac:dyDescent="0.45">
      <c r="A147" s="54"/>
      <c r="C147" s="92"/>
      <c r="D147" s="92"/>
    </row>
    <row r="148" spans="1:4" ht="14.25" x14ac:dyDescent="0.45">
      <c r="A148" s="54"/>
      <c r="C148" s="92"/>
      <c r="D148" s="92"/>
    </row>
    <row r="149" spans="1:4" ht="14.25" x14ac:dyDescent="0.45">
      <c r="A149" s="54"/>
      <c r="C149" s="92"/>
      <c r="D149" s="92"/>
    </row>
    <row r="150" spans="1:4" ht="14.25" x14ac:dyDescent="0.45">
      <c r="A150" s="54"/>
      <c r="C150" s="92"/>
      <c r="D150" s="92"/>
    </row>
    <row r="151" spans="1:4" ht="14.25" x14ac:dyDescent="0.45">
      <c r="A151" s="54"/>
      <c r="C151" s="92"/>
      <c r="D151" s="92"/>
    </row>
    <row r="152" spans="1:4" ht="14.25" x14ac:dyDescent="0.45">
      <c r="A152" s="54"/>
      <c r="C152" s="92"/>
      <c r="D152" s="92"/>
    </row>
    <row r="153" spans="1:4" ht="14.25" x14ac:dyDescent="0.45">
      <c r="A153" s="54"/>
      <c r="C153" s="92"/>
      <c r="D153" s="92"/>
    </row>
    <row r="154" spans="1:4" ht="14.25" x14ac:dyDescent="0.45">
      <c r="A154" s="54"/>
      <c r="C154" s="92"/>
      <c r="D154" s="92"/>
    </row>
    <row r="155" spans="1:4" ht="14.25" x14ac:dyDescent="0.45">
      <c r="A155" s="54"/>
      <c r="C155" s="92"/>
      <c r="D155" s="92"/>
    </row>
    <row r="156" spans="1:4" ht="14.25" x14ac:dyDescent="0.45">
      <c r="A156" s="54"/>
      <c r="C156" s="92"/>
      <c r="D156" s="92"/>
    </row>
    <row r="157" spans="1:4" ht="14.25" x14ac:dyDescent="0.45">
      <c r="A157" s="54"/>
      <c r="C157" s="92"/>
      <c r="D157" s="92"/>
    </row>
    <row r="158" spans="1:4" ht="14.25" x14ac:dyDescent="0.45">
      <c r="A158" s="54"/>
      <c r="C158" s="92"/>
      <c r="D158" s="92"/>
    </row>
    <row r="159" spans="1:4" ht="14.25" x14ac:dyDescent="0.45">
      <c r="A159" s="54"/>
      <c r="C159" s="92"/>
      <c r="D159" s="92"/>
    </row>
    <row r="160" spans="1:4" ht="14.25" x14ac:dyDescent="0.45">
      <c r="A160" s="54"/>
      <c r="C160" s="92"/>
      <c r="D160" s="92"/>
    </row>
    <row r="161" spans="1:4" ht="14.25" x14ac:dyDescent="0.45">
      <c r="A161" s="54"/>
      <c r="C161" s="92"/>
      <c r="D161" s="92"/>
    </row>
    <row r="162" spans="1:4" ht="14.25" x14ac:dyDescent="0.45">
      <c r="A162" s="54"/>
      <c r="C162" s="92"/>
      <c r="D162" s="92"/>
    </row>
    <row r="163" spans="1:4" ht="14.25" x14ac:dyDescent="0.45">
      <c r="A163" s="54"/>
      <c r="C163" s="92"/>
      <c r="D163" s="92"/>
    </row>
    <row r="164" spans="1:4" ht="14.25" x14ac:dyDescent="0.45">
      <c r="A164" s="54"/>
      <c r="C164" s="92"/>
      <c r="D164" s="92"/>
    </row>
    <row r="165" spans="1:4" ht="14.25" x14ac:dyDescent="0.45">
      <c r="A165" s="54"/>
      <c r="C165" s="92"/>
      <c r="D165" s="92"/>
    </row>
    <row r="166" spans="1:4" ht="14.25" x14ac:dyDescent="0.45">
      <c r="A166" s="54"/>
      <c r="C166" s="92"/>
      <c r="D166" s="92"/>
    </row>
    <row r="167" spans="1:4" ht="14.25" x14ac:dyDescent="0.45">
      <c r="A167" s="54"/>
      <c r="C167" s="92"/>
      <c r="D167" s="92"/>
    </row>
    <row r="168" spans="1:4" ht="14.25" x14ac:dyDescent="0.45">
      <c r="A168" s="54"/>
      <c r="C168" s="92"/>
      <c r="D168" s="92"/>
    </row>
    <row r="169" spans="1:4" ht="14.25" x14ac:dyDescent="0.45">
      <c r="A169" s="54"/>
      <c r="C169" s="92"/>
      <c r="D169" s="92"/>
    </row>
    <row r="170" spans="1:4" ht="14.25" x14ac:dyDescent="0.45">
      <c r="A170" s="54"/>
      <c r="C170" s="92"/>
      <c r="D170" s="92"/>
    </row>
    <row r="171" spans="1:4" ht="14.25" x14ac:dyDescent="0.45">
      <c r="A171" s="54"/>
      <c r="C171" s="92"/>
      <c r="D171" s="92"/>
    </row>
    <row r="172" spans="1:4" ht="14.25" x14ac:dyDescent="0.45">
      <c r="A172" s="54"/>
      <c r="C172" s="92"/>
      <c r="D172" s="92"/>
    </row>
    <row r="173" spans="1:4" ht="14.25" x14ac:dyDescent="0.45">
      <c r="A173" s="54"/>
      <c r="C173" s="92"/>
      <c r="D173" s="92"/>
    </row>
    <row r="174" spans="1:4" ht="14.25" x14ac:dyDescent="0.45">
      <c r="A174" s="54"/>
      <c r="C174" s="92"/>
      <c r="D174" s="92"/>
    </row>
    <row r="175" spans="1:4" ht="14.25" x14ac:dyDescent="0.45">
      <c r="A175" s="54"/>
      <c r="C175" s="92"/>
      <c r="D175" s="92"/>
    </row>
    <row r="176" spans="1:4" ht="14.25" x14ac:dyDescent="0.45">
      <c r="A176" s="54"/>
      <c r="C176" s="92"/>
      <c r="D176" s="92"/>
    </row>
    <row r="177" spans="1:4" ht="14.25" x14ac:dyDescent="0.45">
      <c r="A177" s="54"/>
      <c r="C177" s="92"/>
      <c r="D177" s="92"/>
    </row>
    <row r="178" spans="1:4" ht="14.25" x14ac:dyDescent="0.45">
      <c r="A178" s="54"/>
      <c r="C178" s="92"/>
      <c r="D178" s="92"/>
    </row>
    <row r="179" spans="1:4" ht="14.25" x14ac:dyDescent="0.45">
      <c r="A179" s="54"/>
      <c r="C179" s="92"/>
      <c r="D179" s="92"/>
    </row>
    <row r="180" spans="1:4" ht="14.25" x14ac:dyDescent="0.45">
      <c r="A180" s="54"/>
      <c r="C180" s="92"/>
      <c r="D180" s="92"/>
    </row>
    <row r="181" spans="1:4" ht="14.25" x14ac:dyDescent="0.45">
      <c r="A181" s="54"/>
      <c r="C181" s="92"/>
      <c r="D181" s="92"/>
    </row>
    <row r="182" spans="1:4" ht="14.25" x14ac:dyDescent="0.45">
      <c r="A182" s="54"/>
      <c r="C182" s="92"/>
      <c r="D182" s="92"/>
    </row>
    <row r="183" spans="1:4" ht="14.25" x14ac:dyDescent="0.45">
      <c r="A183" s="54"/>
      <c r="C183" s="92"/>
      <c r="D183" s="92"/>
    </row>
    <row r="184" spans="1:4" ht="14.25" x14ac:dyDescent="0.45">
      <c r="A184" s="54"/>
      <c r="C184" s="92"/>
      <c r="D184" s="92"/>
    </row>
    <row r="185" spans="1:4" ht="14.25" x14ac:dyDescent="0.45">
      <c r="A185" s="54"/>
      <c r="C185" s="92"/>
      <c r="D185" s="92"/>
    </row>
    <row r="186" spans="1:4" ht="14.25" x14ac:dyDescent="0.45">
      <c r="A186" s="54"/>
      <c r="C186" s="92"/>
      <c r="D186" s="92"/>
    </row>
    <row r="187" spans="1:4" ht="14.25" x14ac:dyDescent="0.45">
      <c r="A187" s="54"/>
      <c r="C187" s="92"/>
      <c r="D187" s="92"/>
    </row>
    <row r="188" spans="1:4" ht="14.25" x14ac:dyDescent="0.45">
      <c r="A188" s="54"/>
      <c r="C188" s="92"/>
      <c r="D188" s="92"/>
    </row>
    <row r="189" spans="1:4" ht="14.25" x14ac:dyDescent="0.45">
      <c r="A189" s="54"/>
      <c r="C189" s="92"/>
      <c r="D189" s="92"/>
    </row>
    <row r="190" spans="1:4" ht="14.25" x14ac:dyDescent="0.45">
      <c r="A190" s="54"/>
      <c r="C190" s="92"/>
      <c r="D190" s="92"/>
    </row>
    <row r="191" spans="1:4" ht="14.25" x14ac:dyDescent="0.45">
      <c r="A191" s="54"/>
      <c r="C191" s="92"/>
      <c r="D191" s="92"/>
    </row>
    <row r="192" spans="1:4" ht="14.25" x14ac:dyDescent="0.45">
      <c r="A192" s="54"/>
      <c r="C192" s="92"/>
      <c r="D192" s="92"/>
    </row>
    <row r="193" spans="1:4" ht="14.25" x14ac:dyDescent="0.45">
      <c r="A193" s="54"/>
      <c r="C193" s="92"/>
      <c r="D193" s="92"/>
    </row>
    <row r="194" spans="1:4" ht="14.25" x14ac:dyDescent="0.45">
      <c r="A194" s="54"/>
      <c r="C194" s="92"/>
      <c r="D194" s="92"/>
    </row>
    <row r="195" spans="1:4" ht="14.25" x14ac:dyDescent="0.45">
      <c r="A195" s="54"/>
      <c r="C195" s="92"/>
      <c r="D195" s="92"/>
    </row>
    <row r="196" spans="1:4" ht="14.25" x14ac:dyDescent="0.45">
      <c r="A196" s="54"/>
      <c r="C196" s="92"/>
      <c r="D196" s="92"/>
    </row>
    <row r="197" spans="1:4" ht="14.25" x14ac:dyDescent="0.45">
      <c r="A197" s="54"/>
      <c r="C197" s="92"/>
      <c r="D197" s="92"/>
    </row>
    <row r="198" spans="1:4" ht="14.25" x14ac:dyDescent="0.45">
      <c r="A198" s="54"/>
      <c r="C198" s="92"/>
      <c r="D198" s="92"/>
    </row>
    <row r="199" spans="1:4" ht="14.25" x14ac:dyDescent="0.45">
      <c r="A199" s="54"/>
      <c r="C199" s="92"/>
      <c r="D199" s="92"/>
    </row>
    <row r="200" spans="1:4" ht="14.25" x14ac:dyDescent="0.45">
      <c r="A200" s="54"/>
      <c r="C200" s="92"/>
      <c r="D200" s="92"/>
    </row>
    <row r="201" spans="1:4" ht="14.25" x14ac:dyDescent="0.45">
      <c r="A201" s="54"/>
      <c r="C201" s="92"/>
      <c r="D201" s="92"/>
    </row>
    <row r="202" spans="1:4" ht="14.25" x14ac:dyDescent="0.45">
      <c r="A202" s="54"/>
      <c r="C202" s="92"/>
      <c r="D202" s="92"/>
    </row>
    <row r="203" spans="1:4" ht="14.25" x14ac:dyDescent="0.45">
      <c r="A203" s="54"/>
      <c r="C203" s="92"/>
      <c r="D203" s="92"/>
    </row>
    <row r="204" spans="1:4" ht="14.25" x14ac:dyDescent="0.45">
      <c r="A204" s="54"/>
      <c r="C204" s="92"/>
      <c r="D204" s="92"/>
    </row>
    <row r="205" spans="1:4" ht="14.25" x14ac:dyDescent="0.45">
      <c r="A205" s="54"/>
      <c r="C205" s="92"/>
      <c r="D205" s="92"/>
    </row>
    <row r="206" spans="1:4" ht="14.25" x14ac:dyDescent="0.45">
      <c r="A206" s="54"/>
      <c r="C206" s="92"/>
      <c r="D206" s="92"/>
    </row>
    <row r="207" spans="1:4" ht="14.25" x14ac:dyDescent="0.45">
      <c r="A207" s="54"/>
      <c r="C207" s="92"/>
      <c r="D207" s="92"/>
    </row>
    <row r="208" spans="1:4" ht="14.25" x14ac:dyDescent="0.45">
      <c r="A208" s="54"/>
      <c r="C208" s="92"/>
      <c r="D208" s="92"/>
    </row>
    <row r="209" spans="1:4" ht="14.25" x14ac:dyDescent="0.45">
      <c r="A209" s="54"/>
      <c r="C209" s="92"/>
      <c r="D209" s="92"/>
    </row>
    <row r="210" spans="1:4" ht="14.25" x14ac:dyDescent="0.45">
      <c r="A210" s="54"/>
      <c r="C210" s="92"/>
      <c r="D210" s="92"/>
    </row>
    <row r="211" spans="1:4" ht="14.25" x14ac:dyDescent="0.45">
      <c r="A211" s="54"/>
      <c r="C211" s="92"/>
      <c r="D211" s="92"/>
    </row>
    <row r="212" spans="1:4" ht="14.25" x14ac:dyDescent="0.45">
      <c r="A212" s="54"/>
      <c r="C212" s="92"/>
      <c r="D212" s="92"/>
    </row>
    <row r="213" spans="1:4" ht="14.25" x14ac:dyDescent="0.45">
      <c r="A213" s="54"/>
      <c r="C213" s="92"/>
      <c r="D213" s="92"/>
    </row>
    <row r="214" spans="1:4" ht="14.25" x14ac:dyDescent="0.45">
      <c r="A214" s="54"/>
      <c r="C214" s="92"/>
      <c r="D214" s="92"/>
    </row>
    <row r="215" spans="1:4" ht="14.25" x14ac:dyDescent="0.45">
      <c r="A215" s="54"/>
      <c r="C215" s="92"/>
      <c r="D215" s="92"/>
    </row>
    <row r="216" spans="1:4" ht="14.25" x14ac:dyDescent="0.45">
      <c r="A216" s="54"/>
      <c r="C216" s="92"/>
      <c r="D216" s="92"/>
    </row>
    <row r="217" spans="1:4" ht="14.25" x14ac:dyDescent="0.45">
      <c r="A217" s="54"/>
      <c r="C217" s="92"/>
      <c r="D217" s="92"/>
    </row>
    <row r="218" spans="1:4" ht="14.25" x14ac:dyDescent="0.45">
      <c r="A218" s="54"/>
      <c r="C218" s="92"/>
      <c r="D218" s="92"/>
    </row>
    <row r="219" spans="1:4" ht="14.25" x14ac:dyDescent="0.45">
      <c r="A219" s="54"/>
      <c r="C219" s="92"/>
      <c r="D219" s="92"/>
    </row>
    <row r="220" spans="1:4" ht="14.25" x14ac:dyDescent="0.45">
      <c r="A220" s="54"/>
      <c r="C220" s="92"/>
      <c r="D220" s="92"/>
    </row>
    <row r="221" spans="1:4" ht="14.25" x14ac:dyDescent="0.45">
      <c r="A221" s="54"/>
      <c r="C221" s="92"/>
      <c r="D221" s="92"/>
    </row>
    <row r="222" spans="1:4" ht="14.25" x14ac:dyDescent="0.45">
      <c r="A222" s="54"/>
      <c r="C222" s="92"/>
      <c r="D222" s="92"/>
    </row>
    <row r="223" spans="1:4" ht="14.25" x14ac:dyDescent="0.45">
      <c r="A223" s="54"/>
      <c r="C223" s="92"/>
      <c r="D223" s="92"/>
    </row>
    <row r="224" spans="1:4" ht="14.25" x14ac:dyDescent="0.45">
      <c r="A224" s="54"/>
      <c r="C224" s="92"/>
      <c r="D224" s="92"/>
    </row>
    <row r="225" spans="1:4" ht="14.25" x14ac:dyDescent="0.45">
      <c r="A225" s="54"/>
      <c r="C225" s="92"/>
      <c r="D225" s="92"/>
    </row>
    <row r="226" spans="1:4" ht="14.25" x14ac:dyDescent="0.45">
      <c r="A226" s="54"/>
      <c r="C226" s="92"/>
      <c r="D226" s="92"/>
    </row>
    <row r="227" spans="1:4" ht="14.25" x14ac:dyDescent="0.45">
      <c r="A227" s="54"/>
      <c r="C227" s="92"/>
      <c r="D227" s="92"/>
    </row>
    <row r="228" spans="1:4" ht="14.25" x14ac:dyDescent="0.45">
      <c r="A228" s="54"/>
      <c r="C228" s="92"/>
      <c r="D228" s="92"/>
    </row>
    <row r="229" spans="1:4" ht="14.25" x14ac:dyDescent="0.45">
      <c r="A229" s="54"/>
      <c r="C229" s="92"/>
      <c r="D229" s="92"/>
    </row>
    <row r="230" spans="1:4" ht="14.25" x14ac:dyDescent="0.45">
      <c r="A230" s="54"/>
      <c r="C230" s="92"/>
      <c r="D230" s="92"/>
    </row>
    <row r="231" spans="1:4" ht="14.25" x14ac:dyDescent="0.45">
      <c r="A231" s="54"/>
      <c r="C231" s="92"/>
      <c r="D231" s="92"/>
    </row>
    <row r="232" spans="1:4" ht="14.25" x14ac:dyDescent="0.45">
      <c r="A232" s="54"/>
      <c r="C232" s="92"/>
      <c r="D232" s="92"/>
    </row>
    <row r="233" spans="1:4" ht="14.25" x14ac:dyDescent="0.45">
      <c r="A233" s="54"/>
      <c r="C233" s="92"/>
      <c r="D233" s="92"/>
    </row>
    <row r="234" spans="1:4" ht="14.25" x14ac:dyDescent="0.45">
      <c r="A234" s="54"/>
      <c r="C234" s="92"/>
      <c r="D234" s="92"/>
    </row>
    <row r="235" spans="1:4" ht="14.25" x14ac:dyDescent="0.45">
      <c r="A235" s="54"/>
      <c r="C235" s="92"/>
      <c r="D235" s="92"/>
    </row>
    <row r="236" spans="1:4" ht="14.25" x14ac:dyDescent="0.45">
      <c r="A236" s="54"/>
      <c r="C236" s="92"/>
      <c r="D236" s="92"/>
    </row>
    <row r="237" spans="1:4" ht="14.25" x14ac:dyDescent="0.45">
      <c r="A237" s="54"/>
      <c r="C237" s="92"/>
      <c r="D237" s="92"/>
    </row>
    <row r="238" spans="1:4" ht="14.25" x14ac:dyDescent="0.45">
      <c r="A238" s="54"/>
      <c r="C238" s="92"/>
      <c r="D238" s="92"/>
    </row>
    <row r="239" spans="1:4" ht="14.25" x14ac:dyDescent="0.45">
      <c r="A239" s="54"/>
      <c r="C239" s="92"/>
      <c r="D239" s="92"/>
    </row>
    <row r="240" spans="1:4" ht="14.25" x14ac:dyDescent="0.45">
      <c r="A240" s="54"/>
      <c r="C240" s="92"/>
      <c r="D240" s="92"/>
    </row>
    <row r="241" spans="1:4" ht="14.25" x14ac:dyDescent="0.45">
      <c r="A241" s="54"/>
      <c r="C241" s="92"/>
      <c r="D241" s="92"/>
    </row>
    <row r="242" spans="1:4" ht="14.25" x14ac:dyDescent="0.45">
      <c r="A242" s="54"/>
      <c r="C242" s="92"/>
      <c r="D242" s="92"/>
    </row>
    <row r="243" spans="1:4" ht="14.25" x14ac:dyDescent="0.45">
      <c r="A243" s="54"/>
      <c r="C243" s="92"/>
      <c r="D243" s="92"/>
    </row>
    <row r="244" spans="1:4" ht="14.25" x14ac:dyDescent="0.45">
      <c r="A244" s="54"/>
      <c r="C244" s="92"/>
      <c r="D244" s="92"/>
    </row>
    <row r="245" spans="1:4" ht="14.25" x14ac:dyDescent="0.45">
      <c r="A245" s="54"/>
      <c r="C245" s="92"/>
      <c r="D245" s="92"/>
    </row>
    <row r="246" spans="1:4" ht="14.25" x14ac:dyDescent="0.45">
      <c r="A246" s="54"/>
      <c r="C246" s="92"/>
      <c r="D246" s="92"/>
    </row>
    <row r="247" spans="1:4" ht="14.25" x14ac:dyDescent="0.45">
      <c r="A247" s="54"/>
      <c r="C247" s="92"/>
      <c r="D247" s="92"/>
    </row>
    <row r="248" spans="1:4" ht="14.25" x14ac:dyDescent="0.45">
      <c r="A248" s="54"/>
      <c r="C248" s="92"/>
      <c r="D248" s="92"/>
    </row>
    <row r="249" spans="1:4" ht="14.25" x14ac:dyDescent="0.45">
      <c r="A249" s="54"/>
      <c r="C249" s="92"/>
      <c r="D249" s="92"/>
    </row>
    <row r="250" spans="1:4" ht="14.25" x14ac:dyDescent="0.45">
      <c r="A250" s="54"/>
      <c r="C250" s="92"/>
      <c r="D250" s="92"/>
    </row>
    <row r="251" spans="1:4" ht="14.25" x14ac:dyDescent="0.45">
      <c r="A251" s="54"/>
      <c r="C251" s="92"/>
      <c r="D251" s="92"/>
    </row>
    <row r="252" spans="1:4" ht="14.25" x14ac:dyDescent="0.45">
      <c r="A252" s="54"/>
      <c r="C252" s="92"/>
      <c r="D252" s="92"/>
    </row>
    <row r="253" spans="1:4" ht="14.25" x14ac:dyDescent="0.45">
      <c r="A253" s="54"/>
      <c r="C253" s="92"/>
      <c r="D253" s="92"/>
    </row>
    <row r="254" spans="1:4" ht="14.25" x14ac:dyDescent="0.45">
      <c r="A254" s="54"/>
      <c r="C254" s="92"/>
      <c r="D254" s="92"/>
    </row>
    <row r="255" spans="1:4" ht="14.25" x14ac:dyDescent="0.45">
      <c r="A255" s="54"/>
      <c r="C255" s="92"/>
      <c r="D255" s="92"/>
    </row>
    <row r="256" spans="1:4" ht="14.25" x14ac:dyDescent="0.45">
      <c r="A256" s="54"/>
      <c r="C256" s="92"/>
      <c r="D256" s="92"/>
    </row>
    <row r="257" spans="1:4" ht="14.25" x14ac:dyDescent="0.45">
      <c r="A257" s="54"/>
      <c r="C257" s="92"/>
      <c r="D257" s="92"/>
    </row>
    <row r="258" spans="1:4" ht="14.25" x14ac:dyDescent="0.45">
      <c r="A258" s="54"/>
      <c r="C258" s="92"/>
      <c r="D258" s="92"/>
    </row>
    <row r="259" spans="1:4" ht="14.25" x14ac:dyDescent="0.45">
      <c r="A259" s="54"/>
      <c r="C259" s="92"/>
      <c r="D259" s="92"/>
    </row>
    <row r="260" spans="1:4" ht="14.25" x14ac:dyDescent="0.45">
      <c r="A260" s="54"/>
      <c r="C260" s="92"/>
      <c r="D260" s="92"/>
    </row>
    <row r="261" spans="1:4" ht="14.25" x14ac:dyDescent="0.45">
      <c r="A261" s="54"/>
      <c r="C261" s="92"/>
      <c r="D261" s="92"/>
    </row>
    <row r="262" spans="1:4" ht="14.25" x14ac:dyDescent="0.45">
      <c r="A262" s="54"/>
      <c r="C262" s="92"/>
      <c r="D262" s="92"/>
    </row>
    <row r="263" spans="1:4" ht="14.25" x14ac:dyDescent="0.45">
      <c r="A263" s="54"/>
      <c r="C263" s="92"/>
      <c r="D263" s="92"/>
    </row>
    <row r="264" spans="1:4" ht="14.25" x14ac:dyDescent="0.45">
      <c r="A264" s="54"/>
      <c r="C264" s="92"/>
      <c r="D264" s="92"/>
    </row>
    <row r="265" spans="1:4" ht="14.25" x14ac:dyDescent="0.45">
      <c r="A265" s="54"/>
      <c r="C265" s="92"/>
      <c r="D265" s="92"/>
    </row>
    <row r="266" spans="1:4" ht="14.25" x14ac:dyDescent="0.45">
      <c r="A266" s="54"/>
      <c r="C266" s="92"/>
      <c r="D266" s="92"/>
    </row>
    <row r="267" spans="1:4" ht="14.25" x14ac:dyDescent="0.45">
      <c r="A267" s="54"/>
      <c r="C267" s="92"/>
      <c r="D267" s="92"/>
    </row>
    <row r="268" spans="1:4" ht="14.25" x14ac:dyDescent="0.45">
      <c r="A268" s="54"/>
      <c r="C268" s="92"/>
      <c r="D268" s="92"/>
    </row>
    <row r="269" spans="1:4" ht="14.25" x14ac:dyDescent="0.45">
      <c r="A269" s="54"/>
      <c r="C269" s="92"/>
      <c r="D269" s="92"/>
    </row>
    <row r="270" spans="1:4" ht="14.25" x14ac:dyDescent="0.45">
      <c r="A270" s="54"/>
      <c r="C270" s="92"/>
      <c r="D270" s="92"/>
    </row>
    <row r="271" spans="1:4" ht="14.25" x14ac:dyDescent="0.45">
      <c r="A271" s="54"/>
      <c r="C271" s="92"/>
      <c r="D271" s="92"/>
    </row>
    <row r="272" spans="1:4" ht="14.25" x14ac:dyDescent="0.45">
      <c r="A272" s="54"/>
      <c r="C272" s="92"/>
      <c r="D272" s="92"/>
    </row>
    <row r="273" spans="1:4" ht="14.25" x14ac:dyDescent="0.45">
      <c r="A273" s="54"/>
      <c r="C273" s="92"/>
      <c r="D273" s="92"/>
    </row>
    <row r="274" spans="1:4" ht="14.25" x14ac:dyDescent="0.45">
      <c r="A274" s="54"/>
      <c r="C274" s="92"/>
      <c r="D274" s="92"/>
    </row>
    <row r="275" spans="1:4" ht="14.25" x14ac:dyDescent="0.45">
      <c r="A275" s="54"/>
      <c r="C275" s="92"/>
      <c r="D275" s="92"/>
    </row>
    <row r="276" spans="1:4" ht="14.25" x14ac:dyDescent="0.45">
      <c r="A276" s="54"/>
      <c r="C276" s="92"/>
      <c r="D276" s="92"/>
    </row>
    <row r="277" spans="1:4" ht="14.25" x14ac:dyDescent="0.45">
      <c r="A277" s="54"/>
      <c r="C277" s="92"/>
      <c r="D277" s="92"/>
    </row>
    <row r="278" spans="1:4" ht="14.25" x14ac:dyDescent="0.45">
      <c r="A278" s="54"/>
      <c r="C278" s="92"/>
      <c r="D278" s="92"/>
    </row>
    <row r="279" spans="1:4" ht="14.25" x14ac:dyDescent="0.45">
      <c r="A279" s="54"/>
      <c r="C279" s="92"/>
      <c r="D279" s="92"/>
    </row>
    <row r="280" spans="1:4" ht="14.25" x14ac:dyDescent="0.45">
      <c r="A280" s="54"/>
      <c r="C280" s="92"/>
      <c r="D280" s="92"/>
    </row>
    <row r="281" spans="1:4" ht="14.25" x14ac:dyDescent="0.45">
      <c r="A281" s="54"/>
      <c r="C281" s="92"/>
      <c r="D281" s="92"/>
    </row>
    <row r="282" spans="1:4" ht="14.25" x14ac:dyDescent="0.45">
      <c r="A282" s="54"/>
      <c r="C282" s="92"/>
      <c r="D282" s="92"/>
    </row>
    <row r="283" spans="1:4" ht="14.25" x14ac:dyDescent="0.45">
      <c r="A283" s="54"/>
      <c r="C283" s="92"/>
      <c r="D283" s="92"/>
    </row>
    <row r="284" spans="1:4" ht="14.25" x14ac:dyDescent="0.45">
      <c r="A284" s="54"/>
      <c r="C284" s="92"/>
      <c r="D284" s="92"/>
    </row>
    <row r="285" spans="1:4" ht="14.25" x14ac:dyDescent="0.45">
      <c r="A285" s="54"/>
      <c r="C285" s="92"/>
      <c r="D285" s="92"/>
    </row>
    <row r="286" spans="1:4" ht="14.25" x14ac:dyDescent="0.45">
      <c r="A286" s="54"/>
      <c r="C286" s="92"/>
      <c r="D286" s="92"/>
    </row>
    <row r="287" spans="1:4" ht="14.25" x14ac:dyDescent="0.45">
      <c r="A287" s="54"/>
      <c r="C287" s="92"/>
      <c r="D287" s="92"/>
    </row>
    <row r="288" spans="1:4" ht="14.25" x14ac:dyDescent="0.45">
      <c r="A288" s="54"/>
      <c r="C288" s="92"/>
      <c r="D288" s="92"/>
    </row>
    <row r="289" spans="1:4" ht="14.25" x14ac:dyDescent="0.45">
      <c r="A289" s="54"/>
      <c r="C289" s="92"/>
      <c r="D289" s="92"/>
    </row>
    <row r="290" spans="1:4" ht="14.25" x14ac:dyDescent="0.45">
      <c r="A290" s="54"/>
      <c r="C290" s="92"/>
      <c r="D290" s="92"/>
    </row>
    <row r="291" spans="1:4" ht="14.25" x14ac:dyDescent="0.45">
      <c r="A291" s="54"/>
      <c r="C291" s="92"/>
      <c r="D291" s="92"/>
    </row>
    <row r="292" spans="1:4" ht="14.25" x14ac:dyDescent="0.45">
      <c r="A292" s="54"/>
      <c r="C292" s="92"/>
      <c r="D292" s="92"/>
    </row>
    <row r="293" spans="1:4" ht="14.25" x14ac:dyDescent="0.45">
      <c r="A293" s="54"/>
      <c r="C293" s="92"/>
      <c r="D293" s="92"/>
    </row>
    <row r="294" spans="1:4" ht="14.25" x14ac:dyDescent="0.45">
      <c r="A294" s="54"/>
      <c r="C294" s="92"/>
      <c r="D294" s="92"/>
    </row>
    <row r="295" spans="1:4" ht="14.25" x14ac:dyDescent="0.45">
      <c r="A295" s="54"/>
      <c r="C295" s="92"/>
      <c r="D295" s="92"/>
    </row>
    <row r="296" spans="1:4" ht="14.25" x14ac:dyDescent="0.45">
      <c r="A296" s="54"/>
      <c r="C296" s="92"/>
      <c r="D296" s="92"/>
    </row>
    <row r="297" spans="1:4" ht="14.25" x14ac:dyDescent="0.45">
      <c r="A297" s="54"/>
      <c r="C297" s="92"/>
      <c r="D297" s="92"/>
    </row>
    <row r="298" spans="1:4" ht="14.25" x14ac:dyDescent="0.45">
      <c r="A298" s="54"/>
      <c r="C298" s="92"/>
      <c r="D298" s="92"/>
    </row>
    <row r="299" spans="1:4" ht="14.25" x14ac:dyDescent="0.45">
      <c r="A299" s="54"/>
      <c r="C299" s="92"/>
      <c r="D299" s="92"/>
    </row>
    <row r="300" spans="1:4" ht="14.25" x14ac:dyDescent="0.45">
      <c r="A300" s="54"/>
      <c r="C300" s="92"/>
      <c r="D300" s="92"/>
    </row>
    <row r="301" spans="1:4" ht="14.25" x14ac:dyDescent="0.45">
      <c r="A301" s="54"/>
      <c r="C301" s="92"/>
      <c r="D301" s="92"/>
    </row>
    <row r="302" spans="1:4" ht="14.25" x14ac:dyDescent="0.45">
      <c r="A302" s="54"/>
      <c r="C302" s="92"/>
      <c r="D302" s="92"/>
    </row>
    <row r="303" spans="1:4" ht="14.25" x14ac:dyDescent="0.45">
      <c r="A303" s="54"/>
      <c r="C303" s="92"/>
      <c r="D303" s="92"/>
    </row>
    <row r="304" spans="1:4" ht="14.25" x14ac:dyDescent="0.45">
      <c r="A304" s="54"/>
      <c r="C304" s="92"/>
      <c r="D304" s="92"/>
    </row>
    <row r="305" spans="1:4" ht="14.25" x14ac:dyDescent="0.45">
      <c r="A305" s="54"/>
      <c r="C305" s="92"/>
      <c r="D305" s="92"/>
    </row>
    <row r="306" spans="1:4" ht="14.25" x14ac:dyDescent="0.45">
      <c r="A306" s="54"/>
      <c r="C306" s="92"/>
      <c r="D306" s="92"/>
    </row>
    <row r="307" spans="1:4" ht="14.25" x14ac:dyDescent="0.45">
      <c r="A307" s="54"/>
      <c r="C307" s="92"/>
      <c r="D307" s="92"/>
    </row>
    <row r="308" spans="1:4" ht="14.25" x14ac:dyDescent="0.45">
      <c r="A308" s="54"/>
      <c r="C308" s="92"/>
      <c r="D308" s="92"/>
    </row>
    <row r="309" spans="1:4" ht="14.25" x14ac:dyDescent="0.45">
      <c r="A309" s="54"/>
      <c r="C309" s="92"/>
      <c r="D309" s="92"/>
    </row>
    <row r="310" spans="1:4" ht="14.25" x14ac:dyDescent="0.45">
      <c r="A310" s="54"/>
      <c r="C310" s="92"/>
      <c r="D310" s="92"/>
    </row>
    <row r="311" spans="1:4" ht="14.25" x14ac:dyDescent="0.45">
      <c r="A311" s="54"/>
      <c r="C311" s="92"/>
      <c r="D311" s="92"/>
    </row>
    <row r="312" spans="1:4" ht="14.25" x14ac:dyDescent="0.45">
      <c r="A312" s="54"/>
      <c r="C312" s="92"/>
      <c r="D312" s="92"/>
    </row>
    <row r="313" spans="1:4" ht="14.25" x14ac:dyDescent="0.45">
      <c r="A313" s="54"/>
      <c r="C313" s="92"/>
      <c r="D313" s="92"/>
    </row>
    <row r="314" spans="1:4" ht="14.25" x14ac:dyDescent="0.45">
      <c r="A314" s="54"/>
      <c r="C314" s="92"/>
      <c r="D314" s="92"/>
    </row>
    <row r="315" spans="1:4" ht="14.25" x14ac:dyDescent="0.45">
      <c r="A315" s="54"/>
      <c r="C315" s="92"/>
      <c r="D315" s="92"/>
    </row>
    <row r="316" spans="1:4" ht="14.25" x14ac:dyDescent="0.45">
      <c r="A316" s="54"/>
      <c r="C316" s="92"/>
      <c r="D316" s="92"/>
    </row>
    <row r="317" spans="1:4" ht="14.25" x14ac:dyDescent="0.45">
      <c r="A317" s="54"/>
      <c r="C317" s="92"/>
      <c r="D317" s="92"/>
    </row>
    <row r="318" spans="1:4" ht="14.25" x14ac:dyDescent="0.45">
      <c r="A318" s="54"/>
      <c r="C318" s="92"/>
      <c r="D318" s="92"/>
    </row>
    <row r="319" spans="1:4" ht="14.25" x14ac:dyDescent="0.45">
      <c r="A319" s="54"/>
      <c r="C319" s="92"/>
      <c r="D319" s="92"/>
    </row>
    <row r="320" spans="1:4" ht="14.25" x14ac:dyDescent="0.45">
      <c r="A320" s="54"/>
      <c r="C320" s="92"/>
      <c r="D320" s="92"/>
    </row>
    <row r="321" spans="1:4" ht="14.25" x14ac:dyDescent="0.45">
      <c r="A321" s="54"/>
      <c r="C321" s="92"/>
      <c r="D321" s="92"/>
    </row>
    <row r="322" spans="1:4" ht="14.25" x14ac:dyDescent="0.45">
      <c r="A322" s="54"/>
      <c r="C322" s="92"/>
      <c r="D322" s="92"/>
    </row>
    <row r="323" spans="1:4" ht="14.25" x14ac:dyDescent="0.45">
      <c r="A323" s="54"/>
      <c r="C323" s="92"/>
      <c r="D323" s="92"/>
    </row>
    <row r="324" spans="1:4" ht="14.25" x14ac:dyDescent="0.45">
      <c r="A324" s="54"/>
      <c r="C324" s="92"/>
      <c r="D324" s="92"/>
    </row>
    <row r="325" spans="1:4" ht="14.25" x14ac:dyDescent="0.45">
      <c r="A325" s="54"/>
      <c r="C325" s="92"/>
      <c r="D325" s="92"/>
    </row>
    <row r="326" spans="1:4" ht="14.25" x14ac:dyDescent="0.45">
      <c r="A326" s="54"/>
      <c r="C326" s="92"/>
      <c r="D326" s="92"/>
    </row>
    <row r="327" spans="1:4" ht="14.25" x14ac:dyDescent="0.45">
      <c r="A327" s="54"/>
      <c r="C327" s="92"/>
      <c r="D327" s="92"/>
    </row>
    <row r="328" spans="1:4" ht="14.25" x14ac:dyDescent="0.45">
      <c r="A328" s="54"/>
      <c r="C328" s="92"/>
      <c r="D328" s="92"/>
    </row>
    <row r="329" spans="1:4" ht="14.25" x14ac:dyDescent="0.45">
      <c r="A329" s="54"/>
      <c r="C329" s="92"/>
      <c r="D329" s="92"/>
    </row>
    <row r="330" spans="1:4" ht="14.25" x14ac:dyDescent="0.45">
      <c r="A330" s="54"/>
      <c r="C330" s="92"/>
      <c r="D330" s="92"/>
    </row>
    <row r="331" spans="1:4" ht="14.25" x14ac:dyDescent="0.45">
      <c r="A331" s="54"/>
      <c r="C331" s="92"/>
      <c r="D331" s="92"/>
    </row>
    <row r="332" spans="1:4" ht="14.25" x14ac:dyDescent="0.45">
      <c r="A332" s="54"/>
      <c r="C332" s="92"/>
      <c r="D332" s="92"/>
    </row>
    <row r="333" spans="1:4" ht="14.25" x14ac:dyDescent="0.45">
      <c r="A333" s="54"/>
      <c r="C333" s="92"/>
      <c r="D333" s="92"/>
    </row>
    <row r="334" spans="1:4" ht="14.25" x14ac:dyDescent="0.45">
      <c r="A334" s="54"/>
      <c r="C334" s="92"/>
      <c r="D334" s="92"/>
    </row>
    <row r="335" spans="1:4" ht="14.25" x14ac:dyDescent="0.45">
      <c r="A335" s="54"/>
      <c r="C335" s="92"/>
      <c r="D335" s="92"/>
    </row>
    <row r="336" spans="1:4" ht="14.25" x14ac:dyDescent="0.45">
      <c r="A336" s="54"/>
      <c r="C336" s="92"/>
      <c r="D336" s="92"/>
    </row>
    <row r="337" spans="1:4" ht="14.25" x14ac:dyDescent="0.45">
      <c r="A337" s="54"/>
      <c r="C337" s="92"/>
      <c r="D337" s="92"/>
    </row>
    <row r="338" spans="1:4" ht="14.25" x14ac:dyDescent="0.45">
      <c r="A338" s="54"/>
      <c r="C338" s="92"/>
      <c r="D338" s="92"/>
    </row>
    <row r="339" spans="1:4" ht="14.25" x14ac:dyDescent="0.45">
      <c r="A339" s="54"/>
      <c r="C339" s="92"/>
      <c r="D339" s="92"/>
    </row>
    <row r="340" spans="1:4" ht="14.25" x14ac:dyDescent="0.45">
      <c r="A340" s="54"/>
      <c r="C340" s="92"/>
      <c r="D340" s="92"/>
    </row>
    <row r="341" spans="1:4" ht="14.25" x14ac:dyDescent="0.45">
      <c r="A341" s="54"/>
      <c r="C341" s="92"/>
      <c r="D341" s="92"/>
    </row>
    <row r="342" spans="1:4" ht="14.25" x14ac:dyDescent="0.45">
      <c r="A342" s="54"/>
      <c r="C342" s="92"/>
      <c r="D342" s="92"/>
    </row>
    <row r="343" spans="1:4" ht="14.25" x14ac:dyDescent="0.45">
      <c r="A343" s="54"/>
      <c r="C343" s="92"/>
      <c r="D343" s="92"/>
    </row>
    <row r="344" spans="1:4" ht="14.25" x14ac:dyDescent="0.45">
      <c r="A344" s="54"/>
      <c r="C344" s="92"/>
      <c r="D344" s="92"/>
    </row>
    <row r="345" spans="1:4" ht="14.25" x14ac:dyDescent="0.45">
      <c r="A345" s="54"/>
      <c r="C345" s="92"/>
      <c r="D345" s="92"/>
    </row>
    <row r="346" spans="1:4" ht="14.25" x14ac:dyDescent="0.45">
      <c r="A346" s="54"/>
      <c r="C346" s="92"/>
      <c r="D346" s="92"/>
    </row>
    <row r="347" spans="1:4" ht="14.25" x14ac:dyDescent="0.45">
      <c r="A347" s="54"/>
      <c r="C347" s="92"/>
      <c r="D347" s="92"/>
    </row>
    <row r="348" spans="1:4" ht="14.25" x14ac:dyDescent="0.45">
      <c r="A348" s="54"/>
      <c r="C348" s="92"/>
      <c r="D348" s="92"/>
    </row>
    <row r="349" spans="1:4" ht="14.25" x14ac:dyDescent="0.45">
      <c r="A349" s="54"/>
      <c r="C349" s="92"/>
      <c r="D349" s="92"/>
    </row>
    <row r="350" spans="1:4" ht="14.25" x14ac:dyDescent="0.45">
      <c r="A350" s="54"/>
      <c r="C350" s="92"/>
      <c r="D350" s="92"/>
    </row>
    <row r="351" spans="1:4" ht="14.25" x14ac:dyDescent="0.45">
      <c r="A351" s="54"/>
      <c r="C351" s="92"/>
      <c r="D351" s="92"/>
    </row>
    <row r="352" spans="1:4" ht="14.25" x14ac:dyDescent="0.45">
      <c r="A352" s="54"/>
      <c r="C352" s="92"/>
      <c r="D352" s="92"/>
    </row>
    <row r="353" spans="1:4" ht="14.25" x14ac:dyDescent="0.45">
      <c r="A353" s="54"/>
      <c r="C353" s="92"/>
      <c r="D353" s="92"/>
    </row>
    <row r="354" spans="1:4" ht="14.25" x14ac:dyDescent="0.45">
      <c r="A354" s="54"/>
      <c r="C354" s="92"/>
      <c r="D354" s="92"/>
    </row>
    <row r="355" spans="1:4" ht="14.25" x14ac:dyDescent="0.45">
      <c r="A355" s="54"/>
      <c r="C355" s="92"/>
      <c r="D355" s="92"/>
    </row>
    <row r="356" spans="1:4" ht="14.25" x14ac:dyDescent="0.45">
      <c r="A356" s="54"/>
      <c r="C356" s="92"/>
      <c r="D356" s="92"/>
    </row>
    <row r="357" spans="1:4" ht="14.25" x14ac:dyDescent="0.45">
      <c r="A357" s="54"/>
      <c r="C357" s="92"/>
      <c r="D357" s="92"/>
    </row>
    <row r="358" spans="1:4" ht="14.25" x14ac:dyDescent="0.45">
      <c r="A358" s="54"/>
      <c r="C358" s="92"/>
      <c r="D358" s="92"/>
    </row>
    <row r="359" spans="1:4" ht="14.25" x14ac:dyDescent="0.45">
      <c r="A359" s="54"/>
      <c r="C359" s="92"/>
      <c r="D359" s="92"/>
    </row>
    <row r="360" spans="1:4" ht="14.25" x14ac:dyDescent="0.45">
      <c r="A360" s="54"/>
      <c r="C360" s="92"/>
      <c r="D360" s="92"/>
    </row>
    <row r="361" spans="1:4" ht="14.25" x14ac:dyDescent="0.45">
      <c r="A361" s="54"/>
      <c r="C361" s="92"/>
      <c r="D361" s="92"/>
    </row>
    <row r="362" spans="1:4" ht="14.25" x14ac:dyDescent="0.45">
      <c r="A362" s="54"/>
      <c r="C362" s="92"/>
      <c r="D362" s="92"/>
    </row>
    <row r="363" spans="1:4" ht="14.25" x14ac:dyDescent="0.45">
      <c r="A363" s="54"/>
      <c r="C363" s="92"/>
      <c r="D363" s="92"/>
    </row>
    <row r="364" spans="1:4" ht="14.25" x14ac:dyDescent="0.45">
      <c r="A364" s="54"/>
      <c r="C364" s="92"/>
      <c r="D364" s="92"/>
    </row>
    <row r="365" spans="1:4" ht="14.25" x14ac:dyDescent="0.45">
      <c r="A365" s="54"/>
      <c r="C365" s="92"/>
      <c r="D365" s="92"/>
    </row>
    <row r="366" spans="1:4" ht="14.25" x14ac:dyDescent="0.45">
      <c r="A366" s="54"/>
      <c r="C366" s="92"/>
      <c r="D366" s="92"/>
    </row>
    <row r="367" spans="1:4" ht="14.25" x14ac:dyDescent="0.45">
      <c r="A367" s="54"/>
      <c r="C367" s="92"/>
      <c r="D367" s="92"/>
    </row>
    <row r="368" spans="1:4" ht="14.25" x14ac:dyDescent="0.45">
      <c r="A368" s="54"/>
      <c r="C368" s="92"/>
      <c r="D368" s="92"/>
    </row>
    <row r="369" spans="1:4" ht="14.25" x14ac:dyDescent="0.45">
      <c r="A369" s="54"/>
      <c r="C369" s="92"/>
      <c r="D369" s="92"/>
    </row>
    <row r="370" spans="1:4" ht="14.25" x14ac:dyDescent="0.45">
      <c r="A370" s="54"/>
      <c r="C370" s="92"/>
      <c r="D370" s="92"/>
    </row>
    <row r="371" spans="1:4" ht="14.25" x14ac:dyDescent="0.45">
      <c r="A371" s="54"/>
      <c r="C371" s="92"/>
      <c r="D371" s="92"/>
    </row>
    <row r="372" spans="1:4" ht="14.25" x14ac:dyDescent="0.45">
      <c r="A372" s="54"/>
      <c r="C372" s="92"/>
      <c r="D372" s="92"/>
    </row>
    <row r="373" spans="1:4" ht="14.25" x14ac:dyDescent="0.45">
      <c r="A373" s="54"/>
      <c r="C373" s="92"/>
      <c r="D373" s="92"/>
    </row>
    <row r="374" spans="1:4" ht="14.25" x14ac:dyDescent="0.45">
      <c r="A374" s="54"/>
      <c r="C374" s="92"/>
      <c r="D374" s="92"/>
    </row>
    <row r="375" spans="1:4" ht="14.25" x14ac:dyDescent="0.45">
      <c r="A375" s="54"/>
      <c r="C375" s="92"/>
      <c r="D375" s="92"/>
    </row>
    <row r="376" spans="1:4" ht="14.25" x14ac:dyDescent="0.45">
      <c r="A376" s="54"/>
      <c r="C376" s="92"/>
      <c r="D376" s="92"/>
    </row>
    <row r="377" spans="1:4" ht="14.25" x14ac:dyDescent="0.45">
      <c r="A377" s="54"/>
      <c r="C377" s="92"/>
      <c r="D377" s="92"/>
    </row>
    <row r="378" spans="1:4" ht="14.25" x14ac:dyDescent="0.45">
      <c r="A378" s="54"/>
      <c r="C378" s="92"/>
      <c r="D378" s="92"/>
    </row>
    <row r="379" spans="1:4" ht="14.25" x14ac:dyDescent="0.45">
      <c r="A379" s="54"/>
      <c r="C379" s="92"/>
      <c r="D379" s="92"/>
    </row>
    <row r="380" spans="1:4" ht="14.25" x14ac:dyDescent="0.45">
      <c r="A380" s="54"/>
      <c r="C380" s="92"/>
      <c r="D380" s="92"/>
    </row>
    <row r="381" spans="1:4" ht="14.25" x14ac:dyDescent="0.45">
      <c r="A381" s="54"/>
      <c r="C381" s="92"/>
      <c r="D381" s="92"/>
    </row>
    <row r="382" spans="1:4" ht="14.25" x14ac:dyDescent="0.45">
      <c r="A382" s="54"/>
      <c r="C382" s="92"/>
      <c r="D382" s="92"/>
    </row>
    <row r="383" spans="1:4" ht="14.25" x14ac:dyDescent="0.45">
      <c r="A383" s="54"/>
      <c r="C383" s="92"/>
      <c r="D383" s="92"/>
    </row>
    <row r="384" spans="1:4" ht="14.25" x14ac:dyDescent="0.45">
      <c r="A384" s="54"/>
      <c r="C384" s="92"/>
      <c r="D384" s="92"/>
    </row>
    <row r="385" spans="1:4" ht="14.25" x14ac:dyDescent="0.45">
      <c r="A385" s="54"/>
      <c r="C385" s="92"/>
      <c r="D385" s="92"/>
    </row>
    <row r="386" spans="1:4" ht="14.25" x14ac:dyDescent="0.45">
      <c r="A386" s="54"/>
      <c r="C386" s="92"/>
      <c r="D386" s="92"/>
    </row>
    <row r="387" spans="1:4" ht="14.25" x14ac:dyDescent="0.45">
      <c r="A387" s="54"/>
      <c r="C387" s="92"/>
      <c r="D387" s="92"/>
    </row>
    <row r="388" spans="1:4" ht="14.25" x14ac:dyDescent="0.45">
      <c r="A388" s="54"/>
      <c r="C388" s="92"/>
      <c r="D388" s="92"/>
    </row>
    <row r="389" spans="1:4" ht="14.25" x14ac:dyDescent="0.45">
      <c r="A389" s="54"/>
      <c r="C389" s="92"/>
      <c r="D389" s="92"/>
    </row>
    <row r="390" spans="1:4" ht="14.25" x14ac:dyDescent="0.45">
      <c r="A390" s="54"/>
      <c r="C390" s="92"/>
      <c r="D390" s="92"/>
    </row>
    <row r="391" spans="1:4" ht="14.25" x14ac:dyDescent="0.45">
      <c r="A391" s="54"/>
      <c r="C391" s="92"/>
      <c r="D391" s="92"/>
    </row>
    <row r="392" spans="1:4" ht="14.25" x14ac:dyDescent="0.45">
      <c r="A392" s="54"/>
      <c r="C392" s="92"/>
      <c r="D392" s="92"/>
    </row>
    <row r="393" spans="1:4" ht="14.25" x14ac:dyDescent="0.45">
      <c r="A393" s="54"/>
      <c r="C393" s="92"/>
      <c r="D393" s="92"/>
    </row>
    <row r="394" spans="1:4" ht="14.25" x14ac:dyDescent="0.45">
      <c r="A394" s="54"/>
      <c r="C394" s="92"/>
      <c r="D394" s="92"/>
    </row>
    <row r="395" spans="1:4" ht="14.25" x14ac:dyDescent="0.45">
      <c r="A395" s="54"/>
      <c r="C395" s="92"/>
      <c r="D395" s="92"/>
    </row>
    <row r="396" spans="1:4" ht="14.25" x14ac:dyDescent="0.45">
      <c r="A396" s="54"/>
      <c r="C396" s="92"/>
      <c r="D396" s="92"/>
    </row>
    <row r="397" spans="1:4" ht="14.25" x14ac:dyDescent="0.45">
      <c r="A397" s="54"/>
      <c r="C397" s="92"/>
      <c r="D397" s="92"/>
    </row>
    <row r="398" spans="1:4" ht="14.25" x14ac:dyDescent="0.45">
      <c r="A398" s="54"/>
      <c r="C398" s="92"/>
      <c r="D398" s="92"/>
    </row>
    <row r="399" spans="1:4" ht="14.25" x14ac:dyDescent="0.45">
      <c r="A399" s="54"/>
      <c r="C399" s="92"/>
      <c r="D399" s="92"/>
    </row>
    <row r="400" spans="1:4" ht="14.25" x14ac:dyDescent="0.45">
      <c r="A400" s="54"/>
      <c r="C400" s="92"/>
      <c r="D400" s="92"/>
    </row>
    <row r="401" spans="1:4" ht="14.25" x14ac:dyDescent="0.45">
      <c r="A401" s="54"/>
      <c r="C401" s="92"/>
      <c r="D401" s="92"/>
    </row>
    <row r="402" spans="1:4" ht="14.25" x14ac:dyDescent="0.45">
      <c r="A402" s="54"/>
      <c r="C402" s="92"/>
      <c r="D402" s="92"/>
    </row>
    <row r="403" spans="1:4" ht="14.25" x14ac:dyDescent="0.45">
      <c r="A403" s="54"/>
      <c r="C403" s="92"/>
      <c r="D403" s="92"/>
    </row>
    <row r="404" spans="1:4" ht="14.25" x14ac:dyDescent="0.45">
      <c r="A404" s="54"/>
      <c r="C404" s="92"/>
      <c r="D404" s="92"/>
    </row>
    <row r="405" spans="1:4" ht="14.25" x14ac:dyDescent="0.45">
      <c r="A405" s="54"/>
      <c r="C405" s="92"/>
      <c r="D405" s="92"/>
    </row>
    <row r="406" spans="1:4" ht="14.25" x14ac:dyDescent="0.45">
      <c r="A406" s="54"/>
      <c r="C406" s="92"/>
      <c r="D406" s="92"/>
    </row>
    <row r="407" spans="1:4" ht="14.25" x14ac:dyDescent="0.45">
      <c r="A407" s="54"/>
      <c r="C407" s="92"/>
      <c r="D407" s="92"/>
    </row>
    <row r="408" spans="1:4" ht="14.25" x14ac:dyDescent="0.45">
      <c r="A408" s="54"/>
      <c r="C408" s="92"/>
      <c r="D408" s="92"/>
    </row>
    <row r="409" spans="1:4" ht="14.25" x14ac:dyDescent="0.45">
      <c r="A409" s="54"/>
      <c r="C409" s="92"/>
      <c r="D409" s="92"/>
    </row>
    <row r="410" spans="1:4" ht="14.25" x14ac:dyDescent="0.45">
      <c r="A410" s="54"/>
      <c r="C410" s="92"/>
      <c r="D410" s="92"/>
    </row>
    <row r="411" spans="1:4" ht="14.25" x14ac:dyDescent="0.45">
      <c r="A411" s="54"/>
      <c r="C411" s="92"/>
      <c r="D411" s="92"/>
    </row>
    <row r="412" spans="1:4" ht="14.25" x14ac:dyDescent="0.45">
      <c r="A412" s="54"/>
      <c r="C412" s="92"/>
      <c r="D412" s="92"/>
    </row>
    <row r="413" spans="1:4" ht="14.25" x14ac:dyDescent="0.45">
      <c r="A413" s="54"/>
      <c r="C413" s="92"/>
      <c r="D413" s="92"/>
    </row>
    <row r="414" spans="1:4" ht="14.25" x14ac:dyDescent="0.45">
      <c r="A414" s="54"/>
      <c r="C414" s="92"/>
      <c r="D414" s="92"/>
    </row>
    <row r="415" spans="1:4" ht="14.25" x14ac:dyDescent="0.45">
      <c r="A415" s="54"/>
      <c r="C415" s="92"/>
      <c r="D415" s="92"/>
    </row>
    <row r="416" spans="1:4" ht="14.25" x14ac:dyDescent="0.45">
      <c r="A416" s="54"/>
      <c r="C416" s="92"/>
      <c r="D416" s="92"/>
    </row>
    <row r="417" spans="1:4" ht="14.25" x14ac:dyDescent="0.45">
      <c r="A417" s="54"/>
      <c r="C417" s="92"/>
      <c r="D417" s="92"/>
    </row>
    <row r="418" spans="1:4" ht="14.25" x14ac:dyDescent="0.45">
      <c r="A418" s="54"/>
      <c r="C418" s="92"/>
      <c r="D418" s="92"/>
    </row>
    <row r="419" spans="1:4" ht="14.25" x14ac:dyDescent="0.45">
      <c r="A419" s="54"/>
      <c r="C419" s="92"/>
      <c r="D419" s="92"/>
    </row>
    <row r="420" spans="1:4" ht="14.25" x14ac:dyDescent="0.45">
      <c r="A420" s="54"/>
      <c r="C420" s="92"/>
      <c r="D420" s="92"/>
    </row>
    <row r="421" spans="1:4" ht="14.25" x14ac:dyDescent="0.45">
      <c r="A421" s="54"/>
      <c r="C421" s="92"/>
      <c r="D421" s="92"/>
    </row>
    <row r="422" spans="1:4" ht="14.25" x14ac:dyDescent="0.45">
      <c r="A422" s="54"/>
      <c r="C422" s="92"/>
      <c r="D422" s="92"/>
    </row>
    <row r="423" spans="1:4" ht="14.25" x14ac:dyDescent="0.45">
      <c r="A423" s="54"/>
      <c r="C423" s="92"/>
      <c r="D423" s="92"/>
    </row>
    <row r="424" spans="1:4" ht="14.25" x14ac:dyDescent="0.45">
      <c r="A424" s="54"/>
      <c r="C424" s="92"/>
      <c r="D424" s="92"/>
    </row>
    <row r="425" spans="1:4" ht="14.25" x14ac:dyDescent="0.45">
      <c r="A425" s="54"/>
      <c r="C425" s="92"/>
      <c r="D425" s="92"/>
    </row>
    <row r="426" spans="1:4" ht="14.25" x14ac:dyDescent="0.45">
      <c r="A426" s="54"/>
      <c r="C426" s="92"/>
      <c r="D426" s="92"/>
    </row>
    <row r="427" spans="1:4" ht="14.25" x14ac:dyDescent="0.45">
      <c r="A427" s="54"/>
      <c r="C427" s="92"/>
      <c r="D427" s="92"/>
    </row>
    <row r="428" spans="1:4" ht="14.25" x14ac:dyDescent="0.45">
      <c r="A428" s="54"/>
      <c r="C428" s="92"/>
      <c r="D428" s="92"/>
    </row>
    <row r="429" spans="1:4" ht="14.25" x14ac:dyDescent="0.45">
      <c r="A429" s="54"/>
      <c r="C429" s="92"/>
      <c r="D429" s="92"/>
    </row>
    <row r="430" spans="1:4" ht="14.25" x14ac:dyDescent="0.45">
      <c r="A430" s="54"/>
      <c r="C430" s="92"/>
      <c r="D430" s="92"/>
    </row>
    <row r="431" spans="1:4" ht="14.25" x14ac:dyDescent="0.45">
      <c r="A431" s="54"/>
      <c r="C431" s="92"/>
      <c r="D431" s="92"/>
    </row>
    <row r="432" spans="1:4" ht="14.25" x14ac:dyDescent="0.45">
      <c r="A432" s="54"/>
      <c r="C432" s="92"/>
      <c r="D432" s="92"/>
    </row>
    <row r="433" spans="1:4" ht="14.25" x14ac:dyDescent="0.45">
      <c r="A433" s="54"/>
      <c r="C433" s="92"/>
      <c r="D433" s="92"/>
    </row>
    <row r="434" spans="1:4" ht="14.25" x14ac:dyDescent="0.45">
      <c r="A434" s="54"/>
      <c r="C434" s="92"/>
      <c r="D434" s="92"/>
    </row>
    <row r="435" spans="1:4" ht="14.25" x14ac:dyDescent="0.45">
      <c r="A435" s="54"/>
      <c r="C435" s="92"/>
      <c r="D435" s="92"/>
    </row>
    <row r="436" spans="1:4" ht="14.25" x14ac:dyDescent="0.45">
      <c r="A436" s="54"/>
      <c r="C436" s="92"/>
      <c r="D436" s="92"/>
    </row>
    <row r="437" spans="1:4" ht="14.25" x14ac:dyDescent="0.45">
      <c r="A437" s="54"/>
      <c r="C437" s="92"/>
      <c r="D437" s="92"/>
    </row>
    <row r="438" spans="1:4" ht="14.25" x14ac:dyDescent="0.45">
      <c r="A438" s="54"/>
      <c r="C438" s="92"/>
      <c r="D438" s="92"/>
    </row>
    <row r="439" spans="1:4" ht="14.25" x14ac:dyDescent="0.45">
      <c r="A439" s="54"/>
      <c r="C439" s="92"/>
      <c r="D439" s="92"/>
    </row>
    <row r="440" spans="1:4" ht="14.25" x14ac:dyDescent="0.45">
      <c r="A440" s="54"/>
      <c r="C440" s="92"/>
      <c r="D440" s="92"/>
    </row>
    <row r="441" spans="1:4" ht="14.25" x14ac:dyDescent="0.45">
      <c r="A441" s="54"/>
      <c r="C441" s="92"/>
      <c r="D441" s="92"/>
    </row>
    <row r="442" spans="1:4" ht="14.25" x14ac:dyDescent="0.45">
      <c r="A442" s="54"/>
      <c r="C442" s="92"/>
      <c r="D442" s="92"/>
    </row>
    <row r="443" spans="1:4" ht="14.25" x14ac:dyDescent="0.45">
      <c r="A443" s="54"/>
      <c r="C443" s="92"/>
      <c r="D443" s="92"/>
    </row>
    <row r="444" spans="1:4" ht="14.25" x14ac:dyDescent="0.45">
      <c r="A444" s="54"/>
      <c r="C444" s="92"/>
      <c r="D444" s="92"/>
    </row>
    <row r="445" spans="1:4" ht="14.25" x14ac:dyDescent="0.45">
      <c r="A445" s="54"/>
      <c r="C445" s="92"/>
      <c r="D445" s="92"/>
    </row>
    <row r="446" spans="1:4" ht="14.25" x14ac:dyDescent="0.45">
      <c r="A446" s="54"/>
      <c r="C446" s="92"/>
      <c r="D446" s="92"/>
    </row>
    <row r="447" spans="1:4" ht="14.25" x14ac:dyDescent="0.45">
      <c r="A447" s="54"/>
      <c r="C447" s="92"/>
      <c r="D447" s="92"/>
    </row>
    <row r="448" spans="1:4" ht="14.25" x14ac:dyDescent="0.45">
      <c r="A448" s="54"/>
      <c r="C448" s="92"/>
      <c r="D448" s="92"/>
    </row>
    <row r="449" spans="1:4" ht="14.25" x14ac:dyDescent="0.45">
      <c r="A449" s="54"/>
      <c r="C449" s="92"/>
      <c r="D449" s="92"/>
    </row>
    <row r="450" spans="1:4" ht="14.25" x14ac:dyDescent="0.45">
      <c r="A450" s="54"/>
      <c r="C450" s="92"/>
      <c r="D450" s="92"/>
    </row>
    <row r="451" spans="1:4" ht="14.25" x14ac:dyDescent="0.45">
      <c r="A451" s="54"/>
      <c r="C451" s="92"/>
      <c r="D451" s="92"/>
    </row>
    <row r="452" spans="1:4" ht="14.25" x14ac:dyDescent="0.45">
      <c r="A452" s="54"/>
      <c r="C452" s="92"/>
      <c r="D452" s="92"/>
    </row>
    <row r="453" spans="1:4" ht="14.25" x14ac:dyDescent="0.45">
      <c r="A453" s="54"/>
      <c r="C453" s="92"/>
      <c r="D453" s="92"/>
    </row>
    <row r="454" spans="1:4" ht="14.25" x14ac:dyDescent="0.45">
      <c r="A454" s="54"/>
      <c r="C454" s="92"/>
      <c r="D454" s="92"/>
    </row>
    <row r="455" spans="1:4" ht="14.25" x14ac:dyDescent="0.45">
      <c r="A455" s="54"/>
      <c r="C455" s="92"/>
      <c r="D455" s="92"/>
    </row>
    <row r="456" spans="1:4" ht="14.25" x14ac:dyDescent="0.45">
      <c r="A456" s="54"/>
      <c r="C456" s="92"/>
      <c r="D456" s="92"/>
    </row>
    <row r="457" spans="1:4" ht="14.25" x14ac:dyDescent="0.45">
      <c r="A457" s="54"/>
      <c r="C457" s="92"/>
      <c r="D457" s="92"/>
    </row>
    <row r="458" spans="1:4" ht="14.25" x14ac:dyDescent="0.45">
      <c r="A458" s="54"/>
      <c r="C458" s="92"/>
      <c r="D458" s="92"/>
    </row>
    <row r="459" spans="1:4" ht="14.25" x14ac:dyDescent="0.45">
      <c r="A459" s="54"/>
      <c r="C459" s="92"/>
      <c r="D459" s="92"/>
    </row>
    <row r="460" spans="1:4" ht="14.25" x14ac:dyDescent="0.45">
      <c r="A460" s="54"/>
      <c r="C460" s="92"/>
      <c r="D460" s="92"/>
    </row>
    <row r="461" spans="1:4" ht="14.25" x14ac:dyDescent="0.45">
      <c r="A461" s="54"/>
      <c r="C461" s="92"/>
      <c r="D461" s="92"/>
    </row>
    <row r="462" spans="1:4" ht="14.25" x14ac:dyDescent="0.45">
      <c r="A462" s="54"/>
      <c r="C462" s="92"/>
      <c r="D462" s="92"/>
    </row>
    <row r="463" spans="1:4" ht="14.25" x14ac:dyDescent="0.45">
      <c r="A463" s="54"/>
      <c r="C463" s="92"/>
      <c r="D463" s="92"/>
    </row>
    <row r="464" spans="1:4" ht="14.25" x14ac:dyDescent="0.45">
      <c r="A464" s="54"/>
      <c r="C464" s="92"/>
      <c r="D464" s="92"/>
    </row>
    <row r="465" spans="1:4" ht="14.25" x14ac:dyDescent="0.45">
      <c r="A465" s="54"/>
      <c r="C465" s="92"/>
      <c r="D465" s="92"/>
    </row>
    <row r="466" spans="1:4" ht="14.25" x14ac:dyDescent="0.45">
      <c r="A466" s="54"/>
      <c r="C466" s="92"/>
      <c r="D466" s="92"/>
    </row>
    <row r="467" spans="1:4" ht="14.25" x14ac:dyDescent="0.45">
      <c r="A467" s="54"/>
      <c r="C467" s="92"/>
      <c r="D467" s="92"/>
    </row>
    <row r="468" spans="1:4" ht="14.25" x14ac:dyDescent="0.45">
      <c r="A468" s="54"/>
      <c r="C468" s="92"/>
      <c r="D468" s="92"/>
    </row>
    <row r="469" spans="1:4" ht="14.25" x14ac:dyDescent="0.45">
      <c r="A469" s="54"/>
      <c r="C469" s="92"/>
      <c r="D469" s="92"/>
    </row>
    <row r="470" spans="1:4" ht="14.25" x14ac:dyDescent="0.45">
      <c r="A470" s="54"/>
      <c r="C470" s="92"/>
      <c r="D470" s="92"/>
    </row>
    <row r="471" spans="1:4" ht="14.25" x14ac:dyDescent="0.45">
      <c r="A471" s="54"/>
      <c r="C471" s="92"/>
      <c r="D471" s="92"/>
    </row>
    <row r="472" spans="1:4" ht="14.25" x14ac:dyDescent="0.45">
      <c r="A472" s="54"/>
      <c r="C472" s="92"/>
      <c r="D472" s="92"/>
    </row>
    <row r="473" spans="1:4" ht="14.25" x14ac:dyDescent="0.45">
      <c r="A473" s="54"/>
      <c r="C473" s="92"/>
      <c r="D473" s="92"/>
    </row>
    <row r="474" spans="1:4" ht="14.25" x14ac:dyDescent="0.45">
      <c r="A474" s="54"/>
      <c r="C474" s="92"/>
      <c r="D474" s="92"/>
    </row>
    <row r="475" spans="1:4" ht="14.25" x14ac:dyDescent="0.45">
      <c r="A475" s="54"/>
      <c r="C475" s="92"/>
      <c r="D475" s="92"/>
    </row>
    <row r="476" spans="1:4" ht="14.25" x14ac:dyDescent="0.45">
      <c r="A476" s="54"/>
      <c r="C476" s="92"/>
      <c r="D476" s="92"/>
    </row>
    <row r="477" spans="1:4" ht="14.25" x14ac:dyDescent="0.45">
      <c r="A477" s="54"/>
      <c r="C477" s="92"/>
      <c r="D477" s="92"/>
    </row>
    <row r="478" spans="1:4" ht="14.25" x14ac:dyDescent="0.45">
      <c r="A478" s="54"/>
      <c r="C478" s="92"/>
      <c r="D478" s="92"/>
    </row>
    <row r="479" spans="1:4" ht="14.25" x14ac:dyDescent="0.45">
      <c r="A479" s="54"/>
      <c r="C479" s="92"/>
      <c r="D479" s="92"/>
    </row>
    <row r="480" spans="1:4" ht="14.25" x14ac:dyDescent="0.45">
      <c r="A480" s="54"/>
      <c r="C480" s="92"/>
      <c r="D480" s="92"/>
    </row>
    <row r="481" spans="1:4" ht="14.25" x14ac:dyDescent="0.45">
      <c r="A481" s="54"/>
      <c r="C481" s="92"/>
      <c r="D481" s="92"/>
    </row>
    <row r="482" spans="1:4" ht="14.25" x14ac:dyDescent="0.45">
      <c r="A482" s="54"/>
      <c r="C482" s="92"/>
      <c r="D482" s="92"/>
    </row>
    <row r="483" spans="1:4" ht="14.25" x14ac:dyDescent="0.45">
      <c r="A483" s="54"/>
      <c r="C483" s="92"/>
      <c r="D483" s="92"/>
    </row>
    <row r="484" spans="1:4" ht="14.25" x14ac:dyDescent="0.45">
      <c r="A484" s="54"/>
      <c r="C484" s="92"/>
      <c r="D484" s="92"/>
    </row>
    <row r="485" spans="1:4" ht="14.25" x14ac:dyDescent="0.45">
      <c r="A485" s="54"/>
      <c r="C485" s="92"/>
      <c r="D485" s="92"/>
    </row>
    <row r="486" spans="1:4" ht="14.25" x14ac:dyDescent="0.45">
      <c r="A486" s="54"/>
      <c r="C486" s="92"/>
      <c r="D486" s="92"/>
    </row>
    <row r="487" spans="1:4" ht="14.25" x14ac:dyDescent="0.45">
      <c r="A487" s="54"/>
      <c r="C487" s="92"/>
      <c r="D487" s="92"/>
    </row>
    <row r="488" spans="1:4" ht="14.25" x14ac:dyDescent="0.45">
      <c r="A488" s="54"/>
      <c r="C488" s="92"/>
      <c r="D488" s="92"/>
    </row>
    <row r="489" spans="1:4" ht="14.25" x14ac:dyDescent="0.45">
      <c r="A489" s="54"/>
      <c r="C489" s="92"/>
      <c r="D489" s="92"/>
    </row>
    <row r="490" spans="1:4" ht="14.25" x14ac:dyDescent="0.45">
      <c r="A490" s="54"/>
      <c r="C490" s="92"/>
      <c r="D490" s="92"/>
    </row>
    <row r="491" spans="1:4" ht="14.25" x14ac:dyDescent="0.45">
      <c r="A491" s="54"/>
      <c r="C491" s="92"/>
      <c r="D491" s="92"/>
    </row>
    <row r="492" spans="1:4" ht="14.25" x14ac:dyDescent="0.45">
      <c r="A492" s="54"/>
      <c r="C492" s="92"/>
      <c r="D492" s="92"/>
    </row>
    <row r="493" spans="1:4" ht="14.25" x14ac:dyDescent="0.45">
      <c r="A493" s="54"/>
      <c r="C493" s="92"/>
      <c r="D493" s="92"/>
    </row>
    <row r="494" spans="1:4" ht="14.25" x14ac:dyDescent="0.45">
      <c r="A494" s="54"/>
      <c r="C494" s="92"/>
      <c r="D494" s="92"/>
    </row>
    <row r="495" spans="1:4" ht="14.25" x14ac:dyDescent="0.45">
      <c r="A495" s="54"/>
      <c r="C495" s="92"/>
      <c r="D495" s="92"/>
    </row>
    <row r="496" spans="1:4" ht="14.25" x14ac:dyDescent="0.45">
      <c r="A496" s="54"/>
      <c r="C496" s="92"/>
      <c r="D496" s="92"/>
    </row>
    <row r="497" spans="1:4" ht="14.25" x14ac:dyDescent="0.45">
      <c r="A497" s="54"/>
      <c r="C497" s="92"/>
      <c r="D497" s="92"/>
    </row>
    <row r="498" spans="1:4" ht="14.25" x14ac:dyDescent="0.45">
      <c r="A498" s="54"/>
      <c r="C498" s="92"/>
      <c r="D498" s="92"/>
    </row>
    <row r="499" spans="1:4" ht="14.25" x14ac:dyDescent="0.45">
      <c r="A499" s="54"/>
      <c r="C499" s="92"/>
      <c r="D499" s="92"/>
    </row>
    <row r="500" spans="1:4" ht="14.25" x14ac:dyDescent="0.45">
      <c r="A500" s="54"/>
      <c r="C500" s="92"/>
      <c r="D500" s="92"/>
    </row>
    <row r="501" spans="1:4" ht="14.25" x14ac:dyDescent="0.45">
      <c r="A501" s="54"/>
      <c r="C501" s="92"/>
      <c r="D501" s="92"/>
    </row>
    <row r="502" spans="1:4" ht="14.25" x14ac:dyDescent="0.45">
      <c r="A502" s="54"/>
      <c r="C502" s="92"/>
      <c r="D502" s="92"/>
    </row>
    <row r="503" spans="1:4" ht="14.25" x14ac:dyDescent="0.45">
      <c r="A503" s="54"/>
      <c r="C503" s="92"/>
      <c r="D503" s="92"/>
    </row>
    <row r="504" spans="1:4" ht="14.25" x14ac:dyDescent="0.45">
      <c r="A504" s="54"/>
      <c r="C504" s="92"/>
      <c r="D504" s="92"/>
    </row>
    <row r="505" spans="1:4" ht="14.25" x14ac:dyDescent="0.45">
      <c r="A505" s="54"/>
      <c r="C505" s="92"/>
      <c r="D505" s="92"/>
    </row>
    <row r="506" spans="1:4" ht="14.25" x14ac:dyDescent="0.45">
      <c r="A506" s="54"/>
      <c r="C506" s="92"/>
      <c r="D506" s="92"/>
    </row>
    <row r="507" spans="1:4" ht="14.25" x14ac:dyDescent="0.45">
      <c r="A507" s="54"/>
      <c r="C507" s="92"/>
      <c r="D507" s="92"/>
    </row>
    <row r="508" spans="1:4" ht="14.25" x14ac:dyDescent="0.45">
      <c r="A508" s="54"/>
      <c r="C508" s="92"/>
      <c r="D508" s="92"/>
    </row>
    <row r="509" spans="1:4" ht="14.25" x14ac:dyDescent="0.45">
      <c r="A509" s="54"/>
      <c r="C509" s="92"/>
      <c r="D509" s="92"/>
    </row>
    <row r="510" spans="1:4" ht="14.25" x14ac:dyDescent="0.45">
      <c r="A510" s="54"/>
      <c r="C510" s="92"/>
      <c r="D510" s="92"/>
    </row>
    <row r="511" spans="1:4" ht="14.25" x14ac:dyDescent="0.45">
      <c r="A511" s="54"/>
      <c r="C511" s="92"/>
      <c r="D511" s="92"/>
    </row>
    <row r="512" spans="1:4" ht="14.25" x14ac:dyDescent="0.45">
      <c r="A512" s="54"/>
      <c r="C512" s="92"/>
      <c r="D512" s="92"/>
    </row>
    <row r="513" spans="1:4" ht="14.25" x14ac:dyDescent="0.45">
      <c r="A513" s="54"/>
      <c r="C513" s="92"/>
      <c r="D513" s="92"/>
    </row>
    <row r="514" spans="1:4" ht="14.25" x14ac:dyDescent="0.45">
      <c r="A514" s="54"/>
      <c r="C514" s="92"/>
      <c r="D514" s="92"/>
    </row>
    <row r="515" spans="1:4" ht="14.25" x14ac:dyDescent="0.45">
      <c r="A515" s="54"/>
      <c r="C515" s="92"/>
      <c r="D515" s="92"/>
    </row>
    <row r="516" spans="1:4" ht="14.25" x14ac:dyDescent="0.45">
      <c r="A516" s="54"/>
      <c r="C516" s="92"/>
      <c r="D516" s="92"/>
    </row>
    <row r="517" spans="1:4" ht="14.25" x14ac:dyDescent="0.45">
      <c r="A517" s="54"/>
      <c r="C517" s="92"/>
      <c r="D517" s="92"/>
    </row>
    <row r="518" spans="1:4" ht="14.25" x14ac:dyDescent="0.45">
      <c r="A518" s="54"/>
      <c r="C518" s="92"/>
      <c r="D518" s="92"/>
    </row>
    <row r="519" spans="1:4" ht="14.25" x14ac:dyDescent="0.45">
      <c r="A519" s="54"/>
      <c r="C519" s="92"/>
      <c r="D519" s="92"/>
    </row>
    <row r="520" spans="1:4" ht="14.25" x14ac:dyDescent="0.45">
      <c r="A520" s="54"/>
      <c r="C520" s="92"/>
      <c r="D520" s="92"/>
    </row>
    <row r="521" spans="1:4" ht="14.25" x14ac:dyDescent="0.45">
      <c r="A521" s="54"/>
      <c r="C521" s="92"/>
      <c r="D521" s="92"/>
    </row>
    <row r="522" spans="1:4" ht="14.25" x14ac:dyDescent="0.45">
      <c r="A522" s="54"/>
      <c r="C522" s="92"/>
      <c r="D522" s="92"/>
    </row>
    <row r="523" spans="1:4" ht="14.25" x14ac:dyDescent="0.45">
      <c r="A523" s="54"/>
      <c r="C523" s="92"/>
      <c r="D523" s="92"/>
    </row>
    <row r="524" spans="1:4" ht="14.25" x14ac:dyDescent="0.45">
      <c r="A524" s="54"/>
      <c r="C524" s="92"/>
      <c r="D524" s="92"/>
    </row>
    <row r="525" spans="1:4" ht="14.25" x14ac:dyDescent="0.45">
      <c r="A525" s="54"/>
      <c r="C525" s="92"/>
      <c r="D525" s="92"/>
    </row>
    <row r="526" spans="1:4" ht="14.25" x14ac:dyDescent="0.45">
      <c r="A526" s="54"/>
      <c r="C526" s="92"/>
      <c r="D526" s="92"/>
    </row>
    <row r="527" spans="1:4" ht="14.25" x14ac:dyDescent="0.45">
      <c r="A527" s="54"/>
      <c r="C527" s="92"/>
      <c r="D527" s="92"/>
    </row>
    <row r="528" spans="1:4" ht="14.25" x14ac:dyDescent="0.45">
      <c r="A528" s="54"/>
      <c r="C528" s="92"/>
      <c r="D528" s="92"/>
    </row>
    <row r="529" spans="1:4" ht="14.25" x14ac:dyDescent="0.45">
      <c r="A529" s="54"/>
      <c r="C529" s="92"/>
      <c r="D529" s="92"/>
    </row>
    <row r="530" spans="1:4" ht="14.25" x14ac:dyDescent="0.45">
      <c r="A530" s="54"/>
      <c r="C530" s="92"/>
      <c r="D530" s="92"/>
    </row>
    <row r="531" spans="1:4" ht="14.25" x14ac:dyDescent="0.45">
      <c r="A531" s="54"/>
      <c r="C531" s="92"/>
      <c r="D531" s="92"/>
    </row>
    <row r="532" spans="1:4" ht="14.25" x14ac:dyDescent="0.45">
      <c r="A532" s="54"/>
      <c r="C532" s="92"/>
      <c r="D532" s="92"/>
    </row>
    <row r="533" spans="1:4" ht="14.25" x14ac:dyDescent="0.45">
      <c r="A533" s="54"/>
      <c r="C533" s="92"/>
      <c r="D533" s="92"/>
    </row>
    <row r="534" spans="1:4" ht="14.25" x14ac:dyDescent="0.45">
      <c r="A534" s="54"/>
      <c r="C534" s="92"/>
      <c r="D534" s="92"/>
    </row>
    <row r="535" spans="1:4" ht="14.25" x14ac:dyDescent="0.45">
      <c r="A535" s="54"/>
      <c r="C535" s="92"/>
      <c r="D535" s="92"/>
    </row>
    <row r="536" spans="1:4" ht="14.25" x14ac:dyDescent="0.45">
      <c r="A536" s="54"/>
      <c r="C536" s="92"/>
      <c r="D536" s="92"/>
    </row>
    <row r="537" spans="1:4" ht="14.25" x14ac:dyDescent="0.45">
      <c r="A537" s="54"/>
      <c r="C537" s="92"/>
      <c r="D537" s="92"/>
    </row>
    <row r="538" spans="1:4" ht="14.25" x14ac:dyDescent="0.45">
      <c r="A538" s="54"/>
      <c r="C538" s="92"/>
      <c r="D538" s="92"/>
    </row>
    <row r="539" spans="1:4" ht="14.25" x14ac:dyDescent="0.45">
      <c r="A539" s="54"/>
      <c r="C539" s="92"/>
      <c r="D539" s="92"/>
    </row>
    <row r="540" spans="1:4" ht="14.25" x14ac:dyDescent="0.45">
      <c r="A540" s="54"/>
      <c r="C540" s="92"/>
      <c r="D540" s="92"/>
    </row>
    <row r="541" spans="1:4" ht="14.25" x14ac:dyDescent="0.45">
      <c r="A541" s="54"/>
      <c r="C541" s="92"/>
      <c r="D541" s="92"/>
    </row>
    <row r="542" spans="1:4" ht="14.25" x14ac:dyDescent="0.45">
      <c r="A542" s="54"/>
      <c r="C542" s="92"/>
      <c r="D542" s="92"/>
    </row>
    <row r="543" spans="1:4" ht="14.25" x14ac:dyDescent="0.45">
      <c r="A543" s="54"/>
      <c r="C543" s="92"/>
      <c r="D543" s="92"/>
    </row>
    <row r="544" spans="1:4" ht="14.25" x14ac:dyDescent="0.45">
      <c r="A544" s="54"/>
      <c r="C544" s="92"/>
      <c r="D544" s="92"/>
    </row>
    <row r="545" spans="1:4" ht="14.25" x14ac:dyDescent="0.45">
      <c r="A545" s="54"/>
      <c r="C545" s="92"/>
      <c r="D545" s="92"/>
    </row>
    <row r="546" spans="1:4" ht="14.25" x14ac:dyDescent="0.45">
      <c r="A546" s="54"/>
      <c r="C546" s="92"/>
      <c r="D546" s="92"/>
    </row>
    <row r="547" spans="1:4" ht="14.25" x14ac:dyDescent="0.45">
      <c r="A547" s="54"/>
      <c r="C547" s="92"/>
      <c r="D547" s="92"/>
    </row>
    <row r="548" spans="1:4" ht="14.25" x14ac:dyDescent="0.45">
      <c r="A548" s="54"/>
      <c r="C548" s="92"/>
      <c r="D548" s="92"/>
    </row>
    <row r="549" spans="1:4" ht="14.25" x14ac:dyDescent="0.45">
      <c r="A549" s="54"/>
      <c r="C549" s="92"/>
      <c r="D549" s="92"/>
    </row>
    <row r="550" spans="1:4" ht="14.25" x14ac:dyDescent="0.45">
      <c r="A550" s="54"/>
      <c r="C550" s="92"/>
      <c r="D550" s="92"/>
    </row>
    <row r="551" spans="1:4" ht="14.25" x14ac:dyDescent="0.45">
      <c r="A551" s="54"/>
      <c r="C551" s="92"/>
      <c r="D551" s="92"/>
    </row>
    <row r="552" spans="1:4" ht="14.25" x14ac:dyDescent="0.45">
      <c r="A552" s="54"/>
      <c r="C552" s="92"/>
      <c r="D552" s="92"/>
    </row>
    <row r="553" spans="1:4" ht="14.25" x14ac:dyDescent="0.45">
      <c r="A553" s="54"/>
      <c r="C553" s="92"/>
      <c r="D553" s="92"/>
    </row>
    <row r="554" spans="1:4" ht="14.25" x14ac:dyDescent="0.45">
      <c r="A554" s="54"/>
      <c r="C554" s="92"/>
      <c r="D554" s="92"/>
    </row>
    <row r="555" spans="1:4" ht="14.25" x14ac:dyDescent="0.45">
      <c r="A555" s="54"/>
      <c r="C555" s="92"/>
      <c r="D555" s="92"/>
    </row>
    <row r="556" spans="1:4" ht="14.25" x14ac:dyDescent="0.45">
      <c r="A556" s="54"/>
      <c r="C556" s="92"/>
      <c r="D556" s="92"/>
    </row>
    <row r="557" spans="1:4" ht="14.25" x14ac:dyDescent="0.45">
      <c r="A557" s="54"/>
      <c r="C557" s="92"/>
      <c r="D557" s="92"/>
    </row>
    <row r="558" spans="1:4" ht="14.25" x14ac:dyDescent="0.45">
      <c r="A558" s="54"/>
      <c r="C558" s="92"/>
      <c r="D558" s="92"/>
    </row>
    <row r="559" spans="1:4" ht="14.25" x14ac:dyDescent="0.45">
      <c r="A559" s="54"/>
      <c r="C559" s="92"/>
      <c r="D559" s="92"/>
    </row>
    <row r="560" spans="1:4" ht="14.25" x14ac:dyDescent="0.45">
      <c r="A560" s="54"/>
      <c r="C560" s="92"/>
      <c r="D560" s="92"/>
    </row>
    <row r="561" spans="1:4" ht="14.25" x14ac:dyDescent="0.45">
      <c r="A561" s="54"/>
      <c r="C561" s="92"/>
      <c r="D561" s="92"/>
    </row>
    <row r="562" spans="1:4" ht="14.25" x14ac:dyDescent="0.45">
      <c r="A562" s="54"/>
      <c r="C562" s="92"/>
      <c r="D562" s="92"/>
    </row>
    <row r="563" spans="1:4" ht="14.25" x14ac:dyDescent="0.45">
      <c r="A563" s="54"/>
      <c r="C563" s="92"/>
      <c r="D563" s="92"/>
    </row>
    <row r="564" spans="1:4" ht="14.25" x14ac:dyDescent="0.45">
      <c r="A564" s="54"/>
      <c r="C564" s="92"/>
      <c r="D564" s="92"/>
    </row>
    <row r="565" spans="1:4" ht="14.25" x14ac:dyDescent="0.45">
      <c r="A565" s="54"/>
      <c r="C565" s="92"/>
      <c r="D565" s="92"/>
    </row>
    <row r="566" spans="1:4" ht="14.25" x14ac:dyDescent="0.45">
      <c r="A566" s="54"/>
      <c r="C566" s="92"/>
      <c r="D566" s="92"/>
    </row>
    <row r="567" spans="1:4" ht="14.25" x14ac:dyDescent="0.45">
      <c r="A567" s="54"/>
      <c r="C567" s="92"/>
      <c r="D567" s="92"/>
    </row>
    <row r="568" spans="1:4" ht="14.25" x14ac:dyDescent="0.45">
      <c r="A568" s="54"/>
      <c r="C568" s="92"/>
      <c r="D568" s="92"/>
    </row>
    <row r="569" spans="1:4" ht="14.25" x14ac:dyDescent="0.45">
      <c r="A569" s="54"/>
      <c r="C569" s="92"/>
      <c r="D569" s="92"/>
    </row>
    <row r="570" spans="1:4" ht="14.25" x14ac:dyDescent="0.45">
      <c r="A570" s="54"/>
      <c r="C570" s="92"/>
      <c r="D570" s="92"/>
    </row>
    <row r="571" spans="1:4" ht="14.25" x14ac:dyDescent="0.45">
      <c r="A571" s="54"/>
      <c r="C571" s="92"/>
      <c r="D571" s="92"/>
    </row>
    <row r="572" spans="1:4" ht="14.25" x14ac:dyDescent="0.45">
      <c r="A572" s="54"/>
      <c r="C572" s="92"/>
      <c r="D572" s="92"/>
    </row>
    <row r="573" spans="1:4" ht="14.25" x14ac:dyDescent="0.45">
      <c r="A573" s="54"/>
      <c r="C573" s="92"/>
      <c r="D573" s="92"/>
    </row>
    <row r="574" spans="1:4" ht="14.25" x14ac:dyDescent="0.45">
      <c r="A574" s="54"/>
      <c r="C574" s="92"/>
      <c r="D574" s="92"/>
    </row>
    <row r="575" spans="1:4" ht="14.25" x14ac:dyDescent="0.45">
      <c r="A575" s="54"/>
      <c r="C575" s="92"/>
      <c r="D575" s="92"/>
    </row>
    <row r="576" spans="1:4" ht="14.25" x14ac:dyDescent="0.45">
      <c r="A576" s="54"/>
      <c r="C576" s="92"/>
      <c r="D576" s="92"/>
    </row>
    <row r="577" spans="1:4" ht="14.25" x14ac:dyDescent="0.45">
      <c r="A577" s="54"/>
      <c r="C577" s="92"/>
      <c r="D577" s="92"/>
    </row>
    <row r="578" spans="1:4" ht="14.25" x14ac:dyDescent="0.45">
      <c r="A578" s="54"/>
      <c r="C578" s="92"/>
      <c r="D578" s="92"/>
    </row>
    <row r="579" spans="1:4" ht="14.25" x14ac:dyDescent="0.45">
      <c r="A579" s="54"/>
      <c r="C579" s="92"/>
      <c r="D579" s="92"/>
    </row>
    <row r="580" spans="1:4" ht="14.25" x14ac:dyDescent="0.45">
      <c r="A580" s="54"/>
      <c r="C580" s="92"/>
      <c r="D580" s="92"/>
    </row>
    <row r="581" spans="1:4" ht="14.25" x14ac:dyDescent="0.45">
      <c r="A581" s="54"/>
      <c r="C581" s="92"/>
      <c r="D581" s="92"/>
    </row>
    <row r="582" spans="1:4" ht="14.25" x14ac:dyDescent="0.45">
      <c r="A582" s="54"/>
      <c r="C582" s="92"/>
      <c r="D582" s="92"/>
    </row>
    <row r="583" spans="1:4" ht="14.25" x14ac:dyDescent="0.45">
      <c r="A583" s="54"/>
      <c r="C583" s="92"/>
      <c r="D583" s="92"/>
    </row>
    <row r="584" spans="1:4" ht="14.25" x14ac:dyDescent="0.45">
      <c r="A584" s="54"/>
      <c r="C584" s="92"/>
      <c r="D584" s="92"/>
    </row>
    <row r="585" spans="1:4" ht="14.25" x14ac:dyDescent="0.45">
      <c r="A585" s="54"/>
      <c r="C585" s="92"/>
      <c r="D585" s="92"/>
    </row>
    <row r="586" spans="1:4" ht="14.25" x14ac:dyDescent="0.45">
      <c r="A586" s="54"/>
      <c r="C586" s="92"/>
      <c r="D586" s="92"/>
    </row>
    <row r="587" spans="1:4" ht="14.25" x14ac:dyDescent="0.45">
      <c r="A587" s="54"/>
      <c r="C587" s="92"/>
      <c r="D587" s="92"/>
    </row>
    <row r="588" spans="1:4" ht="14.25" x14ac:dyDescent="0.45">
      <c r="A588" s="54"/>
      <c r="C588" s="92"/>
      <c r="D588" s="92"/>
    </row>
    <row r="589" spans="1:4" ht="14.25" x14ac:dyDescent="0.45">
      <c r="A589" s="54"/>
      <c r="C589" s="92"/>
      <c r="D589" s="92"/>
    </row>
    <row r="590" spans="1:4" ht="14.25" x14ac:dyDescent="0.45">
      <c r="A590" s="54"/>
      <c r="C590" s="92"/>
      <c r="D590" s="92"/>
    </row>
    <row r="591" spans="1:4" ht="14.25" x14ac:dyDescent="0.45">
      <c r="A591" s="54"/>
      <c r="C591" s="92"/>
      <c r="D591" s="92"/>
    </row>
    <row r="592" spans="1:4" ht="14.25" x14ac:dyDescent="0.45">
      <c r="A592" s="54"/>
      <c r="C592" s="92"/>
      <c r="D592" s="92"/>
    </row>
    <row r="593" spans="1:4" ht="14.25" x14ac:dyDescent="0.45">
      <c r="A593" s="54"/>
      <c r="C593" s="92"/>
      <c r="D593" s="92"/>
    </row>
    <row r="594" spans="1:4" ht="14.25" x14ac:dyDescent="0.45">
      <c r="A594" s="54"/>
      <c r="C594" s="92"/>
      <c r="D594" s="92"/>
    </row>
    <row r="595" spans="1:4" ht="14.25" x14ac:dyDescent="0.45">
      <c r="A595" s="54"/>
      <c r="C595" s="92"/>
      <c r="D595" s="92"/>
    </row>
    <row r="596" spans="1:4" ht="14.25" x14ac:dyDescent="0.45">
      <c r="A596" s="54"/>
      <c r="C596" s="92"/>
      <c r="D596" s="92"/>
    </row>
    <row r="597" spans="1:4" ht="14.25" x14ac:dyDescent="0.45">
      <c r="A597" s="54"/>
      <c r="C597" s="92"/>
      <c r="D597" s="92"/>
    </row>
    <row r="598" spans="1:4" ht="14.25" x14ac:dyDescent="0.45">
      <c r="A598" s="54"/>
      <c r="C598" s="92"/>
      <c r="D598" s="92"/>
    </row>
    <row r="599" spans="1:4" ht="14.25" x14ac:dyDescent="0.45">
      <c r="A599" s="54"/>
      <c r="C599" s="92"/>
      <c r="D599" s="92"/>
    </row>
    <row r="600" spans="1:4" ht="14.25" x14ac:dyDescent="0.45">
      <c r="A600" s="54"/>
      <c r="C600" s="92"/>
      <c r="D600" s="92"/>
    </row>
    <row r="601" spans="1:4" ht="14.25" x14ac:dyDescent="0.45">
      <c r="A601" s="54"/>
      <c r="C601" s="92"/>
      <c r="D601" s="92"/>
    </row>
    <row r="602" spans="1:4" ht="14.25" x14ac:dyDescent="0.45">
      <c r="A602" s="54"/>
      <c r="C602" s="92"/>
      <c r="D602" s="92"/>
    </row>
    <row r="603" spans="1:4" ht="14.25" x14ac:dyDescent="0.45">
      <c r="A603" s="54"/>
      <c r="C603" s="92"/>
      <c r="D603" s="92"/>
    </row>
    <row r="604" spans="1:4" ht="14.25" x14ac:dyDescent="0.45">
      <c r="A604" s="54"/>
      <c r="C604" s="92"/>
      <c r="D604" s="92"/>
    </row>
    <row r="605" spans="1:4" ht="14.25" x14ac:dyDescent="0.45">
      <c r="A605" s="54"/>
      <c r="C605" s="92"/>
      <c r="D605" s="92"/>
    </row>
    <row r="606" spans="1:4" ht="14.25" x14ac:dyDescent="0.45">
      <c r="A606" s="54"/>
      <c r="C606" s="92"/>
      <c r="D606" s="92"/>
    </row>
    <row r="607" spans="1:4" ht="14.25" x14ac:dyDescent="0.45">
      <c r="A607" s="54"/>
      <c r="C607" s="92"/>
      <c r="D607" s="92"/>
    </row>
    <row r="608" spans="1:4" ht="14.25" x14ac:dyDescent="0.45">
      <c r="A608" s="54"/>
      <c r="C608" s="92"/>
      <c r="D608" s="92"/>
    </row>
    <row r="609" spans="1:4" ht="14.25" x14ac:dyDescent="0.45">
      <c r="A609" s="54"/>
      <c r="C609" s="92"/>
      <c r="D609" s="92"/>
    </row>
    <row r="610" spans="1:4" ht="14.25" x14ac:dyDescent="0.45">
      <c r="A610" s="54"/>
      <c r="C610" s="92"/>
      <c r="D610" s="92"/>
    </row>
    <row r="611" spans="1:4" ht="14.25" x14ac:dyDescent="0.45">
      <c r="A611" s="54"/>
      <c r="C611" s="92"/>
      <c r="D611" s="92"/>
    </row>
    <row r="612" spans="1:4" ht="14.25" x14ac:dyDescent="0.45">
      <c r="A612" s="54"/>
      <c r="C612" s="92"/>
      <c r="D612" s="92"/>
    </row>
    <row r="613" spans="1:4" ht="14.25" x14ac:dyDescent="0.45">
      <c r="A613" s="54"/>
      <c r="C613" s="92"/>
      <c r="D613" s="92"/>
    </row>
    <row r="614" spans="1:4" ht="14.25" x14ac:dyDescent="0.45">
      <c r="A614" s="54"/>
      <c r="C614" s="92"/>
      <c r="D614" s="92"/>
    </row>
    <row r="615" spans="1:4" ht="14.25" x14ac:dyDescent="0.45">
      <c r="A615" s="54"/>
      <c r="C615" s="92"/>
      <c r="D615" s="92"/>
    </row>
    <row r="616" spans="1:4" ht="14.25" x14ac:dyDescent="0.45">
      <c r="A616" s="54"/>
      <c r="C616" s="92"/>
      <c r="D616" s="92"/>
    </row>
    <row r="617" spans="1:4" ht="14.25" x14ac:dyDescent="0.45">
      <c r="A617" s="54"/>
      <c r="C617" s="92"/>
      <c r="D617" s="92"/>
    </row>
    <row r="618" spans="1:4" ht="14.25" x14ac:dyDescent="0.45">
      <c r="A618" s="54"/>
      <c r="C618" s="92"/>
      <c r="D618" s="92"/>
    </row>
    <row r="619" spans="1:4" ht="14.25" x14ac:dyDescent="0.45">
      <c r="A619" s="54"/>
      <c r="C619" s="92"/>
      <c r="D619" s="92"/>
    </row>
    <row r="620" spans="1:4" ht="14.25" x14ac:dyDescent="0.45">
      <c r="A620" s="54"/>
      <c r="C620" s="92"/>
      <c r="D620" s="92"/>
    </row>
    <row r="621" spans="1:4" ht="14.25" x14ac:dyDescent="0.45">
      <c r="A621" s="54"/>
      <c r="C621" s="92"/>
      <c r="D621" s="92"/>
    </row>
    <row r="622" spans="1:4" ht="14.25" x14ac:dyDescent="0.45">
      <c r="A622" s="54"/>
      <c r="C622" s="92"/>
      <c r="D622" s="92"/>
    </row>
    <row r="623" spans="1:4" ht="14.25" x14ac:dyDescent="0.45">
      <c r="A623" s="54"/>
      <c r="C623" s="92"/>
      <c r="D623" s="92"/>
    </row>
    <row r="624" spans="1:4" ht="14.25" x14ac:dyDescent="0.45">
      <c r="A624" s="54"/>
      <c r="C624" s="92"/>
      <c r="D624" s="92"/>
    </row>
    <row r="625" spans="1:4" ht="14.25" x14ac:dyDescent="0.45">
      <c r="A625" s="54"/>
      <c r="C625" s="92"/>
      <c r="D625" s="92"/>
    </row>
    <row r="626" spans="1:4" ht="14.25" x14ac:dyDescent="0.45">
      <c r="A626" s="54"/>
      <c r="C626" s="92"/>
      <c r="D626" s="92"/>
    </row>
    <row r="627" spans="1:4" ht="14.25" x14ac:dyDescent="0.45">
      <c r="A627" s="54"/>
      <c r="C627" s="92"/>
      <c r="D627" s="92"/>
    </row>
    <row r="628" spans="1:4" ht="14.25" x14ac:dyDescent="0.45">
      <c r="A628" s="54"/>
      <c r="C628" s="92"/>
      <c r="D628" s="92"/>
    </row>
    <row r="629" spans="1:4" ht="14.25" x14ac:dyDescent="0.45">
      <c r="A629" s="54"/>
      <c r="C629" s="92"/>
      <c r="D629" s="92"/>
    </row>
    <row r="630" spans="1:4" ht="14.25" x14ac:dyDescent="0.45">
      <c r="A630" s="54"/>
      <c r="C630" s="92"/>
      <c r="D630" s="92"/>
    </row>
    <row r="631" spans="1:4" ht="14.25" x14ac:dyDescent="0.45">
      <c r="A631" s="54"/>
      <c r="C631" s="92"/>
      <c r="D631" s="92"/>
    </row>
    <row r="632" spans="1:4" ht="14.25" x14ac:dyDescent="0.45">
      <c r="A632" s="54"/>
      <c r="C632" s="92"/>
      <c r="D632" s="92"/>
    </row>
    <row r="633" spans="1:4" ht="14.25" x14ac:dyDescent="0.45">
      <c r="A633" s="54"/>
      <c r="C633" s="92"/>
      <c r="D633" s="92"/>
    </row>
    <row r="634" spans="1:4" ht="14.25" x14ac:dyDescent="0.45">
      <c r="A634" s="54"/>
      <c r="C634" s="92"/>
      <c r="D634" s="92"/>
    </row>
    <row r="635" spans="1:4" ht="14.25" x14ac:dyDescent="0.45">
      <c r="A635" s="54"/>
      <c r="C635" s="92"/>
      <c r="D635" s="92"/>
    </row>
    <row r="636" spans="1:4" ht="14.25" x14ac:dyDescent="0.45">
      <c r="A636" s="54"/>
      <c r="C636" s="92"/>
      <c r="D636" s="92"/>
    </row>
    <row r="637" spans="1:4" ht="14.25" x14ac:dyDescent="0.45">
      <c r="A637" s="54"/>
      <c r="C637" s="92"/>
      <c r="D637" s="92"/>
    </row>
    <row r="638" spans="1:4" ht="14.25" x14ac:dyDescent="0.45">
      <c r="A638" s="54"/>
      <c r="C638" s="92"/>
      <c r="D638" s="92"/>
    </row>
    <row r="639" spans="1:4" ht="14.25" x14ac:dyDescent="0.45">
      <c r="A639" s="54"/>
      <c r="C639" s="92"/>
      <c r="D639" s="92"/>
    </row>
    <row r="640" spans="1:4" ht="14.25" x14ac:dyDescent="0.45">
      <c r="A640" s="54"/>
      <c r="C640" s="92"/>
      <c r="D640" s="92"/>
    </row>
    <row r="641" spans="1:4" ht="14.25" x14ac:dyDescent="0.45">
      <c r="A641" s="54"/>
      <c r="C641" s="92"/>
      <c r="D641" s="92"/>
    </row>
    <row r="642" spans="1:4" ht="14.25" x14ac:dyDescent="0.45">
      <c r="A642" s="54"/>
      <c r="C642" s="92"/>
      <c r="D642" s="92"/>
    </row>
    <row r="643" spans="1:4" ht="14.25" x14ac:dyDescent="0.45">
      <c r="A643" s="54"/>
      <c r="C643" s="92"/>
      <c r="D643" s="92"/>
    </row>
    <row r="644" spans="1:4" ht="14.25" x14ac:dyDescent="0.45">
      <c r="A644" s="54"/>
      <c r="C644" s="92"/>
      <c r="D644" s="92"/>
    </row>
    <row r="645" spans="1:4" ht="14.25" x14ac:dyDescent="0.45">
      <c r="A645" s="54"/>
      <c r="C645" s="92"/>
      <c r="D645" s="92"/>
    </row>
    <row r="646" spans="1:4" ht="14.25" x14ac:dyDescent="0.45">
      <c r="A646" s="54"/>
      <c r="C646" s="92"/>
      <c r="D646" s="92"/>
    </row>
    <row r="647" spans="1:4" ht="14.25" x14ac:dyDescent="0.45">
      <c r="A647" s="54"/>
      <c r="C647" s="92"/>
      <c r="D647" s="92"/>
    </row>
    <row r="648" spans="1:4" ht="14.25" x14ac:dyDescent="0.45">
      <c r="A648" s="54"/>
      <c r="C648" s="92"/>
      <c r="D648" s="92"/>
    </row>
    <row r="649" spans="1:4" ht="14.25" x14ac:dyDescent="0.45">
      <c r="A649" s="54"/>
      <c r="C649" s="92"/>
      <c r="D649" s="92"/>
    </row>
    <row r="650" spans="1:4" ht="14.25" x14ac:dyDescent="0.45">
      <c r="A650" s="54"/>
      <c r="C650" s="92"/>
      <c r="D650" s="92"/>
    </row>
    <row r="651" spans="1:4" ht="14.25" x14ac:dyDescent="0.45">
      <c r="A651" s="54"/>
      <c r="C651" s="92"/>
      <c r="D651" s="92"/>
    </row>
    <row r="652" spans="1:4" ht="14.25" x14ac:dyDescent="0.45">
      <c r="A652" s="54"/>
      <c r="C652" s="92"/>
      <c r="D652" s="92"/>
    </row>
    <row r="653" spans="1:4" ht="14.25" x14ac:dyDescent="0.45">
      <c r="A653" s="54"/>
      <c r="C653" s="92"/>
      <c r="D653" s="92"/>
    </row>
    <row r="654" spans="1:4" ht="14.25" x14ac:dyDescent="0.45">
      <c r="A654" s="54"/>
      <c r="C654" s="92"/>
      <c r="D654" s="92"/>
    </row>
    <row r="655" spans="1:4" ht="14.25" x14ac:dyDescent="0.45">
      <c r="A655" s="54"/>
      <c r="C655" s="92"/>
      <c r="D655" s="92"/>
    </row>
    <row r="656" spans="1:4" ht="14.25" x14ac:dyDescent="0.45">
      <c r="A656" s="54"/>
      <c r="C656" s="92"/>
      <c r="D656" s="92"/>
    </row>
    <row r="657" spans="1:4" ht="14.25" x14ac:dyDescent="0.45">
      <c r="A657" s="54"/>
      <c r="C657" s="92"/>
      <c r="D657" s="92"/>
    </row>
    <row r="658" spans="1:4" ht="14.25" x14ac:dyDescent="0.45">
      <c r="A658" s="54"/>
      <c r="C658" s="92"/>
      <c r="D658" s="92"/>
    </row>
    <row r="659" spans="1:4" ht="14.25" x14ac:dyDescent="0.45">
      <c r="A659" s="54"/>
      <c r="C659" s="92"/>
      <c r="D659" s="92"/>
    </row>
    <row r="660" spans="1:4" ht="14.25" x14ac:dyDescent="0.45">
      <c r="A660" s="54"/>
      <c r="C660" s="92"/>
      <c r="D660" s="92"/>
    </row>
    <row r="661" spans="1:4" ht="14.25" x14ac:dyDescent="0.45">
      <c r="A661" s="54"/>
      <c r="C661" s="92"/>
      <c r="D661" s="92"/>
    </row>
    <row r="662" spans="1:4" ht="14.25" x14ac:dyDescent="0.45">
      <c r="A662" s="54"/>
      <c r="C662" s="92"/>
      <c r="D662" s="92"/>
    </row>
    <row r="663" spans="1:4" ht="14.25" x14ac:dyDescent="0.45">
      <c r="A663" s="54"/>
      <c r="C663" s="92"/>
      <c r="D663" s="92"/>
    </row>
    <row r="664" spans="1:4" ht="14.25" x14ac:dyDescent="0.45">
      <c r="A664" s="54"/>
      <c r="C664" s="92"/>
      <c r="D664" s="92"/>
    </row>
    <row r="665" spans="1:4" ht="14.25" x14ac:dyDescent="0.45">
      <c r="A665" s="54"/>
      <c r="C665" s="92"/>
      <c r="D665" s="92"/>
    </row>
    <row r="666" spans="1:4" ht="14.25" x14ac:dyDescent="0.45">
      <c r="A666" s="54"/>
      <c r="C666" s="92"/>
      <c r="D666" s="92"/>
    </row>
    <row r="667" spans="1:4" ht="14.25" x14ac:dyDescent="0.45">
      <c r="A667" s="54"/>
      <c r="C667" s="92"/>
      <c r="D667" s="92"/>
    </row>
    <row r="668" spans="1:4" ht="14.25" x14ac:dyDescent="0.45">
      <c r="A668" s="54"/>
      <c r="C668" s="92"/>
      <c r="D668" s="92"/>
    </row>
    <row r="669" spans="1:4" ht="14.25" x14ac:dyDescent="0.45">
      <c r="A669" s="54"/>
      <c r="C669" s="92"/>
      <c r="D669" s="92"/>
    </row>
    <row r="670" spans="1:4" ht="14.25" x14ac:dyDescent="0.45">
      <c r="A670" s="54"/>
      <c r="C670" s="92"/>
      <c r="D670" s="92"/>
    </row>
    <row r="671" spans="1:4" ht="14.25" x14ac:dyDescent="0.45">
      <c r="A671" s="54"/>
      <c r="C671" s="92"/>
      <c r="D671" s="92"/>
    </row>
    <row r="672" spans="1:4" ht="14.25" x14ac:dyDescent="0.45">
      <c r="A672" s="54"/>
      <c r="C672" s="92"/>
      <c r="D672" s="92"/>
    </row>
    <row r="673" spans="1:4" ht="14.25" x14ac:dyDescent="0.45">
      <c r="A673" s="54"/>
      <c r="C673" s="92"/>
      <c r="D673" s="92"/>
    </row>
    <row r="674" spans="1:4" ht="14.25" x14ac:dyDescent="0.45">
      <c r="A674" s="54"/>
      <c r="C674" s="92"/>
      <c r="D674" s="92"/>
    </row>
    <row r="675" spans="1:4" ht="14.25" x14ac:dyDescent="0.45">
      <c r="A675" s="54"/>
      <c r="C675" s="92"/>
      <c r="D675" s="92"/>
    </row>
    <row r="676" spans="1:4" ht="14.25" x14ac:dyDescent="0.45">
      <c r="A676" s="54"/>
      <c r="C676" s="92"/>
      <c r="D676" s="92"/>
    </row>
    <row r="677" spans="1:4" ht="14.25" x14ac:dyDescent="0.45">
      <c r="A677" s="54"/>
      <c r="C677" s="92"/>
      <c r="D677" s="92"/>
    </row>
    <row r="678" spans="1:4" ht="14.25" x14ac:dyDescent="0.45">
      <c r="A678" s="54"/>
      <c r="C678" s="92"/>
      <c r="D678" s="92"/>
    </row>
    <row r="679" spans="1:4" ht="14.25" x14ac:dyDescent="0.45">
      <c r="A679" s="54"/>
      <c r="C679" s="92"/>
      <c r="D679" s="92"/>
    </row>
    <row r="680" spans="1:4" ht="14.25" x14ac:dyDescent="0.45">
      <c r="A680" s="54"/>
      <c r="C680" s="92"/>
      <c r="D680" s="92"/>
    </row>
    <row r="681" spans="1:4" ht="14.25" x14ac:dyDescent="0.45">
      <c r="A681" s="54"/>
      <c r="C681" s="92"/>
      <c r="D681" s="92"/>
    </row>
    <row r="682" spans="1:4" ht="14.25" x14ac:dyDescent="0.45">
      <c r="A682" s="54"/>
      <c r="C682" s="92"/>
      <c r="D682" s="92"/>
    </row>
    <row r="683" spans="1:4" ht="14.25" x14ac:dyDescent="0.45">
      <c r="A683" s="54"/>
      <c r="C683" s="92"/>
      <c r="D683" s="92"/>
    </row>
    <row r="684" spans="1:4" ht="14.25" x14ac:dyDescent="0.45">
      <c r="A684" s="54"/>
      <c r="C684" s="92"/>
      <c r="D684" s="92"/>
    </row>
    <row r="685" spans="1:4" ht="14.25" x14ac:dyDescent="0.45">
      <c r="A685" s="54"/>
      <c r="C685" s="92"/>
      <c r="D685" s="92"/>
    </row>
    <row r="686" spans="1:4" ht="14.25" x14ac:dyDescent="0.45">
      <c r="A686" s="54"/>
      <c r="C686" s="92"/>
      <c r="D686" s="92"/>
    </row>
    <row r="687" spans="1:4" ht="14.25" x14ac:dyDescent="0.45">
      <c r="A687" s="54"/>
      <c r="C687" s="92"/>
      <c r="D687" s="92"/>
    </row>
    <row r="688" spans="1:4" ht="14.25" x14ac:dyDescent="0.45">
      <c r="A688" s="54"/>
      <c r="C688" s="92"/>
      <c r="D688" s="92"/>
    </row>
    <row r="689" spans="1:4" ht="14.25" x14ac:dyDescent="0.45">
      <c r="A689" s="54"/>
      <c r="C689" s="92"/>
      <c r="D689" s="92"/>
    </row>
    <row r="690" spans="1:4" ht="14.25" x14ac:dyDescent="0.45">
      <c r="A690" s="54"/>
      <c r="C690" s="92"/>
      <c r="D690" s="92"/>
    </row>
    <row r="691" spans="1:4" ht="14.25" x14ac:dyDescent="0.45">
      <c r="A691" s="54"/>
      <c r="C691" s="92"/>
      <c r="D691" s="92"/>
    </row>
    <row r="692" spans="1:4" ht="14.25" x14ac:dyDescent="0.45">
      <c r="A692" s="54"/>
      <c r="C692" s="92"/>
      <c r="D692" s="92"/>
    </row>
    <row r="693" spans="1:4" ht="14.25" x14ac:dyDescent="0.45">
      <c r="A693" s="54"/>
      <c r="C693" s="92"/>
      <c r="D693" s="92"/>
    </row>
    <row r="694" spans="1:4" ht="14.25" x14ac:dyDescent="0.45">
      <c r="A694" s="54"/>
      <c r="C694" s="92"/>
      <c r="D694" s="92"/>
    </row>
    <row r="695" spans="1:4" ht="14.25" x14ac:dyDescent="0.45">
      <c r="A695" s="54"/>
      <c r="C695" s="92"/>
      <c r="D695" s="92"/>
    </row>
    <row r="696" spans="1:4" ht="14.25" x14ac:dyDescent="0.45">
      <c r="A696" s="54"/>
      <c r="C696" s="92"/>
      <c r="D696" s="92"/>
    </row>
    <row r="697" spans="1:4" ht="14.25" x14ac:dyDescent="0.45">
      <c r="A697" s="54"/>
      <c r="C697" s="92"/>
      <c r="D697" s="92"/>
    </row>
    <row r="698" spans="1:4" ht="14.25" x14ac:dyDescent="0.45">
      <c r="A698" s="54"/>
      <c r="C698" s="92"/>
      <c r="D698" s="92"/>
    </row>
    <row r="699" spans="1:4" ht="14.25" x14ac:dyDescent="0.45">
      <c r="A699" s="54"/>
      <c r="C699" s="92"/>
      <c r="D699" s="92"/>
    </row>
    <row r="700" spans="1:4" ht="14.25" x14ac:dyDescent="0.45">
      <c r="A700" s="54"/>
      <c r="C700" s="92"/>
      <c r="D700" s="92"/>
    </row>
    <row r="701" spans="1:4" ht="14.25" x14ac:dyDescent="0.45">
      <c r="A701" s="54"/>
      <c r="C701" s="92"/>
      <c r="D701" s="92"/>
    </row>
    <row r="702" spans="1:4" ht="14.25" x14ac:dyDescent="0.45">
      <c r="A702" s="54"/>
      <c r="C702" s="92"/>
      <c r="D702" s="92"/>
    </row>
    <row r="703" spans="1:4" ht="14.25" x14ac:dyDescent="0.45">
      <c r="A703" s="54"/>
      <c r="C703" s="92"/>
      <c r="D703" s="92"/>
    </row>
    <row r="704" spans="1:4" ht="14.25" x14ac:dyDescent="0.45">
      <c r="A704" s="54"/>
      <c r="C704" s="92"/>
      <c r="D704" s="92"/>
    </row>
    <row r="705" spans="1:4" ht="14.25" x14ac:dyDescent="0.45">
      <c r="A705" s="54"/>
      <c r="C705" s="92"/>
      <c r="D705" s="92"/>
    </row>
    <row r="706" spans="1:4" ht="14.25" x14ac:dyDescent="0.45">
      <c r="A706" s="54"/>
      <c r="C706" s="92"/>
      <c r="D706" s="92"/>
    </row>
    <row r="707" spans="1:4" ht="14.25" x14ac:dyDescent="0.45">
      <c r="A707" s="54"/>
      <c r="C707" s="92"/>
      <c r="D707" s="92"/>
    </row>
    <row r="708" spans="1:4" ht="14.25" x14ac:dyDescent="0.45">
      <c r="A708" s="54"/>
      <c r="C708" s="92"/>
      <c r="D708" s="92"/>
    </row>
    <row r="709" spans="1:4" ht="14.25" x14ac:dyDescent="0.45">
      <c r="A709" s="54"/>
      <c r="C709" s="92"/>
      <c r="D709" s="92"/>
    </row>
    <row r="710" spans="1:4" ht="14.25" x14ac:dyDescent="0.45">
      <c r="A710" s="54"/>
      <c r="C710" s="92"/>
      <c r="D710" s="92"/>
    </row>
    <row r="711" spans="1:4" ht="14.25" x14ac:dyDescent="0.45">
      <c r="A711" s="54"/>
      <c r="C711" s="92"/>
      <c r="D711" s="92"/>
    </row>
    <row r="712" spans="1:4" ht="14.25" x14ac:dyDescent="0.45">
      <c r="A712" s="54"/>
      <c r="C712" s="92"/>
      <c r="D712" s="92"/>
    </row>
    <row r="713" spans="1:4" ht="14.25" x14ac:dyDescent="0.45">
      <c r="A713" s="54"/>
      <c r="C713" s="92"/>
      <c r="D713" s="92"/>
    </row>
    <row r="714" spans="1:4" ht="14.25" x14ac:dyDescent="0.45">
      <c r="A714" s="54"/>
      <c r="C714" s="92"/>
      <c r="D714" s="92"/>
    </row>
    <row r="715" spans="1:4" ht="14.25" x14ac:dyDescent="0.45">
      <c r="A715" s="54"/>
      <c r="C715" s="92"/>
      <c r="D715" s="92"/>
    </row>
    <row r="716" spans="1:4" ht="14.25" x14ac:dyDescent="0.45">
      <c r="A716" s="54"/>
      <c r="C716" s="92"/>
      <c r="D716" s="92"/>
    </row>
    <row r="717" spans="1:4" ht="14.25" x14ac:dyDescent="0.45">
      <c r="A717" s="54"/>
      <c r="C717" s="92"/>
      <c r="D717" s="92"/>
    </row>
    <row r="718" spans="1:4" ht="14.25" x14ac:dyDescent="0.45">
      <c r="A718" s="54"/>
      <c r="C718" s="92"/>
      <c r="D718" s="92"/>
    </row>
    <row r="719" spans="1:4" ht="14.25" x14ac:dyDescent="0.45">
      <c r="A719" s="54"/>
      <c r="C719" s="92"/>
      <c r="D719" s="92"/>
    </row>
    <row r="720" spans="1:4" ht="14.25" x14ac:dyDescent="0.45">
      <c r="A720" s="54"/>
      <c r="C720" s="92"/>
      <c r="D720" s="92"/>
    </row>
    <row r="721" spans="1:4" ht="14.25" x14ac:dyDescent="0.45">
      <c r="A721" s="54"/>
      <c r="C721" s="92"/>
      <c r="D721" s="92"/>
    </row>
    <row r="722" spans="1:4" ht="14.25" x14ac:dyDescent="0.45">
      <c r="A722" s="54"/>
      <c r="C722" s="92"/>
      <c r="D722" s="92"/>
    </row>
    <row r="723" spans="1:4" ht="14.25" x14ac:dyDescent="0.45">
      <c r="A723" s="54"/>
      <c r="C723" s="92"/>
      <c r="D723" s="92"/>
    </row>
    <row r="724" spans="1:4" ht="14.25" x14ac:dyDescent="0.45">
      <c r="A724" s="54"/>
      <c r="C724" s="92"/>
      <c r="D724" s="92"/>
    </row>
    <row r="725" spans="1:4" ht="14.25" x14ac:dyDescent="0.45">
      <c r="A725" s="54"/>
      <c r="C725" s="92"/>
      <c r="D725" s="92"/>
    </row>
    <row r="726" spans="1:4" ht="14.25" x14ac:dyDescent="0.45">
      <c r="A726" s="54"/>
      <c r="C726" s="92"/>
      <c r="D726" s="92"/>
    </row>
    <row r="727" spans="1:4" ht="14.25" x14ac:dyDescent="0.45">
      <c r="A727" s="54"/>
      <c r="C727" s="92"/>
      <c r="D727" s="92"/>
    </row>
    <row r="728" spans="1:4" ht="14.25" x14ac:dyDescent="0.45">
      <c r="A728" s="54"/>
      <c r="C728" s="92"/>
      <c r="D728" s="92"/>
    </row>
    <row r="729" spans="1:4" ht="14.25" x14ac:dyDescent="0.45">
      <c r="A729" s="54"/>
      <c r="C729" s="92"/>
      <c r="D729" s="92"/>
    </row>
    <row r="730" spans="1:4" ht="14.25" x14ac:dyDescent="0.45">
      <c r="A730" s="54"/>
      <c r="C730" s="92"/>
      <c r="D730" s="92"/>
    </row>
    <row r="731" spans="1:4" ht="14.25" x14ac:dyDescent="0.45">
      <c r="A731" s="54"/>
      <c r="C731" s="92"/>
      <c r="D731" s="92"/>
    </row>
    <row r="732" spans="1:4" ht="14.25" x14ac:dyDescent="0.45">
      <c r="A732" s="54"/>
      <c r="C732" s="92"/>
      <c r="D732" s="92"/>
    </row>
    <row r="733" spans="1:4" ht="14.25" x14ac:dyDescent="0.45">
      <c r="A733" s="54"/>
      <c r="C733" s="92"/>
      <c r="D733" s="92"/>
    </row>
    <row r="734" spans="1:4" ht="14.25" x14ac:dyDescent="0.45">
      <c r="A734" s="54"/>
      <c r="C734" s="92"/>
      <c r="D734" s="92"/>
    </row>
    <row r="735" spans="1:4" ht="14.25" x14ac:dyDescent="0.45">
      <c r="A735" s="54"/>
      <c r="C735" s="92"/>
      <c r="D735" s="92"/>
    </row>
    <row r="736" spans="1:4" ht="14.25" x14ac:dyDescent="0.45">
      <c r="A736" s="54"/>
      <c r="C736" s="92"/>
      <c r="D736" s="92"/>
    </row>
    <row r="737" spans="1:4" ht="14.25" x14ac:dyDescent="0.45">
      <c r="A737" s="54"/>
      <c r="C737" s="92"/>
      <c r="D737" s="92"/>
    </row>
    <row r="738" spans="1:4" ht="14.25" x14ac:dyDescent="0.45">
      <c r="A738" s="54"/>
      <c r="C738" s="92"/>
      <c r="D738" s="92"/>
    </row>
    <row r="739" spans="1:4" ht="14.25" x14ac:dyDescent="0.45">
      <c r="A739" s="54"/>
      <c r="C739" s="92"/>
      <c r="D739" s="92"/>
    </row>
    <row r="740" spans="1:4" ht="14.25" x14ac:dyDescent="0.45">
      <c r="A740" s="54"/>
      <c r="C740" s="92"/>
      <c r="D740" s="92"/>
    </row>
    <row r="741" spans="1:4" ht="14.25" x14ac:dyDescent="0.45">
      <c r="A741" s="54"/>
      <c r="C741" s="92"/>
      <c r="D741" s="92"/>
    </row>
    <row r="742" spans="1:4" ht="14.25" x14ac:dyDescent="0.45">
      <c r="A742" s="54"/>
      <c r="C742" s="92"/>
      <c r="D742" s="92"/>
    </row>
    <row r="743" spans="1:4" ht="14.25" x14ac:dyDescent="0.45">
      <c r="A743" s="54"/>
      <c r="C743" s="92"/>
      <c r="D743" s="92"/>
    </row>
    <row r="744" spans="1:4" ht="14.25" x14ac:dyDescent="0.45">
      <c r="A744" s="54"/>
      <c r="C744" s="92"/>
      <c r="D744" s="92"/>
    </row>
    <row r="745" spans="1:4" ht="14.25" x14ac:dyDescent="0.45">
      <c r="A745" s="54"/>
      <c r="C745" s="92"/>
      <c r="D745" s="92"/>
    </row>
    <row r="746" spans="1:4" ht="14.25" x14ac:dyDescent="0.45">
      <c r="A746" s="54"/>
      <c r="C746" s="92"/>
      <c r="D746" s="92"/>
    </row>
    <row r="747" spans="1:4" ht="14.25" x14ac:dyDescent="0.45">
      <c r="A747" s="54"/>
      <c r="C747" s="92"/>
      <c r="D747" s="92"/>
    </row>
    <row r="748" spans="1:4" ht="14.25" x14ac:dyDescent="0.45">
      <c r="A748" s="54"/>
      <c r="C748" s="92"/>
      <c r="D748" s="92"/>
    </row>
    <row r="749" spans="1:4" ht="14.25" x14ac:dyDescent="0.45">
      <c r="A749" s="54"/>
      <c r="C749" s="92"/>
      <c r="D749" s="92"/>
    </row>
    <row r="750" spans="1:4" ht="14.25" x14ac:dyDescent="0.45">
      <c r="A750" s="54"/>
      <c r="C750" s="92"/>
      <c r="D750" s="92"/>
    </row>
    <row r="751" spans="1:4" ht="14.25" x14ac:dyDescent="0.45">
      <c r="A751" s="54"/>
      <c r="C751" s="92"/>
      <c r="D751" s="92"/>
    </row>
    <row r="752" spans="1:4" ht="14.25" x14ac:dyDescent="0.45">
      <c r="A752" s="54"/>
      <c r="C752" s="92"/>
      <c r="D752" s="92"/>
    </row>
    <row r="753" spans="1:4" ht="14.25" x14ac:dyDescent="0.45">
      <c r="A753" s="54"/>
      <c r="C753" s="92"/>
      <c r="D753" s="92"/>
    </row>
    <row r="754" spans="1:4" ht="14.25" x14ac:dyDescent="0.45">
      <c r="A754" s="54"/>
      <c r="C754" s="92"/>
      <c r="D754" s="92"/>
    </row>
    <row r="755" spans="1:4" ht="14.25" x14ac:dyDescent="0.45">
      <c r="A755" s="54"/>
      <c r="C755" s="92"/>
      <c r="D755" s="92"/>
    </row>
    <row r="756" spans="1:4" ht="14.25" x14ac:dyDescent="0.45">
      <c r="A756" s="54"/>
      <c r="C756" s="92"/>
      <c r="D756" s="92"/>
    </row>
    <row r="757" spans="1:4" ht="14.25" x14ac:dyDescent="0.45">
      <c r="A757" s="54"/>
      <c r="C757" s="92"/>
      <c r="D757" s="92"/>
    </row>
    <row r="758" spans="1:4" ht="14.25" x14ac:dyDescent="0.45">
      <c r="A758" s="54"/>
      <c r="C758" s="92"/>
      <c r="D758" s="92"/>
    </row>
    <row r="759" spans="1:4" ht="14.25" x14ac:dyDescent="0.45">
      <c r="A759" s="54"/>
      <c r="C759" s="92"/>
      <c r="D759" s="92"/>
    </row>
    <row r="760" spans="1:4" ht="14.25" x14ac:dyDescent="0.45">
      <c r="A760" s="54"/>
      <c r="C760" s="92"/>
      <c r="D760" s="92"/>
    </row>
    <row r="761" spans="1:4" ht="14.25" x14ac:dyDescent="0.45">
      <c r="A761" s="54"/>
      <c r="C761" s="92"/>
      <c r="D761" s="92"/>
    </row>
    <row r="762" spans="1:4" ht="14.25" x14ac:dyDescent="0.45">
      <c r="A762" s="54"/>
      <c r="C762" s="92"/>
      <c r="D762" s="92"/>
    </row>
    <row r="763" spans="1:4" ht="14.25" x14ac:dyDescent="0.45">
      <c r="A763" s="54"/>
      <c r="C763" s="92"/>
      <c r="D763" s="92"/>
    </row>
    <row r="764" spans="1:4" ht="14.25" x14ac:dyDescent="0.45">
      <c r="A764" s="54"/>
      <c r="C764" s="92"/>
      <c r="D764" s="92"/>
    </row>
    <row r="765" spans="1:4" ht="14.25" x14ac:dyDescent="0.45">
      <c r="A765" s="54"/>
      <c r="C765" s="92"/>
      <c r="D765" s="92"/>
    </row>
    <row r="766" spans="1:4" ht="14.25" x14ac:dyDescent="0.45">
      <c r="A766" s="54"/>
      <c r="C766" s="92"/>
      <c r="D766" s="92"/>
    </row>
    <row r="767" spans="1:4" ht="14.25" x14ac:dyDescent="0.45">
      <c r="A767" s="54"/>
      <c r="C767" s="92"/>
      <c r="D767" s="92"/>
    </row>
    <row r="768" spans="1:4" ht="14.25" x14ac:dyDescent="0.45">
      <c r="A768" s="54"/>
      <c r="C768" s="92"/>
      <c r="D768" s="92"/>
    </row>
    <row r="769" spans="1:4" ht="14.25" x14ac:dyDescent="0.45">
      <c r="A769" s="54"/>
      <c r="C769" s="92"/>
      <c r="D769" s="92"/>
    </row>
    <row r="770" spans="1:4" ht="14.25" x14ac:dyDescent="0.45">
      <c r="A770" s="54"/>
      <c r="C770" s="92"/>
      <c r="D770" s="92"/>
    </row>
    <row r="771" spans="1:4" ht="14.25" x14ac:dyDescent="0.45">
      <c r="A771" s="54"/>
      <c r="C771" s="92"/>
      <c r="D771" s="92"/>
    </row>
    <row r="772" spans="1:4" ht="14.25" x14ac:dyDescent="0.45">
      <c r="A772" s="54"/>
      <c r="C772" s="92"/>
      <c r="D772" s="92"/>
    </row>
    <row r="773" spans="1:4" ht="14.25" x14ac:dyDescent="0.45">
      <c r="A773" s="54"/>
      <c r="C773" s="92"/>
      <c r="D773" s="92"/>
    </row>
    <row r="774" spans="1:4" ht="14.25" x14ac:dyDescent="0.45">
      <c r="A774" s="54"/>
      <c r="C774" s="92"/>
      <c r="D774" s="92"/>
    </row>
    <row r="775" spans="1:4" ht="14.25" x14ac:dyDescent="0.45">
      <c r="A775" s="54"/>
      <c r="C775" s="92"/>
      <c r="D775" s="92"/>
    </row>
    <row r="776" spans="1:4" ht="14.25" x14ac:dyDescent="0.45">
      <c r="A776" s="54"/>
      <c r="C776" s="92"/>
      <c r="D776" s="92"/>
    </row>
    <row r="777" spans="1:4" ht="14.25" x14ac:dyDescent="0.45">
      <c r="A777" s="54"/>
      <c r="C777" s="92"/>
      <c r="D777" s="92"/>
    </row>
    <row r="778" spans="1:4" ht="14.25" x14ac:dyDescent="0.45">
      <c r="A778" s="54"/>
      <c r="C778" s="92"/>
      <c r="D778" s="92"/>
    </row>
    <row r="779" spans="1:4" ht="14.25" x14ac:dyDescent="0.45">
      <c r="A779" s="54"/>
      <c r="C779" s="92"/>
      <c r="D779" s="92"/>
    </row>
    <row r="780" spans="1:4" ht="14.25" x14ac:dyDescent="0.45">
      <c r="A780" s="54"/>
      <c r="C780" s="92"/>
      <c r="D780" s="92"/>
    </row>
    <row r="781" spans="1:4" ht="14.25" x14ac:dyDescent="0.45">
      <c r="A781" s="54"/>
      <c r="C781" s="92"/>
      <c r="D781" s="92"/>
    </row>
    <row r="782" spans="1:4" ht="14.25" x14ac:dyDescent="0.45">
      <c r="A782" s="54"/>
      <c r="C782" s="92"/>
      <c r="D782" s="92"/>
    </row>
    <row r="783" spans="1:4" ht="14.25" x14ac:dyDescent="0.45">
      <c r="A783" s="54"/>
      <c r="C783" s="92"/>
      <c r="D783" s="92"/>
    </row>
    <row r="784" spans="1:4" ht="14.25" x14ac:dyDescent="0.45">
      <c r="A784" s="54"/>
      <c r="C784" s="92"/>
      <c r="D784" s="92"/>
    </row>
    <row r="785" spans="1:4" ht="14.25" x14ac:dyDescent="0.45">
      <c r="A785" s="54"/>
      <c r="C785" s="92"/>
      <c r="D785" s="92"/>
    </row>
    <row r="786" spans="1:4" ht="14.25" x14ac:dyDescent="0.45">
      <c r="A786" s="54"/>
      <c r="C786" s="92"/>
      <c r="D786" s="92"/>
    </row>
    <row r="787" spans="1:4" ht="14.25" x14ac:dyDescent="0.45">
      <c r="A787" s="54"/>
      <c r="C787" s="92"/>
      <c r="D787" s="92"/>
    </row>
    <row r="788" spans="1:4" ht="14.25" x14ac:dyDescent="0.45">
      <c r="A788" s="54"/>
      <c r="C788" s="92"/>
      <c r="D788" s="92"/>
    </row>
    <row r="789" spans="1:4" ht="14.25" x14ac:dyDescent="0.45">
      <c r="A789" s="54"/>
      <c r="C789" s="92"/>
      <c r="D789" s="92"/>
    </row>
    <row r="790" spans="1:4" ht="14.25" x14ac:dyDescent="0.45">
      <c r="A790" s="54"/>
      <c r="C790" s="92"/>
      <c r="D790" s="92"/>
    </row>
    <row r="791" spans="1:4" ht="14.25" x14ac:dyDescent="0.45">
      <c r="A791" s="54"/>
      <c r="C791" s="92"/>
      <c r="D791" s="92"/>
    </row>
    <row r="792" spans="1:4" ht="14.25" x14ac:dyDescent="0.45">
      <c r="A792" s="54"/>
      <c r="C792" s="92"/>
      <c r="D792" s="92"/>
    </row>
    <row r="793" spans="1:4" ht="14.25" x14ac:dyDescent="0.45">
      <c r="A793" s="54"/>
      <c r="C793" s="92"/>
      <c r="D793" s="92"/>
    </row>
    <row r="794" spans="1:4" ht="14.25" x14ac:dyDescent="0.45">
      <c r="A794" s="54"/>
      <c r="C794" s="92"/>
      <c r="D794" s="92"/>
    </row>
    <row r="795" spans="1:4" ht="14.25" x14ac:dyDescent="0.45">
      <c r="A795" s="54"/>
      <c r="C795" s="92"/>
      <c r="D795" s="92"/>
    </row>
    <row r="796" spans="1:4" ht="14.25" x14ac:dyDescent="0.45">
      <c r="A796" s="54"/>
      <c r="C796" s="92"/>
      <c r="D796" s="92"/>
    </row>
    <row r="797" spans="1:4" ht="14.25" x14ac:dyDescent="0.45">
      <c r="A797" s="54"/>
      <c r="C797" s="92"/>
      <c r="D797" s="92"/>
    </row>
    <row r="798" spans="1:4" ht="14.25" x14ac:dyDescent="0.45">
      <c r="A798" s="54"/>
      <c r="C798" s="92"/>
      <c r="D798" s="92"/>
    </row>
    <row r="799" spans="1:4" ht="14.25" x14ac:dyDescent="0.45">
      <c r="A799" s="54"/>
      <c r="C799" s="92"/>
      <c r="D799" s="92"/>
    </row>
    <row r="800" spans="1:4" ht="14.25" x14ac:dyDescent="0.45">
      <c r="A800" s="54"/>
      <c r="C800" s="92"/>
      <c r="D800" s="92"/>
    </row>
    <row r="801" spans="1:4" ht="14.25" x14ac:dyDescent="0.45">
      <c r="A801" s="54"/>
      <c r="C801" s="92"/>
      <c r="D801" s="92"/>
    </row>
    <row r="802" spans="1:4" ht="14.25" x14ac:dyDescent="0.45">
      <c r="A802" s="54"/>
      <c r="C802" s="92"/>
      <c r="D802" s="92"/>
    </row>
    <row r="803" spans="1:4" ht="14.25" x14ac:dyDescent="0.45">
      <c r="A803" s="54"/>
      <c r="C803" s="92"/>
      <c r="D803" s="92"/>
    </row>
    <row r="804" spans="1:4" ht="14.25" x14ac:dyDescent="0.45">
      <c r="A804" s="54"/>
      <c r="C804" s="92"/>
      <c r="D804" s="92"/>
    </row>
    <row r="805" spans="1:4" ht="14.25" x14ac:dyDescent="0.45">
      <c r="A805" s="54"/>
      <c r="C805" s="92"/>
      <c r="D805" s="92"/>
    </row>
    <row r="806" spans="1:4" ht="14.25" x14ac:dyDescent="0.45">
      <c r="A806" s="54"/>
      <c r="C806" s="92"/>
      <c r="D806" s="92"/>
    </row>
    <row r="807" spans="1:4" ht="14.25" x14ac:dyDescent="0.45">
      <c r="A807" s="54"/>
      <c r="C807" s="92"/>
      <c r="D807" s="92"/>
    </row>
    <row r="808" spans="1:4" ht="14.25" x14ac:dyDescent="0.45">
      <c r="A808" s="54"/>
      <c r="C808" s="92"/>
      <c r="D808" s="92"/>
    </row>
    <row r="809" spans="1:4" ht="14.25" x14ac:dyDescent="0.45">
      <c r="A809" s="54"/>
      <c r="C809" s="92"/>
      <c r="D809" s="92"/>
    </row>
    <row r="810" spans="1:4" ht="14.25" x14ac:dyDescent="0.45">
      <c r="A810" s="54"/>
      <c r="C810" s="92"/>
      <c r="D810" s="92"/>
    </row>
    <row r="811" spans="1:4" ht="14.25" x14ac:dyDescent="0.45">
      <c r="A811" s="54"/>
      <c r="C811" s="92"/>
      <c r="D811" s="92"/>
    </row>
    <row r="812" spans="1:4" ht="14.25" x14ac:dyDescent="0.45">
      <c r="A812" s="54"/>
      <c r="C812" s="92"/>
      <c r="D812" s="92"/>
    </row>
    <row r="813" spans="1:4" ht="14.25" x14ac:dyDescent="0.45">
      <c r="A813" s="54"/>
      <c r="C813" s="92"/>
      <c r="D813" s="92"/>
    </row>
    <row r="814" spans="1:4" ht="14.25" x14ac:dyDescent="0.45">
      <c r="A814" s="54"/>
      <c r="C814" s="92"/>
      <c r="D814" s="92"/>
    </row>
    <row r="815" spans="1:4" ht="14.25" x14ac:dyDescent="0.45">
      <c r="A815" s="54"/>
      <c r="C815" s="92"/>
      <c r="D815" s="92"/>
    </row>
    <row r="816" spans="1:4" ht="14.25" x14ac:dyDescent="0.45">
      <c r="A816" s="54"/>
      <c r="C816" s="92"/>
      <c r="D816" s="92"/>
    </row>
    <row r="817" spans="1:4" ht="14.25" x14ac:dyDescent="0.45">
      <c r="A817" s="54"/>
      <c r="C817" s="92"/>
      <c r="D817" s="92"/>
    </row>
    <row r="818" spans="1:4" ht="14.25" x14ac:dyDescent="0.45">
      <c r="A818" s="54"/>
      <c r="C818" s="92"/>
      <c r="D818" s="92"/>
    </row>
    <row r="819" spans="1:4" ht="14.25" x14ac:dyDescent="0.45">
      <c r="A819" s="54"/>
      <c r="C819" s="92"/>
      <c r="D819" s="92"/>
    </row>
    <row r="820" spans="1:4" ht="14.25" x14ac:dyDescent="0.45">
      <c r="A820" s="54"/>
      <c r="C820" s="92"/>
      <c r="D820" s="92"/>
    </row>
    <row r="821" spans="1:4" ht="14.25" x14ac:dyDescent="0.45">
      <c r="A821" s="54"/>
      <c r="C821" s="92"/>
      <c r="D821" s="92"/>
    </row>
    <row r="822" spans="1:4" ht="14.25" x14ac:dyDescent="0.45">
      <c r="A822" s="54"/>
      <c r="C822" s="92"/>
      <c r="D822" s="92"/>
    </row>
    <row r="823" spans="1:4" ht="14.25" x14ac:dyDescent="0.45">
      <c r="A823" s="54"/>
      <c r="C823" s="92"/>
      <c r="D823" s="92"/>
    </row>
    <row r="824" spans="1:4" ht="14.25" x14ac:dyDescent="0.45">
      <c r="A824" s="54"/>
      <c r="C824" s="92"/>
      <c r="D824" s="92"/>
    </row>
    <row r="825" spans="1:4" ht="14.25" x14ac:dyDescent="0.45">
      <c r="A825" s="54"/>
      <c r="C825" s="92"/>
      <c r="D825" s="92"/>
    </row>
    <row r="826" spans="1:4" ht="14.25" x14ac:dyDescent="0.45">
      <c r="A826" s="54"/>
      <c r="C826" s="92"/>
      <c r="D826" s="92"/>
    </row>
    <row r="827" spans="1:4" ht="14.25" x14ac:dyDescent="0.45">
      <c r="A827" s="54"/>
      <c r="C827" s="92"/>
      <c r="D827" s="92"/>
    </row>
    <row r="828" spans="1:4" ht="14.25" x14ac:dyDescent="0.45">
      <c r="A828" s="54"/>
      <c r="C828" s="92"/>
      <c r="D828" s="92"/>
    </row>
    <row r="829" spans="1:4" ht="14.25" x14ac:dyDescent="0.45">
      <c r="A829" s="54"/>
      <c r="C829" s="92"/>
      <c r="D829" s="92"/>
    </row>
    <row r="830" spans="1:4" ht="14.25" x14ac:dyDescent="0.45">
      <c r="A830" s="54"/>
      <c r="C830" s="92"/>
      <c r="D830" s="92"/>
    </row>
    <row r="831" spans="1:4" ht="14.25" x14ac:dyDescent="0.45">
      <c r="A831" s="54"/>
      <c r="C831" s="92"/>
      <c r="D831" s="92"/>
    </row>
    <row r="832" spans="1:4" ht="14.25" x14ac:dyDescent="0.45">
      <c r="A832" s="54"/>
      <c r="C832" s="92"/>
      <c r="D832" s="92"/>
    </row>
    <row r="833" spans="1:4" ht="14.25" x14ac:dyDescent="0.45">
      <c r="A833" s="54"/>
      <c r="C833" s="92"/>
      <c r="D833" s="92"/>
    </row>
    <row r="834" spans="1:4" ht="14.25" x14ac:dyDescent="0.45">
      <c r="A834" s="54"/>
      <c r="C834" s="92"/>
      <c r="D834" s="92"/>
    </row>
    <row r="835" spans="1:4" ht="14.25" x14ac:dyDescent="0.45">
      <c r="A835" s="54"/>
      <c r="C835" s="92"/>
      <c r="D835" s="92"/>
    </row>
    <row r="836" spans="1:4" ht="14.25" x14ac:dyDescent="0.45">
      <c r="A836" s="54"/>
      <c r="C836" s="92"/>
      <c r="D836" s="92"/>
    </row>
    <row r="837" spans="1:4" ht="14.25" x14ac:dyDescent="0.45">
      <c r="A837" s="54"/>
      <c r="C837" s="92"/>
      <c r="D837" s="92"/>
    </row>
    <row r="838" spans="1:4" ht="14.25" x14ac:dyDescent="0.45">
      <c r="A838" s="54"/>
      <c r="C838" s="92"/>
      <c r="D838" s="92"/>
    </row>
    <row r="839" spans="1:4" ht="14.25" x14ac:dyDescent="0.45">
      <c r="A839" s="54"/>
      <c r="C839" s="92"/>
      <c r="D839" s="92"/>
    </row>
    <row r="840" spans="1:4" ht="14.25" x14ac:dyDescent="0.45">
      <c r="A840" s="54"/>
      <c r="C840" s="92"/>
      <c r="D840" s="92"/>
    </row>
    <row r="841" spans="1:4" ht="14.25" x14ac:dyDescent="0.45">
      <c r="A841" s="54"/>
      <c r="C841" s="92"/>
      <c r="D841" s="92"/>
    </row>
    <row r="842" spans="1:4" ht="14.25" x14ac:dyDescent="0.45">
      <c r="A842" s="54"/>
      <c r="C842" s="92"/>
      <c r="D842" s="92"/>
    </row>
    <row r="843" spans="1:4" ht="14.25" x14ac:dyDescent="0.45">
      <c r="A843" s="54"/>
      <c r="C843" s="92"/>
      <c r="D843" s="92"/>
    </row>
    <row r="844" spans="1:4" ht="14.25" x14ac:dyDescent="0.45">
      <c r="A844" s="54"/>
      <c r="C844" s="92"/>
      <c r="D844" s="92"/>
    </row>
    <row r="845" spans="1:4" ht="14.25" x14ac:dyDescent="0.45">
      <c r="A845" s="54"/>
      <c r="C845" s="92"/>
      <c r="D845" s="92"/>
    </row>
    <row r="846" spans="1:4" ht="14.25" x14ac:dyDescent="0.45">
      <c r="A846" s="54"/>
      <c r="C846" s="92"/>
      <c r="D846" s="92"/>
    </row>
    <row r="847" spans="1:4" ht="14.25" x14ac:dyDescent="0.45">
      <c r="A847" s="54"/>
      <c r="C847" s="92"/>
      <c r="D847" s="92"/>
    </row>
    <row r="848" spans="1:4" ht="14.25" x14ac:dyDescent="0.45">
      <c r="A848" s="54"/>
      <c r="C848" s="92"/>
      <c r="D848" s="92"/>
    </row>
    <row r="849" spans="1:4" ht="14.25" x14ac:dyDescent="0.45">
      <c r="A849" s="54"/>
      <c r="C849" s="92"/>
      <c r="D849" s="92"/>
    </row>
    <row r="850" spans="1:4" ht="14.25" x14ac:dyDescent="0.45">
      <c r="A850" s="54"/>
      <c r="C850" s="92"/>
      <c r="D850" s="92"/>
    </row>
    <row r="851" spans="1:4" ht="14.25" x14ac:dyDescent="0.45">
      <c r="A851" s="54"/>
      <c r="C851" s="92"/>
      <c r="D851" s="92"/>
    </row>
    <row r="852" spans="1:4" ht="14.25" x14ac:dyDescent="0.45">
      <c r="A852" s="54"/>
      <c r="C852" s="92"/>
      <c r="D852" s="92"/>
    </row>
    <row r="853" spans="1:4" ht="14.25" x14ac:dyDescent="0.45">
      <c r="A853" s="54"/>
      <c r="C853" s="92"/>
      <c r="D853" s="92"/>
    </row>
    <row r="854" spans="1:4" ht="14.25" x14ac:dyDescent="0.45">
      <c r="A854" s="54"/>
      <c r="C854" s="92"/>
      <c r="D854" s="92"/>
    </row>
    <row r="855" spans="1:4" ht="14.25" x14ac:dyDescent="0.45">
      <c r="A855" s="54"/>
      <c r="C855" s="92"/>
      <c r="D855" s="92"/>
    </row>
    <row r="856" spans="1:4" ht="14.25" x14ac:dyDescent="0.45">
      <c r="A856" s="54"/>
      <c r="C856" s="92"/>
      <c r="D856" s="92"/>
    </row>
    <row r="857" spans="1:4" ht="14.25" x14ac:dyDescent="0.45">
      <c r="A857" s="54"/>
      <c r="C857" s="92"/>
      <c r="D857" s="92"/>
    </row>
    <row r="858" spans="1:4" ht="14.25" x14ac:dyDescent="0.45">
      <c r="A858" s="54"/>
      <c r="C858" s="92"/>
      <c r="D858" s="92"/>
    </row>
    <row r="859" spans="1:4" ht="14.25" x14ac:dyDescent="0.45">
      <c r="A859" s="54"/>
      <c r="C859" s="92"/>
      <c r="D859" s="92"/>
    </row>
    <row r="860" spans="1:4" ht="14.25" x14ac:dyDescent="0.45">
      <c r="A860" s="54"/>
      <c r="C860" s="92"/>
      <c r="D860" s="92"/>
    </row>
    <row r="861" spans="1:4" ht="14.25" x14ac:dyDescent="0.45">
      <c r="A861" s="54"/>
      <c r="C861" s="92"/>
      <c r="D861" s="92"/>
    </row>
    <row r="862" spans="1:4" ht="14.25" x14ac:dyDescent="0.45">
      <c r="A862" s="54"/>
      <c r="C862" s="92"/>
      <c r="D862" s="92"/>
    </row>
    <row r="863" spans="1:4" ht="14.25" x14ac:dyDescent="0.45">
      <c r="A863" s="54"/>
      <c r="C863" s="92"/>
      <c r="D863" s="92"/>
    </row>
    <row r="864" spans="1:4" ht="14.25" x14ac:dyDescent="0.45">
      <c r="A864" s="54"/>
      <c r="C864" s="92"/>
      <c r="D864" s="92"/>
    </row>
    <row r="865" spans="1:4" ht="14.25" x14ac:dyDescent="0.45">
      <c r="A865" s="54"/>
      <c r="C865" s="92"/>
      <c r="D865" s="92"/>
    </row>
    <row r="866" spans="1:4" ht="14.25" x14ac:dyDescent="0.45">
      <c r="A866" s="54"/>
      <c r="C866" s="92"/>
      <c r="D866" s="92"/>
    </row>
    <row r="867" spans="1:4" ht="14.25" x14ac:dyDescent="0.45">
      <c r="A867" s="54"/>
      <c r="C867" s="92"/>
      <c r="D867" s="92"/>
    </row>
    <row r="868" spans="1:4" ht="14.25" x14ac:dyDescent="0.45">
      <c r="A868" s="54"/>
      <c r="C868" s="92"/>
      <c r="D868" s="92"/>
    </row>
    <row r="869" spans="1:4" ht="14.25" x14ac:dyDescent="0.45">
      <c r="A869" s="54"/>
      <c r="C869" s="92"/>
      <c r="D869" s="92"/>
    </row>
    <row r="870" spans="1:4" ht="14.25" x14ac:dyDescent="0.45">
      <c r="A870" s="54"/>
      <c r="C870" s="92"/>
      <c r="D870" s="92"/>
    </row>
    <row r="871" spans="1:4" ht="14.25" x14ac:dyDescent="0.45">
      <c r="A871" s="54"/>
      <c r="C871" s="92"/>
      <c r="D871" s="92"/>
    </row>
    <row r="872" spans="1:4" ht="14.25" x14ac:dyDescent="0.45">
      <c r="A872" s="54"/>
      <c r="C872" s="92"/>
      <c r="D872" s="92"/>
    </row>
    <row r="873" spans="1:4" ht="14.25" x14ac:dyDescent="0.45">
      <c r="A873" s="54"/>
      <c r="C873" s="92"/>
      <c r="D873" s="92"/>
    </row>
    <row r="874" spans="1:4" ht="14.25" x14ac:dyDescent="0.45">
      <c r="A874" s="54"/>
      <c r="C874" s="92"/>
      <c r="D874" s="92"/>
    </row>
    <row r="875" spans="1:4" ht="14.25" x14ac:dyDescent="0.45">
      <c r="A875" s="54"/>
      <c r="C875" s="92"/>
      <c r="D875" s="92"/>
    </row>
    <row r="876" spans="1:4" ht="14.25" x14ac:dyDescent="0.45">
      <c r="A876" s="54"/>
      <c r="C876" s="92"/>
      <c r="D876" s="92"/>
    </row>
    <row r="877" spans="1:4" ht="14.25" x14ac:dyDescent="0.45">
      <c r="A877" s="54"/>
      <c r="C877" s="92"/>
      <c r="D877" s="92"/>
    </row>
    <row r="878" spans="1:4" ht="14.25" x14ac:dyDescent="0.45">
      <c r="A878" s="54"/>
      <c r="C878" s="92"/>
      <c r="D878" s="92"/>
    </row>
    <row r="879" spans="1:4" ht="14.25" x14ac:dyDescent="0.45">
      <c r="A879" s="54"/>
      <c r="C879" s="92"/>
      <c r="D879" s="92"/>
    </row>
    <row r="880" spans="1:4" ht="14.25" x14ac:dyDescent="0.45">
      <c r="A880" s="54"/>
      <c r="C880" s="92"/>
      <c r="D880" s="92"/>
    </row>
    <row r="881" spans="1:4" ht="14.25" x14ac:dyDescent="0.45">
      <c r="A881" s="54"/>
      <c r="C881" s="92"/>
      <c r="D881" s="92"/>
    </row>
    <row r="882" spans="1:4" ht="14.25" x14ac:dyDescent="0.45">
      <c r="A882" s="54"/>
      <c r="C882" s="92"/>
      <c r="D882" s="92"/>
    </row>
    <row r="883" spans="1:4" ht="14.25" x14ac:dyDescent="0.45">
      <c r="A883" s="54"/>
      <c r="C883" s="92"/>
      <c r="D883" s="92"/>
    </row>
    <row r="884" spans="1:4" ht="14.25" x14ac:dyDescent="0.45">
      <c r="A884" s="54"/>
      <c r="C884" s="92"/>
      <c r="D884" s="92"/>
    </row>
    <row r="885" spans="1:4" ht="14.25" x14ac:dyDescent="0.45">
      <c r="A885" s="54"/>
      <c r="C885" s="92"/>
      <c r="D885" s="92"/>
    </row>
    <row r="886" spans="1:4" ht="14.25" x14ac:dyDescent="0.45">
      <c r="A886" s="54"/>
      <c r="C886" s="92"/>
      <c r="D886" s="92"/>
    </row>
    <row r="887" spans="1:4" ht="14.25" x14ac:dyDescent="0.45">
      <c r="A887" s="54"/>
      <c r="C887" s="92"/>
      <c r="D887" s="92"/>
    </row>
    <row r="888" spans="1:4" ht="14.25" x14ac:dyDescent="0.45">
      <c r="A888" s="54"/>
      <c r="C888" s="92"/>
      <c r="D888" s="92"/>
    </row>
    <row r="889" spans="1:4" ht="14.25" x14ac:dyDescent="0.45">
      <c r="A889" s="54"/>
      <c r="C889" s="92"/>
      <c r="D889" s="92"/>
    </row>
    <row r="890" spans="1:4" ht="14.25" x14ac:dyDescent="0.45">
      <c r="A890" s="54"/>
      <c r="C890" s="92"/>
      <c r="D890" s="92"/>
    </row>
    <row r="891" spans="1:4" ht="14.25" x14ac:dyDescent="0.45">
      <c r="A891" s="54"/>
      <c r="C891" s="92"/>
      <c r="D891" s="92"/>
    </row>
    <row r="892" spans="1:4" ht="14.25" x14ac:dyDescent="0.45">
      <c r="A892" s="54"/>
      <c r="C892" s="92"/>
      <c r="D892" s="92"/>
    </row>
    <row r="893" spans="1:4" ht="14.25" x14ac:dyDescent="0.45">
      <c r="A893" s="54"/>
      <c r="C893" s="92"/>
      <c r="D893" s="92"/>
    </row>
    <row r="894" spans="1:4" ht="14.25" x14ac:dyDescent="0.45">
      <c r="A894" s="54"/>
      <c r="C894" s="92"/>
      <c r="D894" s="92"/>
    </row>
    <row r="895" spans="1:4" ht="14.25" x14ac:dyDescent="0.45">
      <c r="A895" s="54"/>
      <c r="C895" s="92"/>
      <c r="D895" s="92"/>
    </row>
    <row r="896" spans="1:4" ht="14.25" x14ac:dyDescent="0.45">
      <c r="A896" s="54"/>
      <c r="C896" s="92"/>
      <c r="D896" s="92"/>
    </row>
    <row r="897" spans="1:4" ht="14.25" x14ac:dyDescent="0.45">
      <c r="A897" s="54"/>
      <c r="C897" s="92"/>
      <c r="D897" s="92"/>
    </row>
    <row r="898" spans="1:4" ht="14.25" x14ac:dyDescent="0.45">
      <c r="A898" s="54"/>
      <c r="C898" s="92"/>
      <c r="D898" s="92"/>
    </row>
    <row r="899" spans="1:4" ht="14.25" x14ac:dyDescent="0.45">
      <c r="A899" s="54"/>
      <c r="C899" s="92"/>
      <c r="D899" s="92"/>
    </row>
    <row r="900" spans="1:4" ht="14.25" x14ac:dyDescent="0.45">
      <c r="A900" s="54"/>
      <c r="C900" s="92"/>
      <c r="D900" s="92"/>
    </row>
    <row r="901" spans="1:4" ht="14.25" x14ac:dyDescent="0.45">
      <c r="A901" s="54"/>
      <c r="C901" s="92"/>
      <c r="D901" s="92"/>
    </row>
    <row r="902" spans="1:4" ht="14.25" x14ac:dyDescent="0.45">
      <c r="A902" s="54"/>
      <c r="C902" s="92"/>
      <c r="D902" s="92"/>
    </row>
    <row r="903" spans="1:4" ht="14.25" x14ac:dyDescent="0.45">
      <c r="A903" s="54"/>
      <c r="C903" s="92"/>
      <c r="D903" s="92"/>
    </row>
    <row r="904" spans="1:4" ht="14.25" x14ac:dyDescent="0.45">
      <c r="A904" s="54"/>
      <c r="C904" s="92"/>
      <c r="D904" s="92"/>
    </row>
    <row r="905" spans="1:4" ht="14.25" x14ac:dyDescent="0.45">
      <c r="A905" s="54"/>
      <c r="C905" s="92"/>
      <c r="D905" s="92"/>
    </row>
    <row r="906" spans="1:4" ht="14.25" x14ac:dyDescent="0.45">
      <c r="A906" s="54"/>
      <c r="C906" s="92"/>
      <c r="D906" s="92"/>
    </row>
    <row r="907" spans="1:4" ht="14.25" x14ac:dyDescent="0.45">
      <c r="A907" s="54"/>
      <c r="C907" s="92"/>
      <c r="D907" s="92"/>
    </row>
    <row r="908" spans="1:4" ht="14.25" x14ac:dyDescent="0.45">
      <c r="A908" s="54"/>
      <c r="C908" s="92"/>
      <c r="D908" s="92"/>
    </row>
    <row r="909" spans="1:4" ht="14.25" x14ac:dyDescent="0.45">
      <c r="A909" s="54"/>
      <c r="C909" s="92"/>
      <c r="D909" s="92"/>
    </row>
    <row r="910" spans="1:4" ht="14.25" x14ac:dyDescent="0.45">
      <c r="A910" s="54"/>
      <c r="C910" s="92"/>
      <c r="D910" s="92"/>
    </row>
    <row r="911" spans="1:4" ht="14.25" x14ac:dyDescent="0.45">
      <c r="A911" s="54"/>
      <c r="C911" s="92"/>
      <c r="D911" s="92"/>
    </row>
    <row r="912" spans="1:4" ht="14.25" x14ac:dyDescent="0.45">
      <c r="A912" s="54"/>
      <c r="C912" s="92"/>
      <c r="D912" s="92"/>
    </row>
    <row r="913" spans="1:4" ht="14.25" x14ac:dyDescent="0.45">
      <c r="A913" s="54"/>
      <c r="C913" s="92"/>
      <c r="D913" s="92"/>
    </row>
    <row r="914" spans="1:4" ht="14.25" x14ac:dyDescent="0.45">
      <c r="A914" s="54"/>
      <c r="C914" s="92"/>
      <c r="D914" s="92"/>
    </row>
    <row r="915" spans="1:4" ht="14.25" x14ac:dyDescent="0.45">
      <c r="A915" s="54"/>
      <c r="C915" s="92"/>
      <c r="D915" s="92"/>
    </row>
    <row r="916" spans="1:4" ht="14.25" x14ac:dyDescent="0.45">
      <c r="A916" s="54"/>
      <c r="C916" s="92"/>
      <c r="D916" s="92"/>
    </row>
    <row r="917" spans="1:4" ht="14.25" x14ac:dyDescent="0.45">
      <c r="A917" s="54"/>
      <c r="C917" s="92"/>
      <c r="D917" s="92"/>
    </row>
    <row r="918" spans="1:4" ht="14.25" x14ac:dyDescent="0.45">
      <c r="A918" s="54"/>
      <c r="C918" s="92"/>
      <c r="D918" s="92"/>
    </row>
    <row r="919" spans="1:4" ht="14.25" x14ac:dyDescent="0.45">
      <c r="A919" s="54"/>
      <c r="C919" s="92"/>
      <c r="D919" s="92"/>
    </row>
    <row r="920" spans="1:4" ht="14.25" x14ac:dyDescent="0.45">
      <c r="A920" s="54"/>
      <c r="C920" s="92"/>
      <c r="D920" s="92"/>
    </row>
    <row r="921" spans="1:4" ht="14.25" x14ac:dyDescent="0.45">
      <c r="A921" s="54"/>
      <c r="C921" s="92"/>
      <c r="D921" s="92"/>
    </row>
    <row r="922" spans="1:4" ht="14.25" x14ac:dyDescent="0.45">
      <c r="A922" s="54"/>
      <c r="C922" s="92"/>
      <c r="D922" s="92"/>
    </row>
    <row r="923" spans="1:4" ht="14.25" x14ac:dyDescent="0.45">
      <c r="A923" s="54"/>
      <c r="C923" s="92"/>
      <c r="D923" s="92"/>
    </row>
    <row r="924" spans="1:4" ht="14.25" x14ac:dyDescent="0.45">
      <c r="A924" s="54"/>
      <c r="C924" s="92"/>
      <c r="D924" s="92"/>
    </row>
    <row r="925" spans="1:4" ht="14.25" x14ac:dyDescent="0.45">
      <c r="A925" s="54"/>
      <c r="C925" s="92"/>
      <c r="D925" s="92"/>
    </row>
    <row r="926" spans="1:4" ht="14.25" x14ac:dyDescent="0.45">
      <c r="A926" s="54"/>
      <c r="C926" s="92"/>
      <c r="D926" s="92"/>
    </row>
    <row r="927" spans="1:4" ht="14.25" x14ac:dyDescent="0.45">
      <c r="A927" s="54"/>
      <c r="C927" s="92"/>
      <c r="D927" s="92"/>
    </row>
    <row r="928" spans="1:4" ht="14.25" x14ac:dyDescent="0.45">
      <c r="A928" s="54"/>
      <c r="C928" s="92"/>
      <c r="D928" s="92"/>
    </row>
    <row r="929" spans="1:4" ht="14.25" x14ac:dyDescent="0.45">
      <c r="A929" s="54"/>
      <c r="C929" s="92"/>
      <c r="D929" s="92"/>
    </row>
    <row r="930" spans="1:4" ht="14.25" x14ac:dyDescent="0.45">
      <c r="A930" s="54"/>
      <c r="C930" s="92"/>
      <c r="D930" s="92"/>
    </row>
    <row r="931" spans="1:4" ht="14.25" x14ac:dyDescent="0.45">
      <c r="A931" s="54"/>
      <c r="C931" s="92"/>
      <c r="D931" s="92"/>
    </row>
    <row r="932" spans="1:4" ht="14.25" x14ac:dyDescent="0.45">
      <c r="A932" s="54"/>
      <c r="C932" s="92"/>
      <c r="D932" s="92"/>
    </row>
    <row r="933" spans="1:4" ht="14.25" x14ac:dyDescent="0.45">
      <c r="A933" s="54"/>
      <c r="C933" s="92"/>
      <c r="D933" s="92"/>
    </row>
    <row r="934" spans="1:4" ht="14.25" x14ac:dyDescent="0.45">
      <c r="A934" s="54"/>
      <c r="C934" s="92"/>
      <c r="D934" s="92"/>
    </row>
    <row r="935" spans="1:4" ht="14.25" x14ac:dyDescent="0.45">
      <c r="A935" s="54"/>
      <c r="C935" s="92"/>
      <c r="D935" s="92"/>
    </row>
    <row r="936" spans="1:4" ht="14.25" x14ac:dyDescent="0.45">
      <c r="A936" s="54"/>
      <c r="C936" s="92"/>
      <c r="D936" s="92"/>
    </row>
    <row r="937" spans="1:4" ht="14.25" x14ac:dyDescent="0.45">
      <c r="A937" s="54"/>
      <c r="C937" s="92"/>
      <c r="D937" s="92"/>
    </row>
    <row r="938" spans="1:4" ht="14.25" x14ac:dyDescent="0.45">
      <c r="A938" s="54"/>
      <c r="C938" s="92"/>
      <c r="D938" s="92"/>
    </row>
    <row r="939" spans="1:4" ht="14.25" x14ac:dyDescent="0.45">
      <c r="A939" s="54"/>
      <c r="C939" s="92"/>
      <c r="D939" s="92"/>
    </row>
    <row r="940" spans="1:4" ht="14.25" x14ac:dyDescent="0.45">
      <c r="A940" s="54"/>
      <c r="C940" s="92"/>
      <c r="D940" s="92"/>
    </row>
    <row r="941" spans="1:4" ht="14.25" x14ac:dyDescent="0.45">
      <c r="A941" s="54"/>
      <c r="C941" s="92"/>
      <c r="D941" s="92"/>
    </row>
    <row r="942" spans="1:4" ht="14.25" x14ac:dyDescent="0.45">
      <c r="A942" s="54"/>
      <c r="C942" s="92"/>
      <c r="D942" s="92"/>
    </row>
    <row r="943" spans="1:4" ht="14.25" x14ac:dyDescent="0.45">
      <c r="A943" s="54"/>
      <c r="C943" s="92"/>
      <c r="D943" s="92"/>
    </row>
    <row r="944" spans="1:4" ht="14.25" x14ac:dyDescent="0.45">
      <c r="A944" s="54"/>
      <c r="C944" s="92"/>
      <c r="D944" s="92"/>
    </row>
    <row r="945" spans="1:4" ht="14.25" x14ac:dyDescent="0.45">
      <c r="A945" s="54"/>
      <c r="C945" s="92"/>
      <c r="D945" s="92"/>
    </row>
    <row r="946" spans="1:4" ht="14.25" x14ac:dyDescent="0.45">
      <c r="A946" s="54"/>
      <c r="C946" s="92"/>
      <c r="D946" s="92"/>
    </row>
    <row r="947" spans="1:4" ht="14.25" x14ac:dyDescent="0.45">
      <c r="A947" s="54"/>
      <c r="C947" s="92"/>
      <c r="D947" s="92"/>
    </row>
    <row r="948" spans="1:4" ht="14.25" x14ac:dyDescent="0.45">
      <c r="A948" s="54"/>
      <c r="C948" s="92"/>
      <c r="D948" s="92"/>
    </row>
    <row r="949" spans="1:4" ht="14.25" x14ac:dyDescent="0.45">
      <c r="A949" s="54"/>
      <c r="C949" s="92"/>
      <c r="D949" s="92"/>
    </row>
    <row r="950" spans="1:4" ht="14.25" x14ac:dyDescent="0.45">
      <c r="A950" s="54"/>
      <c r="C950" s="92"/>
      <c r="D950" s="92"/>
    </row>
    <row r="951" spans="1:4" ht="14.25" x14ac:dyDescent="0.45">
      <c r="A951" s="54"/>
      <c r="C951" s="92"/>
      <c r="D951" s="92"/>
    </row>
    <row r="952" spans="1:4" ht="14.25" x14ac:dyDescent="0.45">
      <c r="A952" s="54"/>
      <c r="C952" s="92"/>
      <c r="D952" s="92"/>
    </row>
    <row r="953" spans="1:4" ht="14.25" x14ac:dyDescent="0.45">
      <c r="A953" s="54"/>
      <c r="C953" s="92"/>
      <c r="D953" s="92"/>
    </row>
    <row r="954" spans="1:4" ht="14.25" x14ac:dyDescent="0.45">
      <c r="A954" s="54"/>
      <c r="C954" s="92"/>
      <c r="D954" s="92"/>
    </row>
    <row r="955" spans="1:4" ht="14.25" x14ac:dyDescent="0.45">
      <c r="A955" s="54"/>
      <c r="C955" s="92"/>
      <c r="D955" s="92"/>
    </row>
    <row r="956" spans="1:4" ht="14.25" x14ac:dyDescent="0.45">
      <c r="A956" s="54"/>
      <c r="C956" s="92"/>
      <c r="D956" s="92"/>
    </row>
    <row r="957" spans="1:4" ht="14.25" x14ac:dyDescent="0.45">
      <c r="A957" s="54"/>
      <c r="C957" s="92"/>
      <c r="D957" s="92"/>
    </row>
    <row r="958" spans="1:4" ht="14.25" x14ac:dyDescent="0.45">
      <c r="A958" s="54"/>
      <c r="C958" s="92"/>
      <c r="D958" s="92"/>
    </row>
    <row r="959" spans="1:4" ht="14.25" x14ac:dyDescent="0.45">
      <c r="A959" s="54"/>
      <c r="C959" s="92"/>
      <c r="D959" s="92"/>
    </row>
    <row r="960" spans="1:4" ht="14.25" x14ac:dyDescent="0.45">
      <c r="A960" s="54"/>
      <c r="C960" s="92"/>
      <c r="D960" s="92"/>
    </row>
    <row r="961" spans="1:4" ht="14.25" x14ac:dyDescent="0.45">
      <c r="A961" s="54"/>
      <c r="C961" s="92"/>
      <c r="D961" s="92"/>
    </row>
    <row r="962" spans="1:4" ht="14.25" x14ac:dyDescent="0.45">
      <c r="A962" s="54"/>
      <c r="C962" s="92"/>
      <c r="D962" s="92"/>
    </row>
    <row r="963" spans="1:4" ht="14.25" x14ac:dyDescent="0.45">
      <c r="A963" s="54"/>
      <c r="C963" s="92"/>
      <c r="D963" s="92"/>
    </row>
    <row r="964" spans="1:4" ht="14.25" x14ac:dyDescent="0.45">
      <c r="A964" s="54"/>
      <c r="C964" s="92"/>
      <c r="D964" s="92"/>
    </row>
    <row r="965" spans="1:4" ht="14.25" x14ac:dyDescent="0.45">
      <c r="A965" s="54"/>
      <c r="C965" s="92"/>
      <c r="D965" s="92"/>
    </row>
    <row r="966" spans="1:4" ht="14.25" x14ac:dyDescent="0.45">
      <c r="A966" s="54"/>
      <c r="C966" s="92"/>
      <c r="D966" s="92"/>
    </row>
    <row r="967" spans="1:4" ht="14.25" x14ac:dyDescent="0.45">
      <c r="A967" s="54"/>
      <c r="C967" s="92"/>
      <c r="D967" s="92"/>
    </row>
    <row r="968" spans="1:4" ht="14.25" x14ac:dyDescent="0.45">
      <c r="A968" s="54"/>
      <c r="C968" s="92"/>
      <c r="D968" s="92"/>
    </row>
    <row r="969" spans="1:4" ht="14.25" x14ac:dyDescent="0.45">
      <c r="A969" s="54"/>
      <c r="C969" s="92"/>
      <c r="D969" s="92"/>
    </row>
    <row r="970" spans="1:4" ht="14.25" x14ac:dyDescent="0.45">
      <c r="A970" s="54"/>
      <c r="C970" s="92"/>
      <c r="D970" s="92"/>
    </row>
    <row r="971" spans="1:4" ht="14.25" x14ac:dyDescent="0.45">
      <c r="A971" s="54"/>
      <c r="C971" s="92"/>
      <c r="D971" s="92"/>
    </row>
    <row r="972" spans="1:4" ht="14.25" x14ac:dyDescent="0.45">
      <c r="A972" s="54"/>
      <c r="C972" s="92"/>
      <c r="D972" s="92"/>
    </row>
    <row r="973" spans="1:4" ht="14.25" x14ac:dyDescent="0.45">
      <c r="A973" s="54"/>
      <c r="C973" s="92"/>
      <c r="D973" s="92"/>
    </row>
    <row r="974" spans="1:4" ht="14.25" x14ac:dyDescent="0.45">
      <c r="A974" s="54"/>
      <c r="C974" s="92"/>
      <c r="D974" s="92"/>
    </row>
    <row r="975" spans="1:4" ht="14.25" x14ac:dyDescent="0.45">
      <c r="A975" s="54"/>
      <c r="C975" s="92"/>
      <c r="D975" s="92"/>
    </row>
    <row r="976" spans="1:4" ht="14.25" x14ac:dyDescent="0.45">
      <c r="A976" s="54"/>
      <c r="C976" s="92"/>
      <c r="D976" s="92"/>
    </row>
    <row r="977" spans="1:4" ht="14.25" x14ac:dyDescent="0.45">
      <c r="A977" s="54"/>
      <c r="C977" s="92"/>
      <c r="D977" s="92"/>
    </row>
    <row r="978" spans="1:4" ht="14.25" x14ac:dyDescent="0.45">
      <c r="A978" s="54"/>
      <c r="C978" s="92"/>
      <c r="D978" s="92"/>
    </row>
    <row r="979" spans="1:4" ht="14.25" x14ac:dyDescent="0.45">
      <c r="A979" s="54"/>
      <c r="C979" s="92"/>
      <c r="D979" s="92"/>
    </row>
    <row r="980" spans="1:4" ht="14.25" x14ac:dyDescent="0.45">
      <c r="A980" s="54"/>
      <c r="C980" s="92"/>
      <c r="D980" s="92"/>
    </row>
    <row r="981" spans="1:4" ht="14.25" x14ac:dyDescent="0.45">
      <c r="A981" s="54"/>
      <c r="C981" s="92"/>
      <c r="D981" s="92"/>
    </row>
    <row r="982" spans="1:4" ht="14.25" x14ac:dyDescent="0.45">
      <c r="A982" s="54"/>
      <c r="C982" s="92"/>
      <c r="D982" s="92"/>
    </row>
    <row r="983" spans="1:4" ht="14.25" x14ac:dyDescent="0.45">
      <c r="A983" s="54"/>
      <c r="C983" s="92"/>
      <c r="D983" s="92"/>
    </row>
    <row r="984" spans="1:4" ht="14.25" x14ac:dyDescent="0.45">
      <c r="A984" s="54"/>
      <c r="C984" s="92"/>
      <c r="D984" s="92"/>
    </row>
    <row r="985" spans="1:4" ht="14.25" x14ac:dyDescent="0.45">
      <c r="A985" s="54"/>
      <c r="C985" s="92"/>
      <c r="D985" s="92"/>
    </row>
    <row r="986" spans="1:4" ht="14.25" x14ac:dyDescent="0.45">
      <c r="A986" s="54"/>
      <c r="C986" s="92"/>
      <c r="D986" s="92"/>
    </row>
    <row r="987" spans="1:4" ht="14.25" x14ac:dyDescent="0.45">
      <c r="A987" s="54"/>
      <c r="C987" s="92"/>
      <c r="D987" s="92"/>
    </row>
    <row r="988" spans="1:4" ht="14.25" x14ac:dyDescent="0.45">
      <c r="A988" s="54"/>
      <c r="C988" s="92"/>
      <c r="D988" s="92"/>
    </row>
    <row r="989" spans="1:4" ht="14.25" x14ac:dyDescent="0.45">
      <c r="A989" s="54"/>
      <c r="C989" s="92"/>
      <c r="D989" s="92"/>
    </row>
    <row r="990" spans="1:4" ht="14.25" x14ac:dyDescent="0.45">
      <c r="A990" s="54"/>
      <c r="C990" s="92"/>
      <c r="D990" s="92"/>
    </row>
    <row r="991" spans="1:4" ht="14.25" x14ac:dyDescent="0.45">
      <c r="A991" s="54"/>
      <c r="C991" s="92"/>
      <c r="D991" s="92"/>
    </row>
    <row r="992" spans="1:4" ht="14.25" x14ac:dyDescent="0.45">
      <c r="A992" s="54"/>
      <c r="C992" s="92"/>
      <c r="D992" s="92"/>
    </row>
    <row r="993" spans="1:4" ht="14.25" x14ac:dyDescent="0.45">
      <c r="A993" s="54"/>
      <c r="C993" s="92"/>
      <c r="D993" s="92"/>
    </row>
    <row r="994" spans="1:4" ht="14.25" x14ac:dyDescent="0.45">
      <c r="A994" s="54"/>
      <c r="C994" s="92"/>
      <c r="D994" s="92"/>
    </row>
    <row r="995" spans="1:4" ht="14.25" x14ac:dyDescent="0.45">
      <c r="A995" s="54"/>
      <c r="C995" s="92"/>
      <c r="D995" s="92"/>
    </row>
    <row r="996" spans="1:4" ht="14.25" x14ac:dyDescent="0.45">
      <c r="A996" s="54"/>
      <c r="C996" s="92"/>
      <c r="D996" s="92"/>
    </row>
    <row r="997" spans="1:4" ht="14.25" x14ac:dyDescent="0.45">
      <c r="A997" s="54"/>
      <c r="C997" s="92"/>
      <c r="D997" s="92"/>
    </row>
    <row r="998" spans="1:4" ht="14.25" x14ac:dyDescent="0.45">
      <c r="A998" s="54"/>
      <c r="C998" s="92"/>
      <c r="D998" s="92"/>
    </row>
    <row r="999" spans="1:4" ht="14.25" x14ac:dyDescent="0.45">
      <c r="A999" s="54"/>
      <c r="C999" s="92"/>
      <c r="D999" s="92"/>
    </row>
    <row r="1000" spans="1:4" ht="14.25" x14ac:dyDescent="0.45">
      <c r="A1000" s="54"/>
      <c r="C1000" s="92"/>
      <c r="D1000" s="92"/>
    </row>
    <row r="1001" spans="1:4" ht="14.25" x14ac:dyDescent="0.45">
      <c r="A1001" s="54"/>
      <c r="C1001" s="92"/>
      <c r="D1001" s="92"/>
    </row>
    <row r="1002" spans="1:4" ht="14.25" x14ac:dyDescent="0.45">
      <c r="A1002" s="54"/>
      <c r="C1002" s="92"/>
      <c r="D1002" s="92"/>
    </row>
  </sheetData>
  <mergeCells count="18">
    <mergeCell ref="AW32:BE32"/>
    <mergeCell ref="BF32:BN32"/>
    <mergeCell ref="AE3:AM3"/>
    <mergeCell ref="AN3:AV3"/>
    <mergeCell ref="AW3:BE3"/>
    <mergeCell ref="BF3:BN3"/>
    <mergeCell ref="A32:A33"/>
    <mergeCell ref="B32:B33"/>
    <mergeCell ref="C32:L32"/>
    <mergeCell ref="M32:U32"/>
    <mergeCell ref="A3:A4"/>
    <mergeCell ref="B3:B4"/>
    <mergeCell ref="C3:L3"/>
    <mergeCell ref="M3:U3"/>
    <mergeCell ref="V3:AD3"/>
    <mergeCell ref="V32:AD32"/>
    <mergeCell ref="AE32:AM32"/>
    <mergeCell ref="AN32:AV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A1057"/>
  <sheetViews>
    <sheetView topLeftCell="C70" zoomScale="72" workbookViewId="0">
      <selection activeCell="J93" activeCellId="1" sqref="J92 J93"/>
    </sheetView>
  </sheetViews>
  <sheetFormatPr defaultColWidth="12.73046875" defaultRowHeight="15.75" customHeight="1" x14ac:dyDescent="0.35"/>
  <cols>
    <col min="3" max="3" width="89.265625" customWidth="1"/>
    <col min="4" max="7" width="14.1328125" customWidth="1"/>
    <col min="11" max="11" width="37.73046875" customWidth="1"/>
    <col min="12" max="13" width="14.265625" customWidth="1"/>
    <col min="14" max="14" width="14" customWidth="1"/>
  </cols>
  <sheetData>
    <row r="1" spans="2:7" ht="15.75" customHeight="1" x14ac:dyDescent="0.4">
      <c r="B1" s="113" t="s">
        <v>0</v>
      </c>
    </row>
    <row r="3" spans="2:7" ht="15.75" customHeight="1" x14ac:dyDescent="0.35">
      <c r="B3" s="30" t="s">
        <v>91</v>
      </c>
      <c r="C3" s="30" t="s">
        <v>92</v>
      </c>
      <c r="D3" s="31" t="s">
        <v>101</v>
      </c>
      <c r="E3" s="31" t="s">
        <v>104</v>
      </c>
      <c r="F3" s="73" t="s">
        <v>106</v>
      </c>
      <c r="G3" s="73" t="s">
        <v>108</v>
      </c>
    </row>
    <row r="4" spans="2:7" ht="15.75" customHeight="1" x14ac:dyDescent="0.35">
      <c r="B4" s="38">
        <v>10</v>
      </c>
      <c r="C4" s="74" t="s">
        <v>13</v>
      </c>
      <c r="D4" s="39">
        <v>57.76</v>
      </c>
      <c r="E4" s="39">
        <v>8.0222860296647056</v>
      </c>
      <c r="F4" s="40">
        <v>1.7244096658243349</v>
      </c>
      <c r="G4" s="40">
        <v>3.7494465575515048</v>
      </c>
    </row>
    <row r="5" spans="2:7" ht="15.75" customHeight="1" x14ac:dyDescent="0.35">
      <c r="B5" s="38">
        <v>11</v>
      </c>
      <c r="C5" s="74" t="s">
        <v>19</v>
      </c>
      <c r="D5" s="39">
        <v>12.08</v>
      </c>
      <c r="E5" s="39">
        <v>14.65939244374902</v>
      </c>
      <c r="F5" s="40">
        <v>9.6004283776463204</v>
      </c>
      <c r="G5" s="40">
        <v>23.955095609502887</v>
      </c>
    </row>
    <row r="6" spans="2:7" ht="15.75" customHeight="1" x14ac:dyDescent="0.35">
      <c r="B6" s="38">
        <v>12</v>
      </c>
      <c r="C6" s="74" t="s">
        <v>21</v>
      </c>
      <c r="D6" s="39">
        <v>49.95</v>
      </c>
      <c r="E6" s="39">
        <v>6.8926004130794931</v>
      </c>
      <c r="F6" s="40">
        <v>0.83883462045356172</v>
      </c>
      <c r="G6" s="40">
        <v>11.533096842104383</v>
      </c>
    </row>
    <row r="7" spans="2:7" ht="15.75" customHeight="1" x14ac:dyDescent="0.35">
      <c r="B7" s="38">
        <v>13</v>
      </c>
      <c r="C7" s="74" t="s">
        <v>24</v>
      </c>
      <c r="D7" s="39">
        <v>40.83</v>
      </c>
      <c r="E7" s="39">
        <v>34.801635455651137</v>
      </c>
      <c r="F7" s="40">
        <v>8.3422447550376084</v>
      </c>
      <c r="G7" s="40">
        <v>13.701183256522301</v>
      </c>
    </row>
    <row r="8" spans="2:7" ht="15.75" customHeight="1" x14ac:dyDescent="0.35">
      <c r="B8" s="38">
        <v>14</v>
      </c>
      <c r="C8" s="74" t="s">
        <v>26</v>
      </c>
      <c r="D8" s="39">
        <v>62.03</v>
      </c>
      <c r="E8" s="39">
        <v>70.847882084912214</v>
      </c>
      <c r="F8" s="40">
        <v>4.0545559693658921</v>
      </c>
      <c r="G8" s="40">
        <v>30.579504128984496</v>
      </c>
    </row>
    <row r="9" spans="2:7" ht="15.75" customHeight="1" x14ac:dyDescent="0.35">
      <c r="B9" s="38">
        <v>17</v>
      </c>
      <c r="C9" s="74" t="s">
        <v>82</v>
      </c>
      <c r="D9" s="39">
        <v>43.65</v>
      </c>
      <c r="E9" s="39">
        <v>34.884553812448239</v>
      </c>
      <c r="F9" s="40">
        <v>2.2432006357541274</v>
      </c>
      <c r="G9" s="40">
        <v>34.188984924723087</v>
      </c>
    </row>
    <row r="10" spans="2:7" ht="15.75" customHeight="1" x14ac:dyDescent="0.35">
      <c r="B10" s="38">
        <v>16</v>
      </c>
      <c r="C10" s="74" t="s">
        <v>83</v>
      </c>
      <c r="D10" s="39">
        <v>69.819999999999993</v>
      </c>
      <c r="E10" s="39">
        <v>6.4480895367788404</v>
      </c>
      <c r="F10" s="40">
        <v>7.1492164137215388</v>
      </c>
      <c r="G10" s="40">
        <v>26.010910517401708</v>
      </c>
    </row>
    <row r="11" spans="2:7" ht="15.75" customHeight="1" x14ac:dyDescent="0.35">
      <c r="B11" s="38">
        <v>17</v>
      </c>
      <c r="C11" s="74" t="s">
        <v>162</v>
      </c>
      <c r="D11" s="39">
        <v>26.22</v>
      </c>
      <c r="E11" s="39">
        <v>11.213930216819932</v>
      </c>
      <c r="F11" s="40">
        <v>6.9845548905424906</v>
      </c>
      <c r="G11" s="40">
        <v>9.476391514269169</v>
      </c>
    </row>
    <row r="12" spans="2:7" ht="15.75" customHeight="1" x14ac:dyDescent="0.35">
      <c r="B12" s="38">
        <v>18</v>
      </c>
      <c r="C12" s="74" t="s">
        <v>31</v>
      </c>
      <c r="D12" s="39">
        <v>22.25</v>
      </c>
      <c r="E12" s="39">
        <v>10.305336469348269</v>
      </c>
      <c r="F12" s="40">
        <v>3.0821702711612988</v>
      </c>
      <c r="G12" s="40">
        <v>27.359872812387366</v>
      </c>
    </row>
    <row r="13" spans="2:7" ht="15.75" customHeight="1" x14ac:dyDescent="0.35">
      <c r="B13" s="38">
        <v>19</v>
      </c>
      <c r="C13" s="74" t="s">
        <v>32</v>
      </c>
      <c r="D13" s="39">
        <v>38.049999999999997</v>
      </c>
      <c r="E13" s="39">
        <v>39.809315193074397</v>
      </c>
      <c r="F13" s="40">
        <v>1.4287098356092256</v>
      </c>
      <c r="G13" s="40">
        <v>1.7170783351755579</v>
      </c>
    </row>
    <row r="14" spans="2:7" ht="15.75" customHeight="1" x14ac:dyDescent="0.35">
      <c r="B14" s="38">
        <v>20</v>
      </c>
      <c r="C14" s="74" t="s">
        <v>33</v>
      </c>
      <c r="D14" s="39">
        <v>32.9</v>
      </c>
      <c r="E14" s="39">
        <v>28.45013341213609</v>
      </c>
      <c r="F14" s="40">
        <v>3.9040525471724519</v>
      </c>
      <c r="G14" s="40">
        <v>5.1624860102120529</v>
      </c>
    </row>
    <row r="15" spans="2:7" ht="15.75" customHeight="1" x14ac:dyDescent="0.35">
      <c r="B15" s="38">
        <v>21</v>
      </c>
      <c r="C15" s="74" t="s">
        <v>84</v>
      </c>
      <c r="D15" s="39">
        <v>18.100000000000001</v>
      </c>
      <c r="E15" s="39">
        <v>51.704020251303781</v>
      </c>
      <c r="F15" s="40">
        <v>2.5846722485577502</v>
      </c>
      <c r="G15" s="40">
        <v>14.629665383513817</v>
      </c>
    </row>
    <row r="16" spans="2:7" ht="15.75" customHeight="1" x14ac:dyDescent="0.35">
      <c r="B16" s="38">
        <v>22</v>
      </c>
      <c r="C16" s="74" t="s">
        <v>85</v>
      </c>
      <c r="D16" s="39">
        <v>43.05</v>
      </c>
      <c r="E16" s="39">
        <v>25.446465247862239</v>
      </c>
      <c r="F16" s="40">
        <v>4.9859622414506708</v>
      </c>
      <c r="G16" s="40">
        <v>13.165879360691893</v>
      </c>
    </row>
    <row r="17" spans="2:14" ht="15.75" customHeight="1" x14ac:dyDescent="0.35">
      <c r="B17" s="38">
        <v>23</v>
      </c>
      <c r="C17" s="74" t="s">
        <v>36</v>
      </c>
      <c r="D17" s="39">
        <v>29.72</v>
      </c>
      <c r="E17" s="39">
        <v>7.9478256020301341</v>
      </c>
      <c r="F17" s="40">
        <v>36.391147652539047</v>
      </c>
      <c r="G17" s="40">
        <v>18.469589851276972</v>
      </c>
    </row>
    <row r="18" spans="2:14" ht="15.75" customHeight="1" x14ac:dyDescent="0.35">
      <c r="B18" s="38">
        <v>24</v>
      </c>
      <c r="C18" s="74" t="s">
        <v>37</v>
      </c>
      <c r="D18" s="39">
        <v>48</v>
      </c>
      <c r="E18" s="39">
        <v>25.446474779216189</v>
      </c>
      <c r="F18" s="40">
        <v>7.0415082391869523</v>
      </c>
      <c r="G18" s="40">
        <v>5.1899692727556266</v>
      </c>
    </row>
    <row r="19" spans="2:14" ht="15.75" customHeight="1" x14ac:dyDescent="0.35">
      <c r="B19" s="38">
        <v>25</v>
      </c>
      <c r="C19" s="74" t="s">
        <v>86</v>
      </c>
      <c r="D19" s="39">
        <v>28.54</v>
      </c>
      <c r="E19" s="39">
        <v>29.244729286181592</v>
      </c>
      <c r="F19" s="40">
        <v>4.8886228914771257</v>
      </c>
      <c r="G19" s="40">
        <v>11.311253563044483</v>
      </c>
    </row>
    <row r="20" spans="2:14" ht="15.75" customHeight="1" x14ac:dyDescent="0.35">
      <c r="B20" s="38">
        <v>26</v>
      </c>
      <c r="C20" s="74" t="s">
        <v>87</v>
      </c>
      <c r="D20" s="39">
        <v>50.44</v>
      </c>
      <c r="E20" s="39">
        <v>56.033271108082275</v>
      </c>
      <c r="F20" s="40">
        <v>3.3401926157105835</v>
      </c>
      <c r="G20" s="40">
        <v>16.204329958443072</v>
      </c>
    </row>
    <row r="21" spans="2:14" ht="15.75" customHeight="1" x14ac:dyDescent="0.35">
      <c r="B21" s="38">
        <v>27</v>
      </c>
      <c r="C21" s="74" t="s">
        <v>40</v>
      </c>
      <c r="D21" s="39">
        <v>29.19</v>
      </c>
      <c r="E21" s="39">
        <v>57.059221317489907</v>
      </c>
      <c r="F21" s="40">
        <v>1.8712066928479765</v>
      </c>
      <c r="G21" s="40">
        <v>7.3920406672185051</v>
      </c>
    </row>
    <row r="22" spans="2:14" ht="15.75" customHeight="1" x14ac:dyDescent="0.35">
      <c r="B22" s="38">
        <v>28</v>
      </c>
      <c r="C22" s="74" t="s">
        <v>41</v>
      </c>
      <c r="D22" s="39">
        <v>28.85</v>
      </c>
      <c r="E22" s="39">
        <v>47.509980400108432</v>
      </c>
      <c r="F22" s="40">
        <v>4.6469726169456118</v>
      </c>
      <c r="G22" s="40">
        <v>19.213067240173622</v>
      </c>
    </row>
    <row r="23" spans="2:14" ht="15.75" customHeight="1" x14ac:dyDescent="0.35">
      <c r="B23" s="38">
        <v>29</v>
      </c>
      <c r="C23" s="74" t="s">
        <v>88</v>
      </c>
      <c r="D23" s="39">
        <v>31.32</v>
      </c>
      <c r="E23" s="39">
        <v>51.697585925609303</v>
      </c>
      <c r="F23" s="40">
        <v>1.7961682216604202</v>
      </c>
      <c r="G23" s="40">
        <v>12.182878141175134</v>
      </c>
    </row>
    <row r="24" spans="2:14" ht="15.75" customHeight="1" x14ac:dyDescent="0.35">
      <c r="B24" s="38">
        <v>30</v>
      </c>
      <c r="C24" s="74" t="s">
        <v>43</v>
      </c>
      <c r="D24" s="39">
        <v>32.11</v>
      </c>
      <c r="E24" s="39">
        <v>58.326926163124085</v>
      </c>
      <c r="F24" s="40">
        <v>5.4161997607913994</v>
      </c>
      <c r="G24" s="40">
        <v>8.3386837508585394</v>
      </c>
    </row>
    <row r="25" spans="2:14" ht="15.75" customHeight="1" x14ac:dyDescent="0.35">
      <c r="B25" s="38">
        <v>31</v>
      </c>
      <c r="C25" s="74" t="s">
        <v>44</v>
      </c>
      <c r="D25" s="39">
        <v>77.819999999999993</v>
      </c>
      <c r="E25" s="39">
        <v>9.376786425884962</v>
      </c>
      <c r="F25" s="40">
        <v>4.7556531988697808</v>
      </c>
      <c r="G25" s="40">
        <v>29.597403000447343</v>
      </c>
    </row>
    <row r="26" spans="2:14" ht="15.75" customHeight="1" x14ac:dyDescent="0.35">
      <c r="B26" s="38">
        <v>32</v>
      </c>
      <c r="C26" s="74" t="s">
        <v>45</v>
      </c>
      <c r="D26" s="39">
        <v>70.97</v>
      </c>
      <c r="E26" s="39">
        <v>40.686806404968316</v>
      </c>
      <c r="F26" s="40">
        <v>3.5282066517000006</v>
      </c>
      <c r="G26" s="40">
        <v>42.052699629142708</v>
      </c>
    </row>
    <row r="27" spans="2:14" ht="15.75" customHeight="1" x14ac:dyDescent="0.35">
      <c r="B27" s="38">
        <v>33</v>
      </c>
      <c r="C27" s="74" t="s">
        <v>89</v>
      </c>
      <c r="D27" s="39">
        <v>3.33</v>
      </c>
      <c r="E27" s="39">
        <v>36.60696740630199</v>
      </c>
      <c r="F27" s="40">
        <v>18.278672532937851</v>
      </c>
      <c r="G27" s="40">
        <v>47.627115166185455</v>
      </c>
    </row>
    <row r="30" spans="2:14" ht="13.15" x14ac:dyDescent="0.4">
      <c r="B30" s="72" t="s">
        <v>163</v>
      </c>
      <c r="D30" s="2"/>
      <c r="E30" s="2"/>
      <c r="F30" s="2"/>
      <c r="G30" s="2"/>
      <c r="J30" s="2"/>
      <c r="L30" s="2"/>
      <c r="M30" s="2"/>
      <c r="N30" s="2"/>
    </row>
    <row r="31" spans="2:14" ht="26.25" customHeight="1" x14ac:dyDescent="0.35">
      <c r="B31" s="30" t="s">
        <v>91</v>
      </c>
      <c r="C31" s="30" t="s">
        <v>92</v>
      </c>
      <c r="D31" s="31" t="s">
        <v>101</v>
      </c>
      <c r="E31" s="31" t="s">
        <v>104</v>
      </c>
      <c r="F31" s="73" t="s">
        <v>106</v>
      </c>
      <c r="G31" s="73" t="s">
        <v>108</v>
      </c>
      <c r="H31" s="32"/>
      <c r="I31" s="33"/>
      <c r="J31" s="34"/>
      <c r="K31" s="32"/>
      <c r="L31" s="33"/>
      <c r="M31" s="34"/>
      <c r="N31" s="2"/>
    </row>
    <row r="32" spans="2:14" ht="18.75" customHeight="1" x14ac:dyDescent="0.35">
      <c r="B32" s="38">
        <v>10</v>
      </c>
      <c r="C32" s="74" t="s">
        <v>13</v>
      </c>
      <c r="D32" s="39">
        <v>57.76</v>
      </c>
      <c r="E32" s="39">
        <v>9.3194574139204711</v>
      </c>
      <c r="F32" s="40">
        <v>10.286594567680474</v>
      </c>
      <c r="G32" s="40">
        <v>4.249545041745062</v>
      </c>
      <c r="H32" s="35"/>
      <c r="I32" s="35"/>
      <c r="J32" s="36"/>
      <c r="K32" s="35"/>
      <c r="L32" s="35"/>
      <c r="M32" s="36"/>
      <c r="N32" s="2"/>
    </row>
    <row r="33" spans="2:14" ht="18.75" customHeight="1" x14ac:dyDescent="0.35">
      <c r="B33" s="38">
        <v>11</v>
      </c>
      <c r="C33" s="74" t="s">
        <v>19</v>
      </c>
      <c r="D33" s="39">
        <v>12.08</v>
      </c>
      <c r="E33" s="39">
        <v>13.526406120138446</v>
      </c>
      <c r="F33" s="40">
        <v>18.341960735669293</v>
      </c>
      <c r="G33" s="40">
        <v>20.340764414246237</v>
      </c>
      <c r="H33" s="35"/>
      <c r="I33" s="35"/>
      <c r="J33" s="36"/>
      <c r="K33" s="35"/>
      <c r="L33" s="35"/>
      <c r="M33" s="36"/>
      <c r="N33" s="2"/>
    </row>
    <row r="34" spans="2:14" ht="18.75" customHeight="1" x14ac:dyDescent="0.35">
      <c r="B34" s="38">
        <v>12</v>
      </c>
      <c r="C34" s="74" t="s">
        <v>21</v>
      </c>
      <c r="D34" s="39">
        <v>49.95</v>
      </c>
      <c r="E34" s="39">
        <v>4.60590266686612</v>
      </c>
      <c r="F34" s="40">
        <v>5.2597780739413693</v>
      </c>
      <c r="G34" s="40">
        <v>10.04008427985057</v>
      </c>
      <c r="H34" s="35"/>
      <c r="I34" s="35"/>
      <c r="J34" s="36"/>
      <c r="K34" s="35"/>
      <c r="L34" s="35"/>
      <c r="M34" s="36"/>
      <c r="N34" s="2"/>
    </row>
    <row r="35" spans="2:14" ht="18.75" customHeight="1" x14ac:dyDescent="0.35">
      <c r="B35" s="38">
        <v>13</v>
      </c>
      <c r="C35" s="74" t="s">
        <v>24</v>
      </c>
      <c r="D35" s="39">
        <v>40.83</v>
      </c>
      <c r="E35" s="39">
        <v>21.033361009540286</v>
      </c>
      <c r="F35" s="40">
        <v>26.924796416960699</v>
      </c>
      <c r="G35" s="40">
        <v>8.5763398208611363</v>
      </c>
      <c r="H35" s="35"/>
      <c r="I35" s="35"/>
      <c r="J35" s="36"/>
      <c r="K35" s="35"/>
      <c r="L35" s="35"/>
      <c r="M35" s="36"/>
      <c r="N35" s="2"/>
    </row>
    <row r="36" spans="2:14" ht="18.75" customHeight="1" x14ac:dyDescent="0.35">
      <c r="B36" s="38">
        <v>14</v>
      </c>
      <c r="C36" s="74" t="s">
        <v>26</v>
      </c>
      <c r="D36" s="39">
        <v>62.03</v>
      </c>
      <c r="E36" s="39">
        <v>31.878659125053971</v>
      </c>
      <c r="F36" s="40">
        <v>40.379094559229671</v>
      </c>
      <c r="G36" s="40">
        <v>24.345767561821468</v>
      </c>
      <c r="H36" s="35"/>
      <c r="I36" s="35"/>
      <c r="J36" s="36"/>
      <c r="K36" s="35"/>
      <c r="L36" s="35"/>
      <c r="M36" s="36"/>
      <c r="N36" s="2"/>
    </row>
    <row r="37" spans="2:14" ht="18.75" customHeight="1" x14ac:dyDescent="0.35">
      <c r="B37" s="38">
        <v>17</v>
      </c>
      <c r="C37" s="74" t="s">
        <v>82</v>
      </c>
      <c r="D37" s="39">
        <v>43.65</v>
      </c>
      <c r="E37" s="39">
        <v>21.964100287226632</v>
      </c>
      <c r="F37" s="40">
        <v>27.327824570038771</v>
      </c>
      <c r="G37" s="40">
        <v>32.537282068493894</v>
      </c>
      <c r="H37" s="35"/>
      <c r="I37" s="35"/>
      <c r="J37" s="36"/>
      <c r="K37" s="35"/>
      <c r="L37" s="35"/>
      <c r="M37" s="36"/>
      <c r="N37" s="2"/>
    </row>
    <row r="38" spans="2:14" ht="18.75" customHeight="1" x14ac:dyDescent="0.35">
      <c r="B38" s="38">
        <v>16</v>
      </c>
      <c r="C38" s="74" t="s">
        <v>83</v>
      </c>
      <c r="D38" s="39">
        <v>69.819999999999993</v>
      </c>
      <c r="E38" s="39">
        <v>5.8598678227186936</v>
      </c>
      <c r="F38" s="40">
        <v>6.8987478009938261</v>
      </c>
      <c r="G38" s="40">
        <v>26.452061223995351</v>
      </c>
      <c r="H38" s="35"/>
      <c r="I38" s="35"/>
      <c r="J38" s="36"/>
      <c r="K38" s="35"/>
      <c r="L38" s="35"/>
      <c r="M38" s="36"/>
      <c r="N38" s="2"/>
    </row>
    <row r="39" spans="2:14" ht="18.75" customHeight="1" x14ac:dyDescent="0.35">
      <c r="B39" s="38">
        <v>17</v>
      </c>
      <c r="C39" s="74" t="s">
        <v>162</v>
      </c>
      <c r="D39" s="39">
        <v>26.22</v>
      </c>
      <c r="E39" s="39">
        <v>12.168910447206494</v>
      </c>
      <c r="F39" s="40">
        <v>14.748203875864254</v>
      </c>
      <c r="G39" s="40">
        <v>7.9318924776999786</v>
      </c>
      <c r="H39" s="35"/>
      <c r="I39" s="35"/>
      <c r="J39" s="36"/>
      <c r="K39" s="35"/>
      <c r="L39" s="35"/>
      <c r="M39" s="36"/>
      <c r="N39" s="2"/>
    </row>
    <row r="40" spans="2:14" ht="18.75" customHeight="1" x14ac:dyDescent="0.35">
      <c r="B40" s="38">
        <v>18</v>
      </c>
      <c r="C40" s="74" t="s">
        <v>31</v>
      </c>
      <c r="D40" s="39">
        <v>22.25</v>
      </c>
      <c r="E40" s="39">
        <v>6.8141070413887448</v>
      </c>
      <c r="F40" s="40">
        <v>8.0606693583710864</v>
      </c>
      <c r="G40" s="40">
        <v>18.325298582697734</v>
      </c>
      <c r="H40" s="35"/>
      <c r="I40" s="35"/>
      <c r="J40" s="36"/>
      <c r="K40" s="35"/>
      <c r="L40" s="35"/>
      <c r="M40" s="36"/>
      <c r="N40" s="2"/>
    </row>
    <row r="41" spans="2:14" ht="18.75" customHeight="1" x14ac:dyDescent="0.35">
      <c r="B41" s="38">
        <v>19</v>
      </c>
      <c r="C41" s="74" t="s">
        <v>32</v>
      </c>
      <c r="D41" s="39">
        <v>38.049999999999997</v>
      </c>
      <c r="E41" s="39">
        <v>9.1879245263500771</v>
      </c>
      <c r="F41" s="40">
        <v>11.986768661340957</v>
      </c>
      <c r="G41" s="40">
        <v>13.890760023762102</v>
      </c>
      <c r="H41" s="35"/>
      <c r="I41" s="35"/>
      <c r="J41" s="36"/>
      <c r="K41" s="35"/>
      <c r="L41" s="35"/>
      <c r="M41" s="36"/>
      <c r="N41" s="2"/>
    </row>
    <row r="42" spans="2:14" ht="18.75" customHeight="1" x14ac:dyDescent="0.35">
      <c r="B42" s="38">
        <v>20</v>
      </c>
      <c r="C42" s="74" t="s">
        <v>33</v>
      </c>
      <c r="D42" s="39">
        <v>32.9</v>
      </c>
      <c r="E42" s="39">
        <v>27.708983935725268</v>
      </c>
      <c r="F42" s="40">
        <v>36.000408264268167</v>
      </c>
      <c r="G42" s="40">
        <v>5.6000967993235697</v>
      </c>
      <c r="H42" s="35"/>
      <c r="I42" s="35"/>
      <c r="J42" s="36"/>
      <c r="K42" s="35"/>
      <c r="L42" s="35"/>
      <c r="M42" s="36"/>
      <c r="N42" s="2"/>
    </row>
    <row r="43" spans="2:14" ht="18.75" customHeight="1" x14ac:dyDescent="0.35">
      <c r="B43" s="38">
        <v>21</v>
      </c>
      <c r="C43" s="74" t="s">
        <v>84</v>
      </c>
      <c r="D43" s="39">
        <v>18.100000000000001</v>
      </c>
      <c r="E43" s="39">
        <v>22.303982720572737</v>
      </c>
      <c r="F43" s="40">
        <v>38.440680547909572</v>
      </c>
      <c r="G43" s="40">
        <v>22.78101133510776</v>
      </c>
      <c r="H43" s="35"/>
      <c r="I43" s="35"/>
      <c r="J43" s="36"/>
      <c r="K43" s="35"/>
      <c r="L43" s="35"/>
      <c r="M43" s="36"/>
      <c r="N43" s="2"/>
    </row>
    <row r="44" spans="2:14" ht="18.75" customHeight="1" x14ac:dyDescent="0.35">
      <c r="B44" s="38">
        <v>22</v>
      </c>
      <c r="C44" s="74" t="s">
        <v>85</v>
      </c>
      <c r="D44" s="39">
        <v>43.05</v>
      </c>
      <c r="E44" s="39">
        <v>14.502566077705465</v>
      </c>
      <c r="F44" s="40">
        <v>16.74841257128919</v>
      </c>
      <c r="G44" s="40">
        <v>9.6005519397930161</v>
      </c>
      <c r="H44" s="35"/>
      <c r="I44" s="35"/>
      <c r="J44" s="36"/>
      <c r="K44" s="35"/>
      <c r="L44" s="35"/>
      <c r="M44" s="36"/>
      <c r="N44" s="2"/>
    </row>
    <row r="45" spans="2:14" ht="18.75" customHeight="1" x14ac:dyDescent="0.35">
      <c r="B45" s="38">
        <v>23</v>
      </c>
      <c r="C45" s="74" t="s">
        <v>36</v>
      </c>
      <c r="D45" s="39">
        <v>29.72</v>
      </c>
      <c r="E45" s="39">
        <v>11.75719463326824</v>
      </c>
      <c r="F45" s="40">
        <v>20.69620253243027</v>
      </c>
      <c r="G45" s="40">
        <v>32.255029447709894</v>
      </c>
      <c r="H45" s="35"/>
      <c r="I45" s="35"/>
      <c r="J45" s="36"/>
      <c r="K45" s="35"/>
      <c r="L45" s="35"/>
      <c r="M45" s="36"/>
      <c r="N45" s="2"/>
    </row>
    <row r="46" spans="2:14" ht="18.75" customHeight="1" x14ac:dyDescent="0.35">
      <c r="B46" s="38">
        <v>24</v>
      </c>
      <c r="C46" s="74" t="s">
        <v>37</v>
      </c>
      <c r="D46" s="39">
        <v>48</v>
      </c>
      <c r="E46" s="39">
        <v>33.262958635762644</v>
      </c>
      <c r="F46" s="40">
        <v>38.924375301981293</v>
      </c>
      <c r="G46" s="40">
        <v>5.7635136747893139</v>
      </c>
      <c r="H46" s="35"/>
      <c r="I46" s="35"/>
      <c r="J46" s="36"/>
      <c r="K46" s="35"/>
      <c r="L46" s="35"/>
      <c r="M46" s="36"/>
      <c r="N46" s="2"/>
    </row>
    <row r="47" spans="2:14" ht="18.75" customHeight="1" x14ac:dyDescent="0.35">
      <c r="B47" s="38">
        <v>25</v>
      </c>
      <c r="C47" s="74" t="s">
        <v>86</v>
      </c>
      <c r="D47" s="39">
        <v>28.54</v>
      </c>
      <c r="E47" s="39">
        <v>24.691068883150788</v>
      </c>
      <c r="F47" s="40">
        <v>30.673520143676004</v>
      </c>
      <c r="G47" s="40">
        <v>17.054123838195196</v>
      </c>
      <c r="H47" s="35"/>
      <c r="I47" s="35"/>
      <c r="J47" s="36"/>
      <c r="K47" s="35"/>
      <c r="L47" s="35"/>
      <c r="M47" s="36"/>
      <c r="N47" s="2"/>
    </row>
    <row r="48" spans="2:14" ht="18.75" customHeight="1" x14ac:dyDescent="0.35">
      <c r="B48" s="38">
        <v>26</v>
      </c>
      <c r="C48" s="74" t="s">
        <v>87</v>
      </c>
      <c r="D48" s="39">
        <v>50.44</v>
      </c>
      <c r="E48" s="39">
        <v>53.284464303137682</v>
      </c>
      <c r="F48" s="40">
        <v>65.3235450935275</v>
      </c>
      <c r="G48" s="40">
        <v>10.004184903952448</v>
      </c>
      <c r="H48" s="35"/>
      <c r="I48" s="35"/>
      <c r="J48" s="36"/>
      <c r="K48" s="35"/>
      <c r="L48" s="35"/>
      <c r="M48" s="36"/>
      <c r="N48" s="2"/>
    </row>
    <row r="49" spans="1:27" ht="18.75" customHeight="1" x14ac:dyDescent="0.35">
      <c r="B49" s="38">
        <v>27</v>
      </c>
      <c r="C49" s="74" t="s">
        <v>40</v>
      </c>
      <c r="D49" s="39">
        <v>29.19</v>
      </c>
      <c r="E49" s="39">
        <v>32.503551763967721</v>
      </c>
      <c r="F49" s="40">
        <v>41.873258296855504</v>
      </c>
      <c r="G49" s="40">
        <v>10.881053665381311</v>
      </c>
      <c r="H49" s="35"/>
      <c r="I49" s="35"/>
      <c r="J49" s="36"/>
      <c r="K49" s="35"/>
      <c r="L49" s="35"/>
      <c r="M49" s="36"/>
      <c r="N49" s="2"/>
    </row>
    <row r="50" spans="1:27" ht="18.75" customHeight="1" x14ac:dyDescent="0.35">
      <c r="B50" s="38">
        <v>28</v>
      </c>
      <c r="C50" s="74" t="s">
        <v>41</v>
      </c>
      <c r="D50" s="39">
        <v>28.85</v>
      </c>
      <c r="E50" s="39">
        <v>24.282049479307137</v>
      </c>
      <c r="F50" s="40">
        <v>35.180478122187253</v>
      </c>
      <c r="G50" s="40">
        <v>25.721250903652347</v>
      </c>
      <c r="H50" s="35"/>
      <c r="I50" s="35"/>
      <c r="J50" s="36"/>
      <c r="K50" s="35"/>
      <c r="L50" s="35"/>
      <c r="M50" s="36"/>
      <c r="N50" s="2"/>
    </row>
    <row r="51" spans="1:27" ht="18.75" customHeight="1" x14ac:dyDescent="0.35">
      <c r="B51" s="38">
        <v>29</v>
      </c>
      <c r="C51" s="74" t="s">
        <v>88</v>
      </c>
      <c r="D51" s="39">
        <v>31.32</v>
      </c>
      <c r="E51" s="39">
        <v>20.485543730034429</v>
      </c>
      <c r="F51" s="40">
        <v>33.579929275223925</v>
      </c>
      <c r="G51" s="40">
        <v>12.960701450839476</v>
      </c>
      <c r="H51" s="35"/>
      <c r="I51" s="35"/>
      <c r="J51" s="36"/>
      <c r="K51" s="35"/>
      <c r="L51" s="35"/>
      <c r="M51" s="36"/>
      <c r="N51" s="2"/>
    </row>
    <row r="52" spans="1:27" ht="18.75" customHeight="1" x14ac:dyDescent="0.35">
      <c r="B52" s="38">
        <v>30</v>
      </c>
      <c r="C52" s="74" t="s">
        <v>43</v>
      </c>
      <c r="D52" s="39">
        <v>32.11</v>
      </c>
      <c r="E52" s="39">
        <v>23.350249242519478</v>
      </c>
      <c r="F52" s="40">
        <v>29.737096074804636</v>
      </c>
      <c r="G52" s="40">
        <v>18.652821592015581</v>
      </c>
      <c r="H52" s="35"/>
      <c r="I52" s="35"/>
      <c r="J52" s="36"/>
      <c r="K52" s="35"/>
      <c r="L52" s="35"/>
      <c r="M52" s="36"/>
      <c r="N52" s="2"/>
    </row>
    <row r="53" spans="1:27" ht="18.75" customHeight="1" x14ac:dyDescent="0.35">
      <c r="B53" s="38">
        <v>31</v>
      </c>
      <c r="C53" s="74" t="s">
        <v>44</v>
      </c>
      <c r="D53" s="39">
        <v>77.819999999999993</v>
      </c>
      <c r="E53" s="39">
        <v>6.0517073819104743</v>
      </c>
      <c r="F53" s="40">
        <v>7.3534437291700341</v>
      </c>
      <c r="G53" s="40">
        <v>25.393397260961574</v>
      </c>
      <c r="H53" s="35"/>
      <c r="I53" s="35"/>
      <c r="J53" s="36"/>
      <c r="K53" s="35"/>
      <c r="L53" s="35"/>
      <c r="M53" s="36"/>
      <c r="N53" s="2"/>
    </row>
    <row r="54" spans="1:27" ht="18.75" customHeight="1" x14ac:dyDescent="0.35">
      <c r="B54" s="38">
        <v>32</v>
      </c>
      <c r="C54" s="74" t="s">
        <v>45</v>
      </c>
      <c r="D54" s="39">
        <v>70.97</v>
      </c>
      <c r="E54" s="39">
        <v>43.937785167543652</v>
      </c>
      <c r="F54" s="40">
        <v>54.077972556204358</v>
      </c>
      <c r="G54" s="40">
        <v>43.092932456229363</v>
      </c>
      <c r="H54" s="35"/>
      <c r="I54" s="35"/>
      <c r="J54" s="36"/>
      <c r="K54" s="35"/>
      <c r="L54" s="35"/>
      <c r="M54" s="36"/>
      <c r="N54" s="2"/>
    </row>
    <row r="55" spans="1:27" ht="18.75" customHeight="1" x14ac:dyDescent="0.35">
      <c r="B55" s="38">
        <v>33</v>
      </c>
      <c r="C55" s="74" t="s">
        <v>89</v>
      </c>
      <c r="D55" s="39">
        <v>3.33</v>
      </c>
      <c r="E55" s="39">
        <v>20.741038739274956</v>
      </c>
      <c r="F55" s="40">
        <v>36.784252304980654</v>
      </c>
      <c r="G55" s="40">
        <v>70.102767113272023</v>
      </c>
      <c r="H55" s="35"/>
      <c r="I55" s="35"/>
      <c r="J55" s="36"/>
      <c r="K55" s="35"/>
      <c r="L55" s="35"/>
      <c r="M55" s="36"/>
      <c r="N55" s="2"/>
    </row>
    <row r="56" spans="1:27" ht="12.75" x14ac:dyDescent="0.35">
      <c r="D56" s="2"/>
      <c r="E56" s="2"/>
      <c r="F56" s="2"/>
      <c r="G56" s="2"/>
      <c r="J56" s="2"/>
      <c r="L56" s="2"/>
      <c r="M56" s="2"/>
      <c r="N56" s="2"/>
    </row>
    <row r="57" spans="1:27" ht="12.75" x14ac:dyDescent="0.35">
      <c r="D57" s="2"/>
      <c r="E57" s="2"/>
      <c r="F57" s="2"/>
      <c r="G57" s="2"/>
      <c r="J57" s="2"/>
      <c r="L57" s="2"/>
      <c r="M57" s="2"/>
      <c r="N57" s="2"/>
    </row>
    <row r="58" spans="1:27" ht="13.15" x14ac:dyDescent="0.4">
      <c r="B58" s="72" t="s">
        <v>164</v>
      </c>
      <c r="D58" s="2"/>
      <c r="E58" s="2"/>
      <c r="F58" s="2"/>
      <c r="G58" s="2"/>
      <c r="J58" s="2"/>
      <c r="L58" s="2"/>
      <c r="M58" s="2"/>
      <c r="N58" s="2"/>
    </row>
    <row r="59" spans="1:27" ht="26.25" customHeight="1" x14ac:dyDescent="0.35">
      <c r="A59" s="75"/>
      <c r="B59" s="30" t="s">
        <v>91</v>
      </c>
      <c r="C59" s="30" t="s">
        <v>92</v>
      </c>
      <c r="D59" s="31" t="s">
        <v>104</v>
      </c>
      <c r="E59" s="73" t="s">
        <v>106</v>
      </c>
      <c r="F59" s="73" t="s">
        <v>108</v>
      </c>
      <c r="G59" s="2"/>
      <c r="I59" s="12"/>
      <c r="J59" s="30" t="s">
        <v>165</v>
      </c>
      <c r="K59" s="30" t="s">
        <v>92</v>
      </c>
      <c r="L59" s="31" t="s">
        <v>113</v>
      </c>
      <c r="M59" s="73" t="s">
        <v>106</v>
      </c>
      <c r="N59" s="73" t="s">
        <v>108</v>
      </c>
      <c r="O59" s="75"/>
      <c r="P59" s="75"/>
      <c r="Q59" s="76"/>
      <c r="R59" s="75"/>
      <c r="S59" s="75"/>
      <c r="T59" s="76"/>
    </row>
    <row r="60" spans="1:27" ht="18.75" customHeight="1" x14ac:dyDescent="0.35">
      <c r="A60" s="37"/>
      <c r="B60" s="38">
        <v>10</v>
      </c>
      <c r="C60" s="5" t="s">
        <v>13</v>
      </c>
      <c r="D60" s="39">
        <v>8.0222860296647056</v>
      </c>
      <c r="E60" s="40">
        <v>1.7244096658243349</v>
      </c>
      <c r="F60" s="40">
        <v>3.7494465575515048</v>
      </c>
      <c r="G60" s="41"/>
      <c r="H60" s="42"/>
      <c r="I60" s="43"/>
      <c r="J60" s="38">
        <v>11</v>
      </c>
      <c r="K60" s="5" t="s">
        <v>54</v>
      </c>
      <c r="L60" s="39">
        <v>1.6875567494235875</v>
      </c>
      <c r="M60" s="40">
        <v>3.7841138701407471</v>
      </c>
      <c r="N60" s="40">
        <v>6.556043979248309</v>
      </c>
      <c r="O60" s="42"/>
      <c r="P60" s="42"/>
      <c r="Q60" s="43"/>
      <c r="R60" s="42"/>
      <c r="S60" s="42"/>
      <c r="T60" s="43"/>
      <c r="U60" s="44"/>
      <c r="V60" s="44"/>
      <c r="W60" s="44"/>
      <c r="X60" s="44"/>
      <c r="Y60" s="44"/>
      <c r="Z60" s="44"/>
      <c r="AA60" s="44"/>
    </row>
    <row r="61" spans="1:27" ht="18.75" customHeight="1" x14ac:dyDescent="0.35">
      <c r="A61" s="37"/>
      <c r="B61" s="38">
        <v>11</v>
      </c>
      <c r="C61" s="5" t="s">
        <v>19</v>
      </c>
      <c r="D61" s="39">
        <v>14.65939244374902</v>
      </c>
      <c r="E61" s="40">
        <v>9.6004283776463204</v>
      </c>
      <c r="F61" s="40">
        <v>23.955095609502887</v>
      </c>
      <c r="G61" s="41"/>
      <c r="H61" s="42"/>
      <c r="I61" s="43"/>
      <c r="J61" s="38">
        <v>12</v>
      </c>
      <c r="K61" s="5" t="s">
        <v>17</v>
      </c>
      <c r="L61" s="39">
        <v>7.9632770567616458</v>
      </c>
      <c r="M61" s="40">
        <v>2.9654109235703525</v>
      </c>
      <c r="N61" s="40">
        <v>5.1696765360310808</v>
      </c>
      <c r="O61" s="42"/>
      <c r="P61" s="42"/>
      <c r="Q61" s="43"/>
      <c r="R61" s="42"/>
      <c r="S61" s="42"/>
      <c r="T61" s="43"/>
      <c r="U61" s="44"/>
      <c r="V61" s="44"/>
      <c r="W61" s="44"/>
      <c r="X61" s="44"/>
      <c r="Y61" s="44"/>
      <c r="Z61" s="44"/>
      <c r="AA61" s="44"/>
    </row>
    <row r="62" spans="1:27" ht="18.75" customHeight="1" x14ac:dyDescent="0.35">
      <c r="A62" s="37"/>
      <c r="B62" s="38">
        <v>12</v>
      </c>
      <c r="C62" s="5" t="s">
        <v>21</v>
      </c>
      <c r="D62" s="39">
        <v>6.8926004130794931</v>
      </c>
      <c r="E62" s="40">
        <v>0.83883462045356172</v>
      </c>
      <c r="F62" s="40">
        <v>11.533096842104383</v>
      </c>
      <c r="G62" s="41"/>
      <c r="H62" s="42"/>
      <c r="I62" s="43"/>
      <c r="J62" s="38">
        <v>13</v>
      </c>
      <c r="K62" s="5" t="s">
        <v>56</v>
      </c>
      <c r="L62" s="39">
        <v>0.96051259225642216</v>
      </c>
      <c r="M62" s="40">
        <v>5.1537691054292685</v>
      </c>
      <c r="N62" s="40">
        <v>2.3006415387516195</v>
      </c>
      <c r="O62" s="42"/>
      <c r="P62" s="42"/>
      <c r="Q62" s="43"/>
      <c r="R62" s="42"/>
      <c r="S62" s="42"/>
      <c r="T62" s="43"/>
      <c r="U62" s="44"/>
      <c r="V62" s="44"/>
      <c r="W62" s="44"/>
      <c r="X62" s="44"/>
      <c r="Y62" s="44"/>
      <c r="Z62" s="44"/>
      <c r="AA62" s="44"/>
    </row>
    <row r="63" spans="1:27" ht="18.75" customHeight="1" x14ac:dyDescent="0.35">
      <c r="A63" s="37"/>
      <c r="B63" s="38">
        <v>13</v>
      </c>
      <c r="C63" s="5" t="s">
        <v>24</v>
      </c>
      <c r="D63" s="39">
        <v>34.801635455651137</v>
      </c>
      <c r="E63" s="40">
        <v>8.3422447550376084</v>
      </c>
      <c r="F63" s="40">
        <v>13.701183256522301</v>
      </c>
      <c r="G63" s="41"/>
      <c r="H63" s="42"/>
      <c r="I63" s="43"/>
      <c r="J63" s="38">
        <v>14</v>
      </c>
      <c r="K63" s="5" t="s">
        <v>57</v>
      </c>
      <c r="L63" s="39">
        <v>0.76063298809830648</v>
      </c>
      <c r="M63" s="40">
        <v>1.6420370575141219</v>
      </c>
      <c r="N63" s="40">
        <v>1.7322496857521223</v>
      </c>
      <c r="O63" s="42"/>
      <c r="P63" s="42"/>
      <c r="Q63" s="43"/>
      <c r="R63" s="42"/>
      <c r="S63" s="42"/>
      <c r="T63" s="43"/>
      <c r="U63" s="44"/>
      <c r="V63" s="44"/>
      <c r="W63" s="44"/>
      <c r="X63" s="44"/>
      <c r="Y63" s="44"/>
      <c r="Z63" s="44"/>
      <c r="AA63" s="44"/>
    </row>
    <row r="64" spans="1:27" ht="18.75" customHeight="1" x14ac:dyDescent="0.35">
      <c r="A64" s="37"/>
      <c r="B64" s="38">
        <v>14</v>
      </c>
      <c r="C64" s="5" t="s">
        <v>26</v>
      </c>
      <c r="D64" s="77">
        <v>70.847882084912214</v>
      </c>
      <c r="E64" s="40">
        <v>4.0545559693658921</v>
      </c>
      <c r="F64" s="40">
        <v>30.579504128984496</v>
      </c>
      <c r="G64" s="41"/>
      <c r="H64" s="42"/>
      <c r="I64" s="43"/>
      <c r="J64" s="38">
        <v>17</v>
      </c>
      <c r="K64" s="5" t="s">
        <v>58</v>
      </c>
      <c r="L64" s="39">
        <v>0.97251384282307662</v>
      </c>
      <c r="M64" s="40">
        <v>1.6218860858203763</v>
      </c>
      <c r="N64" s="40">
        <v>5.0820267448052432</v>
      </c>
      <c r="O64" s="42"/>
      <c r="P64" s="42"/>
      <c r="Q64" s="43"/>
      <c r="R64" s="42"/>
      <c r="S64" s="42"/>
      <c r="T64" s="43"/>
      <c r="U64" s="44"/>
      <c r="V64" s="44"/>
      <c r="W64" s="44"/>
      <c r="X64" s="44"/>
      <c r="Y64" s="44"/>
      <c r="Z64" s="44"/>
      <c r="AA64" s="44"/>
    </row>
    <row r="65" spans="1:27" ht="18.75" customHeight="1" x14ac:dyDescent="0.35">
      <c r="A65" s="37"/>
      <c r="B65" s="38">
        <v>17</v>
      </c>
      <c r="C65" s="5" t="s">
        <v>82</v>
      </c>
      <c r="D65" s="39">
        <v>34.884553812448239</v>
      </c>
      <c r="E65" s="40">
        <v>2.2432006357541274</v>
      </c>
      <c r="F65" s="40">
        <v>34.188984924723087</v>
      </c>
      <c r="G65" s="41"/>
      <c r="H65" s="42"/>
      <c r="I65" s="43"/>
      <c r="J65" s="38">
        <v>16</v>
      </c>
      <c r="K65" s="5" t="s">
        <v>59</v>
      </c>
      <c r="L65" s="39">
        <v>5.9905761429682132</v>
      </c>
      <c r="M65" s="40">
        <v>6.0315824777772145</v>
      </c>
      <c r="N65" s="40">
        <v>6.4448753082248897</v>
      </c>
      <c r="O65" s="42"/>
      <c r="P65" s="42"/>
      <c r="Q65" s="43"/>
      <c r="R65" s="42"/>
      <c r="S65" s="42"/>
      <c r="T65" s="43"/>
      <c r="U65" s="44"/>
      <c r="V65" s="44"/>
      <c r="W65" s="44"/>
      <c r="X65" s="44"/>
      <c r="Y65" s="44"/>
      <c r="Z65" s="44"/>
      <c r="AA65" s="44"/>
    </row>
    <row r="66" spans="1:27" ht="18.75" customHeight="1" x14ac:dyDescent="0.35">
      <c r="A66" s="37"/>
      <c r="B66" s="38">
        <v>16</v>
      </c>
      <c r="C66" s="5" t="s">
        <v>83</v>
      </c>
      <c r="D66" s="39">
        <v>6.4480895367788404</v>
      </c>
      <c r="E66" s="40">
        <v>7.1492164137215388</v>
      </c>
      <c r="F66" s="40">
        <v>26.010910517401708</v>
      </c>
      <c r="G66" s="41"/>
      <c r="H66" s="42"/>
      <c r="I66" s="43"/>
      <c r="J66" s="38">
        <v>17</v>
      </c>
      <c r="K66" s="5" t="s">
        <v>61</v>
      </c>
      <c r="L66" s="39">
        <v>4.6269137073251749E-3</v>
      </c>
      <c r="M66" s="40">
        <v>1.3979568985465474</v>
      </c>
      <c r="N66" s="40">
        <v>2.8383428473510679</v>
      </c>
      <c r="O66" s="42"/>
      <c r="P66" s="42"/>
      <c r="Q66" s="43"/>
      <c r="R66" s="42"/>
      <c r="S66" s="42"/>
      <c r="T66" s="43"/>
      <c r="U66" s="44"/>
      <c r="V66" s="44"/>
      <c r="W66" s="44"/>
      <c r="X66" s="44"/>
      <c r="Y66" s="44"/>
      <c r="Z66" s="44"/>
      <c r="AA66" s="44"/>
    </row>
    <row r="67" spans="1:27" ht="18.75" customHeight="1" x14ac:dyDescent="0.35">
      <c r="A67" s="37"/>
      <c r="B67" s="38">
        <v>17</v>
      </c>
      <c r="C67" s="5" t="s">
        <v>162</v>
      </c>
      <c r="D67" s="39">
        <v>11.213930216819932</v>
      </c>
      <c r="E67" s="40">
        <v>6.9845548905424906</v>
      </c>
      <c r="F67" s="40">
        <v>9.476391514269169</v>
      </c>
      <c r="G67" s="41"/>
      <c r="H67" s="42"/>
      <c r="I67" s="43"/>
      <c r="J67" s="38">
        <v>18</v>
      </c>
      <c r="K67" s="5" t="s">
        <v>62</v>
      </c>
      <c r="L67" s="39">
        <v>9.3969148693785698</v>
      </c>
      <c r="M67" s="40">
        <v>3.7835383427678817</v>
      </c>
      <c r="N67" s="40">
        <v>5.3641220631647935</v>
      </c>
      <c r="O67" s="42"/>
      <c r="P67" s="42"/>
      <c r="Q67" s="43"/>
      <c r="R67" s="42"/>
      <c r="S67" s="42"/>
      <c r="T67" s="43"/>
      <c r="U67" s="44"/>
      <c r="V67" s="44"/>
      <c r="W67" s="44"/>
      <c r="X67" s="44"/>
      <c r="Y67" s="44"/>
      <c r="Z67" s="44"/>
      <c r="AA67" s="44"/>
    </row>
    <row r="68" spans="1:27" ht="18.75" customHeight="1" x14ac:dyDescent="0.35">
      <c r="A68" s="37"/>
      <c r="B68" s="38">
        <v>18</v>
      </c>
      <c r="C68" s="5" t="s">
        <v>31</v>
      </c>
      <c r="D68" s="39">
        <v>10.305336469348269</v>
      </c>
      <c r="E68" s="40">
        <v>3.0821702711612988</v>
      </c>
      <c r="F68" s="40">
        <v>27.359872812387366</v>
      </c>
      <c r="G68" s="41"/>
      <c r="H68" s="42"/>
      <c r="I68" s="43"/>
      <c r="J68" s="38">
        <v>19</v>
      </c>
      <c r="K68" s="5" t="s">
        <v>63</v>
      </c>
      <c r="L68" s="39">
        <v>0.21307169707463999</v>
      </c>
      <c r="M68" s="40">
        <v>1.6920473848859239</v>
      </c>
      <c r="N68" s="40">
        <v>3.8436935674931219</v>
      </c>
      <c r="O68" s="42"/>
      <c r="P68" s="42"/>
      <c r="Q68" s="43"/>
      <c r="R68" s="42"/>
      <c r="S68" s="42"/>
      <c r="T68" s="43"/>
      <c r="U68" s="44"/>
      <c r="V68" s="44"/>
      <c r="W68" s="44"/>
      <c r="X68" s="44"/>
      <c r="Y68" s="44"/>
      <c r="Z68" s="44"/>
      <c r="AA68" s="44"/>
    </row>
    <row r="69" spans="1:27" ht="18.75" customHeight="1" x14ac:dyDescent="0.35">
      <c r="A69" s="37"/>
      <c r="B69" s="38">
        <v>19</v>
      </c>
      <c r="C69" s="5" t="s">
        <v>32</v>
      </c>
      <c r="D69" s="39">
        <v>39.809315193074397</v>
      </c>
      <c r="E69" s="40">
        <v>1.4287098356092256</v>
      </c>
      <c r="F69" s="40">
        <v>1.7170783351755579</v>
      </c>
      <c r="G69" s="41"/>
      <c r="H69" s="42"/>
      <c r="I69" s="43"/>
      <c r="J69" s="38">
        <v>21</v>
      </c>
      <c r="K69" s="5" t="s">
        <v>23</v>
      </c>
      <c r="L69" s="78">
        <v>52.639083624312356</v>
      </c>
      <c r="M69" s="40">
        <v>10.280832388117847</v>
      </c>
      <c r="N69" s="40">
        <v>16.576210369185343</v>
      </c>
      <c r="O69" s="42"/>
      <c r="P69" s="42"/>
      <c r="Q69" s="43"/>
      <c r="R69" s="42"/>
      <c r="S69" s="42"/>
      <c r="T69" s="43"/>
      <c r="U69" s="44"/>
      <c r="V69" s="44"/>
      <c r="W69" s="44"/>
      <c r="X69" s="44"/>
      <c r="Y69" s="44"/>
      <c r="Z69" s="44"/>
      <c r="AA69" s="44"/>
    </row>
    <row r="70" spans="1:27" ht="18.75" customHeight="1" x14ac:dyDescent="0.35">
      <c r="A70" s="37"/>
      <c r="B70" s="38">
        <v>20</v>
      </c>
      <c r="C70" s="5" t="s">
        <v>33</v>
      </c>
      <c r="D70" s="39">
        <v>28.45013341213609</v>
      </c>
      <c r="E70" s="40">
        <v>3.9040525471724519</v>
      </c>
      <c r="F70" s="40">
        <v>5.1624860102120529</v>
      </c>
      <c r="G70" s="41"/>
      <c r="H70" s="42"/>
      <c r="I70" s="43"/>
      <c r="J70" s="38">
        <v>31</v>
      </c>
      <c r="K70" s="5" t="s">
        <v>64</v>
      </c>
      <c r="L70" s="78">
        <v>41.994470392039666</v>
      </c>
      <c r="M70" s="40">
        <v>2.2284206034743614</v>
      </c>
      <c r="N70" s="40">
        <v>6.9505584050183185</v>
      </c>
      <c r="O70" s="42"/>
      <c r="P70" s="42"/>
      <c r="Q70" s="43"/>
      <c r="R70" s="42"/>
      <c r="S70" s="42"/>
      <c r="T70" s="43"/>
      <c r="U70" s="44"/>
      <c r="V70" s="44"/>
      <c r="W70" s="44"/>
      <c r="X70" s="44"/>
      <c r="Y70" s="44"/>
      <c r="Z70" s="44"/>
      <c r="AA70" s="44"/>
    </row>
    <row r="71" spans="1:27" ht="18.75" customHeight="1" x14ac:dyDescent="0.35">
      <c r="A71" s="37"/>
      <c r="B71" s="38">
        <v>21</v>
      </c>
      <c r="C71" s="5" t="s">
        <v>84</v>
      </c>
      <c r="D71" s="77">
        <v>51.704020251303781</v>
      </c>
      <c r="E71" s="40">
        <v>2.5846722485577502</v>
      </c>
      <c r="F71" s="40">
        <v>14.629665383513817</v>
      </c>
      <c r="G71" s="41"/>
      <c r="H71" s="42"/>
      <c r="I71" s="43"/>
      <c r="J71" s="38">
        <v>32</v>
      </c>
      <c r="K71" s="5" t="s">
        <v>15</v>
      </c>
      <c r="L71" s="39">
        <v>38.619669052024818</v>
      </c>
      <c r="M71" s="40">
        <v>4.5195088417254254</v>
      </c>
      <c r="N71" s="40">
        <v>12.918694621557789</v>
      </c>
      <c r="O71" s="42"/>
      <c r="P71" s="42"/>
      <c r="Q71" s="43"/>
      <c r="R71" s="42"/>
      <c r="S71" s="42"/>
      <c r="T71" s="43"/>
      <c r="U71" s="44"/>
      <c r="V71" s="44"/>
      <c r="W71" s="44"/>
      <c r="X71" s="44"/>
      <c r="Y71" s="44"/>
      <c r="Z71" s="44"/>
      <c r="AA71" s="44"/>
    </row>
    <row r="72" spans="1:27" ht="18.75" customHeight="1" x14ac:dyDescent="0.35">
      <c r="A72" s="37"/>
      <c r="B72" s="38">
        <v>22</v>
      </c>
      <c r="C72" s="5" t="s">
        <v>85</v>
      </c>
      <c r="D72" s="39">
        <v>25.446465247862239</v>
      </c>
      <c r="E72" s="40">
        <v>4.9859622414506708</v>
      </c>
      <c r="F72" s="40">
        <v>13.165879360691893</v>
      </c>
      <c r="G72" s="41"/>
      <c r="H72" s="42"/>
      <c r="I72" s="43"/>
      <c r="J72" s="38">
        <v>33</v>
      </c>
      <c r="K72" s="5" t="s">
        <v>16</v>
      </c>
      <c r="L72" s="78">
        <v>40.809013799983994</v>
      </c>
      <c r="M72" s="40">
        <v>5.0111541921899487</v>
      </c>
      <c r="N72" s="40">
        <v>17.335353111448974</v>
      </c>
      <c r="O72" s="42"/>
      <c r="P72" s="42"/>
      <c r="Q72" s="43"/>
      <c r="R72" s="42"/>
      <c r="S72" s="42"/>
      <c r="T72" s="43"/>
      <c r="U72" s="44"/>
      <c r="V72" s="44"/>
      <c r="W72" s="44"/>
      <c r="X72" s="44"/>
      <c r="Y72" s="44"/>
      <c r="Z72" s="44"/>
      <c r="AA72" s="44"/>
    </row>
    <row r="73" spans="1:27" ht="18.75" customHeight="1" x14ac:dyDescent="0.35">
      <c r="A73" s="37"/>
      <c r="B73" s="38">
        <v>23</v>
      </c>
      <c r="C73" s="5" t="s">
        <v>36</v>
      </c>
      <c r="D73" s="39">
        <v>7.9478256020301341</v>
      </c>
      <c r="E73" s="79">
        <v>36.391147652539047</v>
      </c>
      <c r="F73" s="40">
        <v>18.469589851276972</v>
      </c>
      <c r="G73" s="41"/>
      <c r="H73" s="42"/>
      <c r="I73" s="43"/>
      <c r="J73" s="38">
        <v>34</v>
      </c>
      <c r="K73" s="5" t="s">
        <v>65</v>
      </c>
      <c r="L73" s="39">
        <v>30.500255473320848</v>
      </c>
      <c r="M73" s="40">
        <v>6.3158531632815196</v>
      </c>
      <c r="N73" s="80">
        <v>40.318806630724112</v>
      </c>
      <c r="O73" s="42"/>
      <c r="P73" s="42"/>
      <c r="Q73" s="43"/>
      <c r="R73" s="42"/>
      <c r="S73" s="42"/>
      <c r="T73" s="43"/>
      <c r="U73" s="44"/>
      <c r="V73" s="44"/>
      <c r="W73" s="44"/>
      <c r="X73" s="44"/>
      <c r="Y73" s="44"/>
      <c r="Z73" s="44"/>
      <c r="AA73" s="44"/>
    </row>
    <row r="74" spans="1:27" ht="18.75" customHeight="1" x14ac:dyDescent="0.35">
      <c r="A74" s="37"/>
      <c r="B74" s="38">
        <v>24</v>
      </c>
      <c r="C74" s="5" t="s">
        <v>37</v>
      </c>
      <c r="D74" s="39">
        <v>25.446474779216189</v>
      </c>
      <c r="E74" s="40">
        <v>7.0415082391869523</v>
      </c>
      <c r="F74" s="40">
        <v>5.1899692727556266</v>
      </c>
      <c r="G74" s="41"/>
      <c r="H74" s="42"/>
      <c r="I74" s="43"/>
      <c r="J74" s="38">
        <v>35</v>
      </c>
      <c r="K74" s="5" t="s">
        <v>14</v>
      </c>
      <c r="L74" s="39">
        <v>24.728065738770905</v>
      </c>
      <c r="M74" s="40">
        <v>4.2804628359093071</v>
      </c>
      <c r="N74" s="40">
        <v>10.157830617212046</v>
      </c>
      <c r="O74" s="42"/>
      <c r="P74" s="42"/>
      <c r="Q74" s="43"/>
      <c r="R74" s="42"/>
      <c r="S74" s="42"/>
      <c r="T74" s="43"/>
      <c r="U74" s="44"/>
      <c r="V74" s="44"/>
      <c r="W74" s="44"/>
      <c r="X74" s="44"/>
      <c r="Y74" s="44"/>
      <c r="Z74" s="44"/>
      <c r="AA74" s="44"/>
    </row>
    <row r="75" spans="1:27" ht="18.75" customHeight="1" x14ac:dyDescent="0.35">
      <c r="A75" s="37"/>
      <c r="B75" s="38">
        <v>25</v>
      </c>
      <c r="C75" s="5" t="s">
        <v>86</v>
      </c>
      <c r="D75" s="39">
        <v>29.244729286181592</v>
      </c>
      <c r="E75" s="40">
        <v>4.8886228914771257</v>
      </c>
      <c r="F75" s="40">
        <v>11.311253563044483</v>
      </c>
      <c r="G75" s="41"/>
      <c r="H75" s="42"/>
      <c r="I75" s="43"/>
      <c r="J75" s="38">
        <v>36</v>
      </c>
      <c r="K75" s="5" t="s">
        <v>18</v>
      </c>
      <c r="L75" s="39">
        <v>32.508422005840451</v>
      </c>
      <c r="M75" s="40">
        <v>3.0351018436159705</v>
      </c>
      <c r="N75" s="40">
        <v>9.3963610672990487</v>
      </c>
      <c r="O75" s="42"/>
      <c r="P75" s="42"/>
      <c r="Q75" s="43"/>
      <c r="R75" s="42"/>
      <c r="S75" s="42"/>
      <c r="T75" s="43"/>
      <c r="U75" s="44"/>
      <c r="V75" s="44"/>
      <c r="W75" s="44"/>
      <c r="X75" s="44"/>
      <c r="Y75" s="44"/>
      <c r="Z75" s="44"/>
      <c r="AA75" s="44"/>
    </row>
    <row r="76" spans="1:27" ht="18.75" customHeight="1" x14ac:dyDescent="0.35">
      <c r="A76" s="37"/>
      <c r="B76" s="38">
        <v>26</v>
      </c>
      <c r="C76" s="5" t="s">
        <v>87</v>
      </c>
      <c r="D76" s="78">
        <v>56.033271108082275</v>
      </c>
      <c r="E76" s="40">
        <v>3.3401926157105835</v>
      </c>
      <c r="F76" s="40">
        <v>16.204329958443072</v>
      </c>
      <c r="G76" s="41"/>
      <c r="H76" s="42"/>
      <c r="I76" s="43"/>
      <c r="J76" s="38">
        <v>51</v>
      </c>
      <c r="K76" s="5" t="s">
        <v>20</v>
      </c>
      <c r="L76" s="39">
        <v>10.593725493494913</v>
      </c>
      <c r="M76" s="40">
        <v>6.6617066050989857</v>
      </c>
      <c r="N76" s="80">
        <v>31.453055192924761</v>
      </c>
      <c r="O76" s="42"/>
      <c r="P76" s="42"/>
      <c r="Q76" s="43"/>
      <c r="R76" s="42"/>
      <c r="S76" s="42"/>
      <c r="T76" s="43"/>
      <c r="U76" s="44"/>
      <c r="V76" s="44"/>
      <c r="W76" s="44"/>
      <c r="X76" s="44"/>
      <c r="Y76" s="44"/>
      <c r="Z76" s="44"/>
      <c r="AA76" s="44"/>
    </row>
    <row r="77" spans="1:27" ht="18.75" customHeight="1" x14ac:dyDescent="0.35">
      <c r="A77" s="37"/>
      <c r="B77" s="38">
        <v>27</v>
      </c>
      <c r="C77" s="5" t="s">
        <v>40</v>
      </c>
      <c r="D77" s="78">
        <v>57.059221317489907</v>
      </c>
      <c r="E77" s="40">
        <v>1.8712066928479765</v>
      </c>
      <c r="F77" s="40">
        <v>7.3920406672185051</v>
      </c>
      <c r="G77" s="41"/>
      <c r="H77" s="42"/>
      <c r="I77" s="43"/>
      <c r="J77" s="38">
        <v>52</v>
      </c>
      <c r="K77" s="5" t="s">
        <v>22</v>
      </c>
      <c r="L77" s="39">
        <v>1.7255658502723326</v>
      </c>
      <c r="M77" s="40">
        <v>1.95613485719465</v>
      </c>
      <c r="N77" s="40">
        <v>6.81756863111407</v>
      </c>
      <c r="O77" s="42"/>
      <c r="P77" s="42"/>
      <c r="Q77" s="43"/>
      <c r="R77" s="42"/>
      <c r="S77" s="42"/>
      <c r="T77" s="43"/>
      <c r="U77" s="44"/>
      <c r="V77" s="44"/>
      <c r="W77" s="44"/>
      <c r="X77" s="44"/>
      <c r="Y77" s="44"/>
      <c r="Z77" s="44"/>
      <c r="AA77" s="44"/>
    </row>
    <row r="78" spans="1:27" ht="18.75" customHeight="1" x14ac:dyDescent="0.35">
      <c r="A78" s="37"/>
      <c r="B78" s="38">
        <v>28</v>
      </c>
      <c r="C78" s="5" t="s">
        <v>41</v>
      </c>
      <c r="D78" s="78">
        <v>47.509980400108432</v>
      </c>
      <c r="E78" s="40">
        <v>4.6469726169456118</v>
      </c>
      <c r="F78" s="40">
        <v>19.213067240173622</v>
      </c>
      <c r="G78" s="41"/>
      <c r="H78" s="42"/>
      <c r="I78" s="43"/>
      <c r="J78" s="38">
        <v>53</v>
      </c>
      <c r="K78" s="5" t="s">
        <v>66</v>
      </c>
      <c r="L78" s="39">
        <v>0.9054761245686832</v>
      </c>
      <c r="M78" s="40">
        <v>5.6312176903280937</v>
      </c>
      <c r="N78" s="80">
        <v>24.304986807867358</v>
      </c>
      <c r="O78" s="42"/>
      <c r="P78" s="42"/>
      <c r="Q78" s="43"/>
      <c r="R78" s="42"/>
      <c r="S78" s="42"/>
      <c r="T78" s="43"/>
      <c r="U78" s="44"/>
      <c r="V78" s="44"/>
      <c r="W78" s="44"/>
      <c r="X78" s="44"/>
      <c r="Y78" s="44"/>
      <c r="Z78" s="44"/>
      <c r="AA78" s="44"/>
    </row>
    <row r="79" spans="1:27" ht="18.75" customHeight="1" x14ac:dyDescent="0.35">
      <c r="A79" s="37"/>
      <c r="B79" s="38">
        <v>29</v>
      </c>
      <c r="C79" s="5" t="s">
        <v>88</v>
      </c>
      <c r="D79" s="77">
        <v>51.697585925609303</v>
      </c>
      <c r="E79" s="40">
        <v>1.7961682216604202</v>
      </c>
      <c r="F79" s="40">
        <v>12.182878141175134</v>
      </c>
      <c r="G79" s="41"/>
      <c r="H79" s="42"/>
      <c r="I79" s="43"/>
      <c r="J79" s="38">
        <v>61</v>
      </c>
      <c r="K79" s="5" t="s">
        <v>67</v>
      </c>
      <c r="L79" s="39">
        <v>2.357319967600072</v>
      </c>
      <c r="M79" s="40">
        <v>3.6539796859366711</v>
      </c>
      <c r="N79" s="40">
        <v>4.9064669863391543</v>
      </c>
      <c r="O79" s="42"/>
      <c r="P79" s="42"/>
      <c r="Q79" s="43"/>
      <c r="R79" s="42"/>
      <c r="S79" s="42"/>
      <c r="T79" s="43"/>
      <c r="U79" s="44"/>
      <c r="V79" s="44"/>
      <c r="W79" s="44"/>
      <c r="X79" s="44"/>
      <c r="Y79" s="44"/>
      <c r="Z79" s="44"/>
      <c r="AA79" s="44"/>
    </row>
    <row r="80" spans="1:27" ht="18.75" customHeight="1" x14ac:dyDescent="0.35">
      <c r="A80" s="37"/>
      <c r="B80" s="38">
        <v>30</v>
      </c>
      <c r="C80" s="5" t="s">
        <v>43</v>
      </c>
      <c r="D80" s="77">
        <v>58.326926163124085</v>
      </c>
      <c r="E80" s="40">
        <v>5.4161997607913994</v>
      </c>
      <c r="F80" s="40">
        <v>8.3386837508585394</v>
      </c>
      <c r="G80" s="41"/>
      <c r="H80" s="42"/>
      <c r="I80" s="43"/>
      <c r="J80" s="38">
        <v>62</v>
      </c>
      <c r="K80" s="5" t="s">
        <v>68</v>
      </c>
      <c r="L80" s="39">
        <v>0.12358943296290475</v>
      </c>
      <c r="M80" s="40">
        <v>1.7589788578939121</v>
      </c>
      <c r="N80" s="40">
        <v>1.6719875537067936</v>
      </c>
      <c r="O80" s="42"/>
      <c r="P80" s="42"/>
      <c r="Q80" s="43"/>
      <c r="R80" s="42"/>
      <c r="S80" s="42"/>
      <c r="T80" s="43"/>
      <c r="U80" s="44"/>
      <c r="V80" s="44"/>
      <c r="W80" s="44"/>
      <c r="X80" s="44"/>
      <c r="Y80" s="44"/>
      <c r="Z80" s="44"/>
      <c r="AA80" s="44"/>
    </row>
    <row r="81" spans="1:27" ht="18.75" customHeight="1" x14ac:dyDescent="0.35">
      <c r="A81" s="37"/>
      <c r="B81" s="38">
        <v>31</v>
      </c>
      <c r="C81" s="5" t="s">
        <v>44</v>
      </c>
      <c r="D81" s="39">
        <v>9.376786425884962</v>
      </c>
      <c r="E81" s="40">
        <v>4.7556531988697808</v>
      </c>
      <c r="F81" s="40">
        <v>29.597403000447343</v>
      </c>
      <c r="G81" s="41"/>
      <c r="H81" s="42"/>
      <c r="I81" s="43"/>
      <c r="J81" s="38">
        <v>63</v>
      </c>
      <c r="K81" s="5" t="s">
        <v>69</v>
      </c>
      <c r="L81" s="39">
        <v>2.4362827035708823</v>
      </c>
      <c r="M81" s="40">
        <v>5.7962118130886209</v>
      </c>
      <c r="N81" s="40">
        <v>9.6717073041062491</v>
      </c>
      <c r="O81" s="42"/>
      <c r="P81" s="42"/>
      <c r="Q81" s="43"/>
      <c r="R81" s="42"/>
      <c r="S81" s="42"/>
      <c r="T81" s="43"/>
      <c r="U81" s="44"/>
      <c r="V81" s="44"/>
      <c r="W81" s="44"/>
      <c r="X81" s="44"/>
      <c r="Y81" s="44"/>
      <c r="Z81" s="44"/>
      <c r="AA81" s="44"/>
    </row>
    <row r="82" spans="1:27" ht="18.75" customHeight="1" x14ac:dyDescent="0.35">
      <c r="A82" s="37"/>
      <c r="B82" s="38">
        <v>32</v>
      </c>
      <c r="C82" s="5" t="s">
        <v>45</v>
      </c>
      <c r="D82" s="78">
        <v>40.686806404968316</v>
      </c>
      <c r="E82" s="40">
        <v>3.5282066517000006</v>
      </c>
      <c r="F82" s="80">
        <v>42.052699629142708</v>
      </c>
      <c r="G82" s="41"/>
      <c r="H82" s="42"/>
      <c r="I82" s="43"/>
      <c r="J82" s="38">
        <v>64</v>
      </c>
      <c r="K82" s="5" t="s">
        <v>47</v>
      </c>
      <c r="L82" s="39">
        <v>3.1575053238196564</v>
      </c>
      <c r="M82" s="40">
        <v>1.6841995649734494</v>
      </c>
      <c r="N82" s="40">
        <v>3.3423863008333417</v>
      </c>
      <c r="O82" s="42"/>
      <c r="P82" s="42"/>
      <c r="Q82" s="43"/>
      <c r="R82" s="42"/>
      <c r="S82" s="42"/>
      <c r="T82" s="43"/>
      <c r="U82" s="44"/>
      <c r="V82" s="44"/>
      <c r="W82" s="44"/>
      <c r="X82" s="44"/>
      <c r="Y82" s="44"/>
      <c r="Z82" s="44"/>
      <c r="AA82" s="44"/>
    </row>
    <row r="83" spans="1:27" ht="18.75" customHeight="1" x14ac:dyDescent="0.35">
      <c r="A83" s="37"/>
      <c r="B83" s="38">
        <v>33</v>
      </c>
      <c r="C83" s="5" t="s">
        <v>89</v>
      </c>
      <c r="D83" s="78">
        <v>36.60696740630199</v>
      </c>
      <c r="E83" s="40">
        <v>18.278672532937851</v>
      </c>
      <c r="F83" s="80">
        <v>47.627115166185455</v>
      </c>
      <c r="G83" s="41"/>
      <c r="H83" s="42"/>
      <c r="I83" s="43"/>
      <c r="J83" s="38">
        <v>65</v>
      </c>
      <c r="K83" s="5" t="s">
        <v>70</v>
      </c>
      <c r="L83" s="39">
        <v>1.3721916565209691E-4</v>
      </c>
      <c r="M83" s="40">
        <v>1.5998640126363404</v>
      </c>
      <c r="N83" s="40">
        <v>13.786931341968472</v>
      </c>
      <c r="O83" s="42"/>
      <c r="P83" s="42"/>
      <c r="Q83" s="43"/>
      <c r="R83" s="42"/>
      <c r="S83" s="42"/>
      <c r="T83" s="43"/>
      <c r="U83" s="44"/>
      <c r="V83" s="44"/>
      <c r="W83" s="44"/>
      <c r="X83" s="44"/>
      <c r="Y83" s="44"/>
      <c r="Z83" s="44"/>
      <c r="AA83" s="44"/>
    </row>
    <row r="84" spans="1:27" ht="18.75" customHeight="1" x14ac:dyDescent="0.35">
      <c r="D84" s="2"/>
      <c r="E84" s="2"/>
      <c r="F84" s="2"/>
      <c r="G84" s="2"/>
      <c r="I84" s="43"/>
      <c r="J84" s="18">
        <v>71</v>
      </c>
      <c r="K84" s="11" t="s">
        <v>71</v>
      </c>
      <c r="L84" s="14">
        <v>1.0120689241883569</v>
      </c>
      <c r="M84" s="45">
        <v>3.3716697200396903</v>
      </c>
      <c r="N84" s="45">
        <v>5.044398098322513</v>
      </c>
      <c r="O84" s="12"/>
      <c r="P84" s="12"/>
      <c r="Q84" s="46"/>
      <c r="R84" s="12"/>
      <c r="S84" s="12"/>
      <c r="T84" s="46"/>
    </row>
    <row r="85" spans="1:27" ht="18.75" customHeight="1" x14ac:dyDescent="0.35">
      <c r="D85" s="2"/>
      <c r="E85" s="2"/>
      <c r="F85" s="2"/>
      <c r="G85" s="2"/>
      <c r="I85" s="43"/>
      <c r="J85" s="18">
        <v>72</v>
      </c>
      <c r="K85" s="11" t="s">
        <v>72</v>
      </c>
      <c r="L85" s="14">
        <v>23.940797840935218</v>
      </c>
      <c r="M85" s="45">
        <v>8.6277215789434756</v>
      </c>
      <c r="N85" s="45">
        <v>3.5546786408300806</v>
      </c>
      <c r="O85" s="12"/>
      <c r="P85" s="12"/>
      <c r="Q85" s="46"/>
      <c r="R85" s="12"/>
      <c r="S85" s="12"/>
      <c r="T85" s="46"/>
    </row>
    <row r="86" spans="1:27" ht="18.75" customHeight="1" x14ac:dyDescent="0.35">
      <c r="D86" s="2"/>
      <c r="E86" s="2"/>
      <c r="F86" s="2"/>
      <c r="G86" s="2"/>
      <c r="I86" s="43"/>
      <c r="J86" s="18">
        <v>73</v>
      </c>
      <c r="K86" s="11" t="s">
        <v>73</v>
      </c>
      <c r="L86" s="14">
        <v>14.274308917073364</v>
      </c>
      <c r="M86" s="45">
        <v>17.717013386932578</v>
      </c>
      <c r="N86" s="45">
        <v>8.0368132932842951</v>
      </c>
      <c r="O86" s="12"/>
      <c r="P86" s="12"/>
      <c r="Q86" s="46"/>
      <c r="R86" s="12"/>
      <c r="S86" s="12"/>
      <c r="T86" s="46"/>
    </row>
    <row r="87" spans="1:27" ht="18.75" customHeight="1" x14ac:dyDescent="0.35">
      <c r="D87" s="2"/>
      <c r="E87" s="2"/>
      <c r="F87" s="2"/>
      <c r="G87" s="2"/>
      <c r="I87" s="43"/>
      <c r="J87" s="18">
        <v>74</v>
      </c>
      <c r="K87" s="11" t="s">
        <v>74</v>
      </c>
      <c r="L87" s="14">
        <v>4.2632967497617386E-2</v>
      </c>
      <c r="M87" s="45">
        <v>8.0818564220287943</v>
      </c>
      <c r="N87" s="45">
        <v>7.7072352711820873</v>
      </c>
      <c r="O87" s="12"/>
      <c r="P87" s="12"/>
      <c r="Q87" s="46"/>
      <c r="R87" s="12"/>
      <c r="S87" s="12"/>
      <c r="T87" s="46"/>
    </row>
    <row r="88" spans="1:27" ht="18.75" customHeight="1" x14ac:dyDescent="0.35">
      <c r="D88" s="2"/>
      <c r="E88" s="2"/>
      <c r="F88" s="2"/>
      <c r="G88" s="2"/>
      <c r="I88" s="43"/>
      <c r="J88" s="18">
        <v>75</v>
      </c>
      <c r="K88" s="11" t="s">
        <v>75</v>
      </c>
      <c r="L88" s="14">
        <v>3.0996533111413281E-2</v>
      </c>
      <c r="M88" s="45">
        <v>3.2753999887270111</v>
      </c>
      <c r="N88" s="45">
        <v>12.239236813290013</v>
      </c>
      <c r="O88" s="12"/>
      <c r="P88" s="12"/>
      <c r="Q88" s="46"/>
      <c r="R88" s="12"/>
      <c r="S88" s="12"/>
      <c r="T88" s="46"/>
    </row>
    <row r="89" spans="1:27" ht="18.75" customHeight="1" x14ac:dyDescent="0.35">
      <c r="D89" s="2"/>
      <c r="E89" s="2"/>
      <c r="F89" s="2"/>
      <c r="G89" s="2"/>
      <c r="I89" s="43"/>
      <c r="J89" s="18">
        <v>76</v>
      </c>
      <c r="K89" s="11" t="s">
        <v>76</v>
      </c>
      <c r="L89" s="14">
        <v>6.4817790059026803E-3</v>
      </c>
      <c r="M89" s="45">
        <v>0.87029948674244328</v>
      </c>
      <c r="N89" s="45">
        <v>0.96765790423950415</v>
      </c>
      <c r="O89" s="12"/>
      <c r="P89" s="12"/>
      <c r="Q89" s="46"/>
      <c r="R89" s="12"/>
      <c r="S89" s="12"/>
      <c r="T89" s="46"/>
    </row>
    <row r="90" spans="1:27" ht="18.75" customHeight="1" x14ac:dyDescent="0.4">
      <c r="D90" s="2"/>
      <c r="E90" s="2"/>
      <c r="F90" s="2"/>
      <c r="G90" s="2"/>
      <c r="I90" s="43"/>
      <c r="J90" s="18">
        <v>81</v>
      </c>
      <c r="K90" s="11" t="s">
        <v>77</v>
      </c>
      <c r="L90" s="14">
        <v>3.3386869809810849</v>
      </c>
      <c r="M90" s="81">
        <v>114.32554433622909</v>
      </c>
      <c r="N90" s="81">
        <v>49.60144506670963</v>
      </c>
      <c r="O90" s="12"/>
      <c r="P90" s="12"/>
      <c r="Q90" s="46"/>
      <c r="R90" s="12"/>
      <c r="S90" s="12"/>
      <c r="T90" s="46"/>
    </row>
    <row r="91" spans="1:27" ht="18.75" customHeight="1" x14ac:dyDescent="0.35">
      <c r="D91" s="2"/>
      <c r="E91" s="2"/>
      <c r="F91" s="2"/>
      <c r="G91" s="2"/>
      <c r="I91" s="43"/>
      <c r="J91" s="18">
        <v>82</v>
      </c>
      <c r="K91" s="11" t="s">
        <v>78</v>
      </c>
      <c r="L91" s="14">
        <v>3.9042777175094798</v>
      </c>
      <c r="M91" s="45">
        <v>5.4482113584284084</v>
      </c>
      <c r="N91" s="45">
        <v>18.046390103937199</v>
      </c>
      <c r="O91" s="12"/>
      <c r="P91" s="12"/>
      <c r="Q91" s="46"/>
      <c r="R91" s="12"/>
      <c r="S91" s="12"/>
      <c r="T91" s="46"/>
    </row>
    <row r="92" spans="1:27" ht="18.75" customHeight="1" x14ac:dyDescent="0.35">
      <c r="D92" s="2"/>
      <c r="E92" s="2"/>
      <c r="F92" s="2"/>
      <c r="G92" s="2"/>
      <c r="I92" s="43"/>
      <c r="J92" s="18">
        <v>91</v>
      </c>
      <c r="K92" s="11" t="s">
        <v>79</v>
      </c>
      <c r="L92" s="14">
        <v>0.43200523107509003</v>
      </c>
      <c r="M92" s="45">
        <v>6.8277943428335082</v>
      </c>
      <c r="N92" s="45">
        <v>17.899999999999999</v>
      </c>
      <c r="O92" s="12"/>
      <c r="P92" s="12"/>
      <c r="Q92" s="46"/>
      <c r="R92" s="12"/>
      <c r="S92" s="12"/>
      <c r="T92" s="46"/>
    </row>
    <row r="93" spans="1:27" ht="18.75" customHeight="1" x14ac:dyDescent="0.35">
      <c r="D93" s="2"/>
      <c r="E93" s="2"/>
      <c r="F93" s="2"/>
      <c r="G93" s="2"/>
      <c r="I93" s="43"/>
      <c r="J93" s="18">
        <v>94</v>
      </c>
      <c r="K93" s="11" t="s">
        <v>80</v>
      </c>
      <c r="L93" s="14">
        <v>3.1100895650398128E-2</v>
      </c>
      <c r="M93" s="45">
        <v>3.8986786644940619</v>
      </c>
      <c r="N93" s="45">
        <v>17.8</v>
      </c>
      <c r="O93" s="12"/>
      <c r="P93" s="12"/>
      <c r="Q93" s="46"/>
      <c r="R93" s="12"/>
      <c r="S93" s="12"/>
      <c r="T93" s="46"/>
    </row>
    <row r="94" spans="1:27" ht="18.75" customHeight="1" x14ac:dyDescent="0.35">
      <c r="D94" s="2"/>
      <c r="E94" s="2"/>
      <c r="F94" s="2"/>
      <c r="G94" s="2"/>
      <c r="J94" s="2"/>
      <c r="L94" s="1"/>
      <c r="M94" s="47"/>
      <c r="N94" s="47"/>
      <c r="O94" s="12"/>
      <c r="P94" s="12"/>
      <c r="Q94" s="46"/>
      <c r="R94" s="12"/>
      <c r="S94" s="12"/>
      <c r="T94" s="46"/>
    </row>
    <row r="95" spans="1:27" ht="12.75" x14ac:dyDescent="0.35">
      <c r="D95" s="2"/>
      <c r="E95" s="2"/>
      <c r="F95" s="2"/>
      <c r="G95" s="2"/>
      <c r="J95" s="2"/>
      <c r="L95" s="2"/>
      <c r="M95" s="2"/>
      <c r="N95" s="2"/>
    </row>
    <row r="96" spans="1:27" ht="12.75" x14ac:dyDescent="0.35">
      <c r="D96" s="2"/>
      <c r="E96" s="2"/>
      <c r="F96" s="2"/>
      <c r="G96" s="2"/>
      <c r="J96" s="2"/>
      <c r="L96" s="2"/>
      <c r="M96" s="2"/>
      <c r="N96" s="2"/>
    </row>
    <row r="97" spans="4:14" ht="12.75" x14ac:dyDescent="0.35">
      <c r="D97" s="2"/>
      <c r="E97" s="2"/>
      <c r="F97" s="2"/>
      <c r="G97" s="2"/>
      <c r="I97" s="2"/>
      <c r="K97" s="2"/>
      <c r="L97" s="2"/>
      <c r="M97" s="2"/>
      <c r="N97" s="2"/>
    </row>
    <row r="98" spans="4:14" ht="26.25" customHeight="1" x14ac:dyDescent="0.35">
      <c r="D98" s="2"/>
      <c r="E98" s="2"/>
      <c r="F98" s="2"/>
      <c r="G98" s="2"/>
      <c r="I98" s="2"/>
      <c r="J98" s="2"/>
      <c r="L98" s="2"/>
      <c r="M98" s="2"/>
      <c r="N98" s="2"/>
    </row>
    <row r="99" spans="4:14" ht="18.75" customHeight="1" x14ac:dyDescent="0.35">
      <c r="D99" s="2"/>
      <c r="E99" s="2"/>
      <c r="F99" s="2"/>
      <c r="G99" s="2"/>
      <c r="I99" s="2"/>
      <c r="J99" s="2"/>
      <c r="L99" s="2"/>
      <c r="M99" s="2"/>
      <c r="N99" s="2"/>
    </row>
    <row r="100" spans="4:14" ht="18.75" customHeight="1" x14ac:dyDescent="0.35">
      <c r="D100" s="2"/>
      <c r="E100" s="2"/>
      <c r="F100" s="2"/>
      <c r="G100" s="2"/>
      <c r="I100" s="2"/>
      <c r="J100" s="2"/>
      <c r="L100" s="2"/>
      <c r="M100" s="2"/>
      <c r="N100" s="2"/>
    </row>
    <row r="101" spans="4:14" ht="18.75" customHeight="1" x14ac:dyDescent="0.35">
      <c r="D101" s="2"/>
      <c r="E101" s="2"/>
      <c r="F101" s="2"/>
      <c r="G101" s="2"/>
      <c r="I101" s="2"/>
      <c r="J101" s="2"/>
      <c r="L101" s="2"/>
      <c r="M101" s="2"/>
      <c r="N101" s="2"/>
    </row>
    <row r="102" spans="4:14" ht="18.75" customHeight="1" x14ac:dyDescent="0.35">
      <c r="D102" s="2"/>
      <c r="E102" s="2"/>
      <c r="F102" s="2"/>
      <c r="G102" s="2"/>
      <c r="I102" s="2"/>
      <c r="J102" s="2"/>
      <c r="L102" s="2"/>
      <c r="M102" s="2"/>
      <c r="N102" s="2"/>
    </row>
    <row r="103" spans="4:14" ht="18.75" customHeight="1" x14ac:dyDescent="0.35">
      <c r="D103" s="2"/>
      <c r="E103" s="2"/>
      <c r="F103" s="2"/>
      <c r="G103" s="2"/>
      <c r="I103" s="2"/>
      <c r="J103" s="2"/>
      <c r="L103" s="2"/>
      <c r="M103" s="2"/>
      <c r="N103" s="2"/>
    </row>
    <row r="104" spans="4:14" ht="18.75" customHeight="1" x14ac:dyDescent="0.35">
      <c r="D104" s="2"/>
      <c r="E104" s="2"/>
      <c r="F104" s="2"/>
      <c r="G104" s="2"/>
      <c r="I104" s="2"/>
      <c r="J104" s="2"/>
      <c r="L104" s="2"/>
      <c r="M104" s="2"/>
      <c r="N104" s="2"/>
    </row>
    <row r="105" spans="4:14" ht="18.75" customHeight="1" x14ac:dyDescent="0.35">
      <c r="D105" s="2"/>
      <c r="E105" s="2"/>
      <c r="F105" s="2"/>
      <c r="G105" s="2"/>
      <c r="I105" s="2"/>
      <c r="J105" s="2"/>
      <c r="L105" s="2"/>
      <c r="M105" s="2"/>
      <c r="N105" s="2"/>
    </row>
    <row r="106" spans="4:14" ht="18.75" customHeight="1" x14ac:dyDescent="0.35">
      <c r="D106" s="2"/>
      <c r="E106" s="2"/>
      <c r="F106" s="2"/>
      <c r="G106" s="2"/>
      <c r="I106" s="2"/>
      <c r="J106" s="2"/>
      <c r="L106" s="2"/>
      <c r="M106" s="2"/>
      <c r="N106" s="2"/>
    </row>
    <row r="107" spans="4:14" ht="18.75" customHeight="1" x14ac:dyDescent="0.35">
      <c r="D107" s="2"/>
      <c r="E107" s="2"/>
      <c r="F107" s="2"/>
      <c r="G107" s="2"/>
      <c r="I107" s="2"/>
      <c r="J107" s="2"/>
      <c r="L107" s="2"/>
      <c r="M107" s="2"/>
      <c r="N107" s="2"/>
    </row>
    <row r="108" spans="4:14" ht="18.75" customHeight="1" x14ac:dyDescent="0.35">
      <c r="D108" s="2"/>
      <c r="E108" s="2"/>
      <c r="F108" s="2"/>
      <c r="G108" s="2"/>
      <c r="I108" s="2"/>
      <c r="J108" s="2"/>
      <c r="L108" s="2"/>
      <c r="M108" s="2"/>
      <c r="N108" s="2"/>
    </row>
    <row r="109" spans="4:14" ht="18.75" customHeight="1" x14ac:dyDescent="0.35">
      <c r="D109" s="2"/>
      <c r="E109" s="2"/>
      <c r="F109" s="2"/>
      <c r="G109" s="2"/>
      <c r="I109" s="2"/>
      <c r="J109" s="2"/>
      <c r="L109" s="2"/>
      <c r="M109" s="2"/>
      <c r="N109" s="2"/>
    </row>
    <row r="110" spans="4:14" ht="18.75" customHeight="1" x14ac:dyDescent="0.35">
      <c r="D110" s="2"/>
      <c r="E110" s="2"/>
      <c r="F110" s="2"/>
      <c r="G110" s="2"/>
      <c r="I110" s="2"/>
      <c r="J110" s="2"/>
      <c r="L110" s="2"/>
      <c r="M110" s="2"/>
      <c r="N110" s="2"/>
    </row>
    <row r="111" spans="4:14" ht="18.75" customHeight="1" x14ac:dyDescent="0.35">
      <c r="D111" s="2"/>
      <c r="E111" s="2"/>
      <c r="F111" s="2"/>
      <c r="G111" s="2"/>
      <c r="J111" s="2"/>
      <c r="L111" s="2"/>
      <c r="M111" s="2"/>
      <c r="N111" s="2"/>
    </row>
    <row r="112" spans="4:14" ht="18.75" customHeight="1" x14ac:dyDescent="0.35">
      <c r="D112" s="2"/>
      <c r="E112" s="2"/>
      <c r="F112" s="2"/>
      <c r="G112" s="2"/>
      <c r="J112" s="2"/>
      <c r="L112" s="2"/>
      <c r="M112" s="2"/>
      <c r="N112" s="2"/>
    </row>
    <row r="113" spans="4:14" ht="18.75" customHeight="1" x14ac:dyDescent="0.35">
      <c r="D113" s="2"/>
      <c r="E113" s="2"/>
      <c r="F113" s="2"/>
      <c r="G113" s="2"/>
      <c r="J113" s="2"/>
      <c r="L113" s="2"/>
      <c r="M113" s="2"/>
      <c r="N113" s="2"/>
    </row>
    <row r="114" spans="4:14" ht="18.75" customHeight="1" x14ac:dyDescent="0.35">
      <c r="D114" s="2"/>
      <c r="E114" s="2"/>
      <c r="F114" s="2"/>
      <c r="G114" s="2"/>
      <c r="J114" s="2"/>
      <c r="L114" s="2"/>
      <c r="M114" s="2"/>
      <c r="N114" s="2"/>
    </row>
    <row r="115" spans="4:14" ht="18.75" customHeight="1" x14ac:dyDescent="0.35">
      <c r="D115" s="2"/>
      <c r="E115" s="2"/>
      <c r="F115" s="2"/>
      <c r="G115" s="2"/>
      <c r="J115" s="2"/>
      <c r="L115" s="2"/>
      <c r="M115" s="2"/>
      <c r="N115" s="2"/>
    </row>
    <row r="116" spans="4:14" ht="12.75" x14ac:dyDescent="0.35">
      <c r="D116" s="2"/>
      <c r="E116" s="2"/>
      <c r="F116" s="2"/>
      <c r="G116" s="2"/>
      <c r="J116" s="2"/>
      <c r="L116" s="2"/>
      <c r="M116" s="2"/>
      <c r="N116" s="2"/>
    </row>
    <row r="117" spans="4:14" ht="12.75" x14ac:dyDescent="0.35">
      <c r="D117" s="2"/>
      <c r="E117" s="2"/>
      <c r="F117" s="2"/>
      <c r="G117" s="2"/>
      <c r="J117" s="2"/>
      <c r="L117" s="2"/>
      <c r="M117" s="2"/>
      <c r="N117" s="2"/>
    </row>
    <row r="118" spans="4:14" ht="12.75" x14ac:dyDescent="0.35">
      <c r="D118" s="2"/>
      <c r="E118" s="2"/>
      <c r="F118" s="2"/>
      <c r="G118" s="2"/>
      <c r="J118" s="2"/>
      <c r="L118" s="2"/>
      <c r="M118" s="2"/>
      <c r="N118" s="2"/>
    </row>
    <row r="119" spans="4:14" ht="12.75" x14ac:dyDescent="0.35">
      <c r="D119" s="2"/>
      <c r="E119" s="2"/>
      <c r="F119" s="2"/>
      <c r="G119" s="2"/>
      <c r="J119" s="2"/>
      <c r="L119" s="2"/>
      <c r="M119" s="2"/>
      <c r="N119" s="2"/>
    </row>
    <row r="120" spans="4:14" ht="12.75" x14ac:dyDescent="0.35">
      <c r="D120" s="2"/>
      <c r="E120" s="2"/>
      <c r="F120" s="2"/>
      <c r="G120" s="2"/>
      <c r="J120" s="2"/>
      <c r="L120" s="2"/>
      <c r="M120" s="2"/>
      <c r="N120" s="2"/>
    </row>
    <row r="121" spans="4:14" ht="12.75" x14ac:dyDescent="0.35">
      <c r="D121" s="2"/>
      <c r="E121" s="2"/>
      <c r="F121" s="2"/>
      <c r="G121" s="2"/>
      <c r="J121" s="2"/>
      <c r="L121" s="2"/>
      <c r="M121" s="2"/>
      <c r="N121" s="2"/>
    </row>
    <row r="122" spans="4:14" ht="12.75" x14ac:dyDescent="0.35">
      <c r="D122" s="2"/>
      <c r="E122" s="2"/>
      <c r="F122" s="2"/>
      <c r="G122" s="2"/>
      <c r="J122" s="2"/>
      <c r="L122" s="2"/>
      <c r="M122" s="2"/>
      <c r="N122" s="2"/>
    </row>
    <row r="123" spans="4:14" ht="12.75" x14ac:dyDescent="0.35">
      <c r="D123" s="2"/>
      <c r="E123" s="2"/>
      <c r="F123" s="2"/>
      <c r="G123" s="2"/>
      <c r="J123" s="2"/>
      <c r="L123" s="2"/>
      <c r="M123" s="2"/>
      <c r="N123" s="2"/>
    </row>
    <row r="124" spans="4:14" ht="12.75" x14ac:dyDescent="0.35">
      <c r="D124" s="2"/>
      <c r="E124" s="2"/>
      <c r="F124" s="2"/>
      <c r="G124" s="2"/>
      <c r="J124" s="2"/>
      <c r="L124" s="2"/>
      <c r="M124" s="2"/>
      <c r="N124" s="2"/>
    </row>
    <row r="125" spans="4:14" ht="12.75" x14ac:dyDescent="0.35">
      <c r="D125" s="2"/>
      <c r="E125" s="2"/>
      <c r="F125" s="2"/>
      <c r="G125" s="2"/>
      <c r="J125" s="2"/>
      <c r="L125" s="2"/>
      <c r="M125" s="2"/>
      <c r="N125" s="2"/>
    </row>
    <row r="126" spans="4:14" ht="12.75" x14ac:dyDescent="0.35">
      <c r="D126" s="2"/>
      <c r="E126" s="2"/>
      <c r="F126" s="2"/>
      <c r="G126" s="2"/>
      <c r="J126" s="2"/>
      <c r="L126" s="2"/>
      <c r="M126" s="2"/>
      <c r="N126" s="2"/>
    </row>
    <row r="127" spans="4:14" ht="12.75" x14ac:dyDescent="0.35">
      <c r="D127" s="2"/>
      <c r="E127" s="2"/>
      <c r="F127" s="2"/>
      <c r="G127" s="2"/>
      <c r="J127" s="2"/>
      <c r="L127" s="2"/>
      <c r="M127" s="2"/>
      <c r="N127" s="2"/>
    </row>
    <row r="128" spans="4:14" ht="12.75" x14ac:dyDescent="0.35">
      <c r="D128" s="2"/>
      <c r="E128" s="2"/>
      <c r="F128" s="2"/>
      <c r="G128" s="2"/>
      <c r="J128" s="2"/>
      <c r="L128" s="2"/>
      <c r="M128" s="2"/>
      <c r="N128" s="2"/>
    </row>
    <row r="129" spans="4:14" ht="12.75" x14ac:dyDescent="0.35">
      <c r="D129" s="2"/>
      <c r="E129" s="2"/>
      <c r="F129" s="2"/>
      <c r="G129" s="2"/>
      <c r="J129" s="2"/>
      <c r="L129" s="2"/>
      <c r="M129" s="2"/>
      <c r="N129" s="2"/>
    </row>
    <row r="130" spans="4:14" ht="12.75" x14ac:dyDescent="0.35">
      <c r="D130" s="2"/>
      <c r="E130" s="2"/>
      <c r="F130" s="2"/>
      <c r="G130" s="2"/>
      <c r="J130" s="2"/>
      <c r="L130" s="2"/>
      <c r="M130" s="2"/>
      <c r="N130" s="2"/>
    </row>
    <row r="131" spans="4:14" ht="12.75" x14ac:dyDescent="0.35">
      <c r="D131" s="2"/>
      <c r="E131" s="2"/>
      <c r="F131" s="2"/>
      <c r="G131" s="2"/>
      <c r="J131" s="2"/>
      <c r="L131" s="2"/>
      <c r="M131" s="2"/>
      <c r="N131" s="2"/>
    </row>
    <row r="132" spans="4:14" ht="12.75" x14ac:dyDescent="0.35">
      <c r="D132" s="2"/>
      <c r="E132" s="2"/>
      <c r="F132" s="2"/>
      <c r="G132" s="2"/>
      <c r="J132" s="2"/>
      <c r="L132" s="2"/>
      <c r="M132" s="2"/>
      <c r="N132" s="2"/>
    </row>
    <row r="133" spans="4:14" ht="12.75" x14ac:dyDescent="0.35">
      <c r="D133" s="2"/>
      <c r="E133" s="2"/>
      <c r="F133" s="2"/>
      <c r="G133" s="2"/>
      <c r="J133" s="2"/>
      <c r="L133" s="2"/>
      <c r="M133" s="2"/>
      <c r="N133" s="2"/>
    </row>
    <row r="134" spans="4:14" ht="12.75" x14ac:dyDescent="0.35">
      <c r="D134" s="2"/>
      <c r="E134" s="2"/>
      <c r="F134" s="2"/>
      <c r="G134" s="2"/>
      <c r="J134" s="2"/>
      <c r="L134" s="2"/>
      <c r="M134" s="2"/>
      <c r="N134" s="2"/>
    </row>
    <row r="135" spans="4:14" ht="12.75" x14ac:dyDescent="0.35">
      <c r="D135" s="2"/>
      <c r="E135" s="2"/>
      <c r="F135" s="2"/>
      <c r="G135" s="2"/>
      <c r="J135" s="2"/>
      <c r="L135" s="2"/>
      <c r="M135" s="2"/>
      <c r="N135" s="2"/>
    </row>
    <row r="136" spans="4:14" ht="12.75" x14ac:dyDescent="0.35">
      <c r="D136" s="2"/>
      <c r="E136" s="2"/>
      <c r="F136" s="2"/>
      <c r="G136" s="2"/>
      <c r="J136" s="2"/>
      <c r="L136" s="2"/>
      <c r="M136" s="2"/>
      <c r="N136" s="2"/>
    </row>
    <row r="137" spans="4:14" ht="12.75" x14ac:dyDescent="0.35">
      <c r="D137" s="2"/>
      <c r="E137" s="2"/>
      <c r="F137" s="2"/>
      <c r="G137" s="2"/>
      <c r="J137" s="2"/>
      <c r="L137" s="2"/>
      <c r="M137" s="2"/>
      <c r="N137" s="2"/>
    </row>
    <row r="138" spans="4:14" ht="12.75" x14ac:dyDescent="0.35">
      <c r="D138" s="2"/>
      <c r="E138" s="2"/>
      <c r="F138" s="2"/>
      <c r="G138" s="2"/>
      <c r="J138" s="2"/>
      <c r="L138" s="2"/>
      <c r="M138" s="2"/>
      <c r="N138" s="2"/>
    </row>
    <row r="139" spans="4:14" ht="12.75" x14ac:dyDescent="0.35">
      <c r="D139" s="2"/>
      <c r="E139" s="2"/>
      <c r="F139" s="2"/>
      <c r="G139" s="2"/>
      <c r="J139" s="2"/>
      <c r="L139" s="2"/>
      <c r="M139" s="2"/>
      <c r="N139" s="2"/>
    </row>
    <row r="140" spans="4:14" ht="12.75" x14ac:dyDescent="0.35">
      <c r="D140" s="2"/>
      <c r="E140" s="2"/>
      <c r="F140" s="2"/>
      <c r="G140" s="2"/>
      <c r="J140" s="2"/>
      <c r="L140" s="2"/>
      <c r="M140" s="2"/>
      <c r="N140" s="2"/>
    </row>
    <row r="141" spans="4:14" ht="12.75" x14ac:dyDescent="0.35">
      <c r="D141" s="2"/>
      <c r="E141" s="2"/>
      <c r="F141" s="2"/>
      <c r="G141" s="2"/>
      <c r="J141" s="2"/>
      <c r="L141" s="2"/>
      <c r="M141" s="2"/>
      <c r="N141" s="2"/>
    </row>
    <row r="142" spans="4:14" ht="12.75" x14ac:dyDescent="0.35">
      <c r="D142" s="2"/>
      <c r="E142" s="2"/>
      <c r="F142" s="2"/>
      <c r="G142" s="2"/>
      <c r="J142" s="2"/>
      <c r="L142" s="2"/>
      <c r="M142" s="2"/>
      <c r="N142" s="2"/>
    </row>
    <row r="143" spans="4:14" ht="12.75" x14ac:dyDescent="0.35">
      <c r="D143" s="2"/>
      <c r="E143" s="2"/>
      <c r="F143" s="2"/>
      <c r="G143" s="2"/>
      <c r="J143" s="2"/>
      <c r="L143" s="2"/>
      <c r="M143" s="2"/>
      <c r="N143" s="2"/>
    </row>
    <row r="144" spans="4:14" ht="12.75" x14ac:dyDescent="0.35">
      <c r="D144" s="2"/>
      <c r="E144" s="2"/>
      <c r="F144" s="2"/>
      <c r="G144" s="2"/>
      <c r="J144" s="2"/>
      <c r="L144" s="2"/>
      <c r="M144" s="2"/>
      <c r="N144" s="2"/>
    </row>
    <row r="145" spans="4:14" ht="12.75" x14ac:dyDescent="0.35">
      <c r="D145" s="2"/>
      <c r="E145" s="2"/>
      <c r="F145" s="2"/>
      <c r="G145" s="2"/>
      <c r="J145" s="2"/>
      <c r="L145" s="2"/>
      <c r="M145" s="2"/>
      <c r="N145" s="2"/>
    </row>
    <row r="146" spans="4:14" ht="12.75" x14ac:dyDescent="0.35">
      <c r="D146" s="2"/>
      <c r="E146" s="2"/>
      <c r="F146" s="2"/>
      <c r="G146" s="2"/>
      <c r="J146" s="2"/>
      <c r="L146" s="2"/>
      <c r="M146" s="2"/>
      <c r="N146" s="2"/>
    </row>
    <row r="147" spans="4:14" ht="12.75" x14ac:dyDescent="0.35">
      <c r="D147" s="2"/>
      <c r="E147" s="2"/>
      <c r="F147" s="2"/>
      <c r="G147" s="2"/>
      <c r="J147" s="2"/>
      <c r="L147" s="2"/>
      <c r="M147" s="2"/>
      <c r="N147" s="2"/>
    </row>
    <row r="148" spans="4:14" ht="12.75" x14ac:dyDescent="0.35">
      <c r="D148" s="2"/>
      <c r="E148" s="2"/>
      <c r="F148" s="2"/>
      <c r="G148" s="2"/>
      <c r="J148" s="2"/>
      <c r="L148" s="2"/>
      <c r="M148" s="2"/>
      <c r="N148" s="2"/>
    </row>
    <row r="149" spans="4:14" ht="12.75" x14ac:dyDescent="0.35">
      <c r="D149" s="2"/>
      <c r="E149" s="2"/>
      <c r="F149" s="2"/>
      <c r="G149" s="2"/>
      <c r="J149" s="2"/>
      <c r="L149" s="2"/>
      <c r="M149" s="2"/>
      <c r="N149" s="2"/>
    </row>
    <row r="150" spans="4:14" ht="12.75" x14ac:dyDescent="0.35">
      <c r="D150" s="2"/>
      <c r="E150" s="2"/>
      <c r="F150" s="2"/>
      <c r="G150" s="2"/>
      <c r="J150" s="2"/>
      <c r="L150" s="2"/>
      <c r="M150" s="2"/>
      <c r="N150" s="2"/>
    </row>
    <row r="151" spans="4:14" ht="12.75" x14ac:dyDescent="0.35">
      <c r="D151" s="2"/>
      <c r="E151" s="2"/>
      <c r="F151" s="2"/>
      <c r="G151" s="2"/>
      <c r="J151" s="2"/>
      <c r="L151" s="2"/>
      <c r="M151" s="2"/>
      <c r="N151" s="2"/>
    </row>
    <row r="152" spans="4:14" ht="12.75" x14ac:dyDescent="0.35">
      <c r="D152" s="2"/>
      <c r="E152" s="2"/>
      <c r="F152" s="2"/>
      <c r="G152" s="2"/>
      <c r="J152" s="2"/>
      <c r="L152" s="2"/>
      <c r="M152" s="2"/>
      <c r="N152" s="2"/>
    </row>
    <row r="153" spans="4:14" ht="12.75" x14ac:dyDescent="0.35">
      <c r="D153" s="2"/>
      <c r="E153" s="2"/>
      <c r="F153" s="2"/>
      <c r="G153" s="2"/>
      <c r="J153" s="2"/>
      <c r="L153" s="2"/>
      <c r="M153" s="2"/>
      <c r="N153" s="2"/>
    </row>
    <row r="154" spans="4:14" ht="12.75" x14ac:dyDescent="0.35">
      <c r="D154" s="2"/>
      <c r="E154" s="2"/>
      <c r="F154" s="2"/>
      <c r="G154" s="2"/>
      <c r="J154" s="2"/>
      <c r="L154" s="2"/>
      <c r="M154" s="2"/>
      <c r="N154" s="2"/>
    </row>
    <row r="155" spans="4:14" ht="12.75" x14ac:dyDescent="0.35">
      <c r="D155" s="2"/>
      <c r="E155" s="2"/>
      <c r="F155" s="2"/>
      <c r="G155" s="2"/>
      <c r="J155" s="2"/>
      <c r="L155" s="2"/>
      <c r="M155" s="2"/>
      <c r="N155" s="2"/>
    </row>
    <row r="156" spans="4:14" ht="12.75" x14ac:dyDescent="0.35">
      <c r="D156" s="2"/>
      <c r="E156" s="2"/>
      <c r="F156" s="2"/>
      <c r="G156" s="2"/>
      <c r="J156" s="2"/>
      <c r="L156" s="2"/>
      <c r="M156" s="2"/>
      <c r="N156" s="2"/>
    </row>
    <row r="157" spans="4:14" ht="12.75" x14ac:dyDescent="0.35">
      <c r="D157" s="2"/>
      <c r="E157" s="2"/>
      <c r="F157" s="2"/>
      <c r="G157" s="2"/>
      <c r="J157" s="2"/>
      <c r="L157" s="2"/>
      <c r="M157" s="2"/>
      <c r="N157" s="2"/>
    </row>
    <row r="158" spans="4:14" ht="12.75" x14ac:dyDescent="0.35">
      <c r="D158" s="2"/>
      <c r="E158" s="2"/>
      <c r="F158" s="2"/>
      <c r="G158" s="2"/>
      <c r="J158" s="2"/>
      <c r="L158" s="2"/>
      <c r="M158" s="2"/>
      <c r="N158" s="2"/>
    </row>
    <row r="159" spans="4:14" ht="12.75" x14ac:dyDescent="0.35">
      <c r="D159" s="2"/>
      <c r="E159" s="2"/>
      <c r="F159" s="2"/>
      <c r="G159" s="2"/>
      <c r="J159" s="2"/>
      <c r="L159" s="2"/>
      <c r="M159" s="2"/>
      <c r="N159" s="2"/>
    </row>
    <row r="160" spans="4:14" ht="12.75" x14ac:dyDescent="0.35">
      <c r="D160" s="2"/>
      <c r="E160" s="2"/>
      <c r="F160" s="2"/>
      <c r="G160" s="2"/>
      <c r="J160" s="2"/>
      <c r="L160" s="2"/>
      <c r="M160" s="2"/>
      <c r="N160" s="2"/>
    </row>
    <row r="161" spans="4:14" ht="12.75" x14ac:dyDescent="0.35">
      <c r="D161" s="2"/>
      <c r="E161" s="2"/>
      <c r="F161" s="2"/>
      <c r="G161" s="2"/>
      <c r="J161" s="2"/>
      <c r="L161" s="2"/>
      <c r="M161" s="2"/>
      <c r="N161" s="2"/>
    </row>
    <row r="162" spans="4:14" ht="12.75" x14ac:dyDescent="0.35">
      <c r="D162" s="2"/>
      <c r="E162" s="2"/>
      <c r="F162" s="2"/>
      <c r="G162" s="2"/>
      <c r="J162" s="2"/>
      <c r="L162" s="2"/>
      <c r="M162" s="2"/>
      <c r="N162" s="2"/>
    </row>
    <row r="163" spans="4:14" ht="12.75" x14ac:dyDescent="0.35">
      <c r="D163" s="2"/>
      <c r="E163" s="2"/>
      <c r="F163" s="2"/>
      <c r="G163" s="2"/>
      <c r="J163" s="2"/>
      <c r="L163" s="2"/>
      <c r="M163" s="2"/>
      <c r="N163" s="2"/>
    </row>
    <row r="164" spans="4:14" ht="12.75" x14ac:dyDescent="0.35">
      <c r="D164" s="2"/>
      <c r="E164" s="2"/>
      <c r="F164" s="2"/>
      <c r="G164" s="2"/>
      <c r="J164" s="2"/>
      <c r="L164" s="2"/>
      <c r="M164" s="2"/>
      <c r="N164" s="2"/>
    </row>
    <row r="165" spans="4:14" ht="12.75" x14ac:dyDescent="0.35">
      <c r="D165" s="2"/>
      <c r="E165" s="2"/>
      <c r="F165" s="2"/>
      <c r="G165" s="2"/>
      <c r="J165" s="2"/>
      <c r="L165" s="2"/>
      <c r="M165" s="2"/>
      <c r="N165" s="2"/>
    </row>
    <row r="166" spans="4:14" ht="12.75" x14ac:dyDescent="0.35">
      <c r="D166" s="2"/>
      <c r="E166" s="2"/>
      <c r="F166" s="2"/>
      <c r="G166" s="2"/>
      <c r="J166" s="2"/>
      <c r="L166" s="2"/>
      <c r="M166" s="2"/>
      <c r="N166" s="2"/>
    </row>
    <row r="167" spans="4:14" ht="12.75" x14ac:dyDescent="0.35">
      <c r="D167" s="2"/>
      <c r="E167" s="2"/>
      <c r="F167" s="2"/>
      <c r="G167" s="2"/>
      <c r="J167" s="2"/>
      <c r="L167" s="2"/>
      <c r="M167" s="2"/>
      <c r="N167" s="2"/>
    </row>
    <row r="168" spans="4:14" ht="12.75" x14ac:dyDescent="0.35">
      <c r="D168" s="2"/>
      <c r="E168" s="2"/>
      <c r="F168" s="2"/>
      <c r="G168" s="2"/>
      <c r="J168" s="2"/>
      <c r="L168" s="2"/>
      <c r="M168" s="2"/>
      <c r="N168" s="2"/>
    </row>
    <row r="169" spans="4:14" ht="12.75" x14ac:dyDescent="0.35">
      <c r="D169" s="2"/>
      <c r="E169" s="2"/>
      <c r="F169" s="2"/>
      <c r="G169" s="2"/>
      <c r="J169" s="2"/>
      <c r="L169" s="2"/>
      <c r="M169" s="2"/>
      <c r="N169" s="2"/>
    </row>
    <row r="170" spans="4:14" ht="12.75" x14ac:dyDescent="0.35">
      <c r="D170" s="2"/>
      <c r="E170" s="2"/>
      <c r="F170" s="2"/>
      <c r="G170" s="2"/>
      <c r="J170" s="2"/>
      <c r="L170" s="2"/>
      <c r="M170" s="2"/>
      <c r="N170" s="2"/>
    </row>
    <row r="171" spans="4:14" ht="12.75" x14ac:dyDescent="0.35">
      <c r="D171" s="2"/>
      <c r="E171" s="2"/>
      <c r="F171" s="2"/>
      <c r="G171" s="2"/>
      <c r="J171" s="2"/>
      <c r="L171" s="2"/>
      <c r="M171" s="2"/>
      <c r="N171" s="2"/>
    </row>
    <row r="172" spans="4:14" ht="12.75" x14ac:dyDescent="0.35">
      <c r="D172" s="2"/>
      <c r="E172" s="2"/>
      <c r="F172" s="2"/>
      <c r="G172" s="2"/>
      <c r="J172" s="2"/>
      <c r="L172" s="2"/>
      <c r="M172" s="2"/>
      <c r="N172" s="2"/>
    </row>
    <row r="173" spans="4:14" ht="12.75" x14ac:dyDescent="0.35">
      <c r="D173" s="2"/>
      <c r="E173" s="2"/>
      <c r="F173" s="2"/>
      <c r="G173" s="2"/>
      <c r="J173" s="2"/>
      <c r="L173" s="2"/>
      <c r="M173" s="2"/>
      <c r="N173" s="2"/>
    </row>
    <row r="174" spans="4:14" ht="12.75" x14ac:dyDescent="0.35">
      <c r="D174" s="2"/>
      <c r="E174" s="2"/>
      <c r="F174" s="2"/>
      <c r="G174" s="2"/>
      <c r="J174" s="2"/>
      <c r="L174" s="2"/>
      <c r="M174" s="2"/>
      <c r="N174" s="2"/>
    </row>
    <row r="175" spans="4:14" ht="12.75" x14ac:dyDescent="0.35">
      <c r="D175" s="2"/>
      <c r="E175" s="2"/>
      <c r="F175" s="2"/>
      <c r="G175" s="2"/>
      <c r="J175" s="2"/>
      <c r="L175" s="2"/>
      <c r="M175" s="2"/>
      <c r="N175" s="2"/>
    </row>
    <row r="176" spans="4:14" ht="12.75" x14ac:dyDescent="0.35">
      <c r="D176" s="2"/>
      <c r="E176" s="2"/>
      <c r="F176" s="2"/>
      <c r="G176" s="2"/>
      <c r="J176" s="2"/>
      <c r="L176" s="2"/>
      <c r="M176" s="2"/>
      <c r="N176" s="2"/>
    </row>
    <row r="177" spans="4:14" ht="12.75" x14ac:dyDescent="0.35">
      <c r="D177" s="2"/>
      <c r="E177" s="2"/>
      <c r="F177" s="2"/>
      <c r="G177" s="2"/>
      <c r="J177" s="2"/>
      <c r="L177" s="2"/>
      <c r="M177" s="2"/>
      <c r="N177" s="2"/>
    </row>
    <row r="178" spans="4:14" ht="12.75" x14ac:dyDescent="0.35">
      <c r="D178" s="2"/>
      <c r="E178" s="2"/>
      <c r="F178" s="2"/>
      <c r="G178" s="2"/>
      <c r="J178" s="2"/>
      <c r="L178" s="2"/>
      <c r="M178" s="2"/>
      <c r="N178" s="2"/>
    </row>
    <row r="179" spans="4:14" ht="12.75" x14ac:dyDescent="0.35">
      <c r="D179" s="2"/>
      <c r="E179" s="2"/>
      <c r="F179" s="2"/>
      <c r="G179" s="2"/>
      <c r="J179" s="2"/>
      <c r="L179" s="2"/>
      <c r="M179" s="2"/>
      <c r="N179" s="2"/>
    </row>
    <row r="180" spans="4:14" ht="12.75" x14ac:dyDescent="0.35">
      <c r="D180" s="2"/>
      <c r="E180" s="2"/>
      <c r="F180" s="2"/>
      <c r="G180" s="2"/>
      <c r="J180" s="2"/>
      <c r="L180" s="2"/>
      <c r="M180" s="2"/>
      <c r="N180" s="2"/>
    </row>
    <row r="181" spans="4:14" ht="12.75" x14ac:dyDescent="0.35">
      <c r="D181" s="2"/>
      <c r="E181" s="2"/>
      <c r="F181" s="2"/>
      <c r="G181" s="2"/>
      <c r="J181" s="2"/>
      <c r="L181" s="2"/>
      <c r="M181" s="2"/>
      <c r="N181" s="2"/>
    </row>
    <row r="182" spans="4:14" ht="12.75" x14ac:dyDescent="0.35">
      <c r="D182" s="2"/>
      <c r="E182" s="2"/>
      <c r="F182" s="2"/>
      <c r="G182" s="2"/>
      <c r="J182" s="2"/>
      <c r="L182" s="2"/>
      <c r="M182" s="2"/>
      <c r="N182" s="2"/>
    </row>
    <row r="183" spans="4:14" ht="12.75" x14ac:dyDescent="0.35">
      <c r="D183" s="2"/>
      <c r="E183" s="2"/>
      <c r="F183" s="2"/>
      <c r="G183" s="2"/>
      <c r="J183" s="2"/>
      <c r="L183" s="2"/>
      <c r="M183" s="2"/>
      <c r="N183" s="2"/>
    </row>
    <row r="184" spans="4:14" ht="12.75" x14ac:dyDescent="0.35">
      <c r="D184" s="2"/>
      <c r="E184" s="2"/>
      <c r="F184" s="2"/>
      <c r="G184" s="2"/>
      <c r="J184" s="2"/>
      <c r="L184" s="2"/>
      <c r="M184" s="2"/>
      <c r="N184" s="2"/>
    </row>
    <row r="185" spans="4:14" ht="12.75" x14ac:dyDescent="0.35">
      <c r="D185" s="2"/>
      <c r="E185" s="2"/>
      <c r="F185" s="2"/>
      <c r="G185" s="2"/>
      <c r="J185" s="2"/>
      <c r="L185" s="2"/>
      <c r="M185" s="2"/>
      <c r="N185" s="2"/>
    </row>
    <row r="186" spans="4:14" ht="12.75" x14ac:dyDescent="0.35">
      <c r="D186" s="2"/>
      <c r="E186" s="2"/>
      <c r="F186" s="2"/>
      <c r="G186" s="2"/>
      <c r="J186" s="2"/>
      <c r="L186" s="2"/>
      <c r="M186" s="2"/>
      <c r="N186" s="2"/>
    </row>
    <row r="187" spans="4:14" ht="12.75" x14ac:dyDescent="0.35">
      <c r="D187" s="2"/>
      <c r="E187" s="2"/>
      <c r="F187" s="2"/>
      <c r="G187" s="2"/>
      <c r="J187" s="2"/>
      <c r="L187" s="2"/>
      <c r="M187" s="2"/>
      <c r="N187" s="2"/>
    </row>
    <row r="188" spans="4:14" ht="12.75" x14ac:dyDescent="0.35">
      <c r="D188" s="2"/>
      <c r="E188" s="2"/>
      <c r="F188" s="2"/>
      <c r="G188" s="2"/>
      <c r="J188" s="2"/>
      <c r="L188" s="2"/>
      <c r="M188" s="2"/>
      <c r="N188" s="2"/>
    </row>
    <row r="189" spans="4:14" ht="12.75" x14ac:dyDescent="0.35">
      <c r="D189" s="2"/>
      <c r="E189" s="2"/>
      <c r="F189" s="2"/>
      <c r="G189" s="2"/>
      <c r="J189" s="2"/>
      <c r="L189" s="2"/>
      <c r="M189" s="2"/>
      <c r="N189" s="2"/>
    </row>
    <row r="190" spans="4:14" ht="12.75" x14ac:dyDescent="0.35">
      <c r="D190" s="2"/>
      <c r="E190" s="2"/>
      <c r="F190" s="2"/>
      <c r="G190" s="2"/>
      <c r="J190" s="2"/>
      <c r="L190" s="2"/>
      <c r="M190" s="2"/>
      <c r="N190" s="2"/>
    </row>
    <row r="191" spans="4:14" ht="12.75" x14ac:dyDescent="0.35">
      <c r="D191" s="2"/>
      <c r="E191" s="2"/>
      <c r="F191" s="2"/>
      <c r="G191" s="2"/>
      <c r="J191" s="2"/>
      <c r="L191" s="2"/>
      <c r="M191" s="2"/>
      <c r="N191" s="2"/>
    </row>
    <row r="192" spans="4:14" ht="12.75" x14ac:dyDescent="0.35">
      <c r="D192" s="2"/>
      <c r="E192" s="2"/>
      <c r="F192" s="2"/>
      <c r="G192" s="2"/>
      <c r="J192" s="2"/>
      <c r="L192" s="2"/>
      <c r="M192" s="2"/>
      <c r="N192" s="2"/>
    </row>
    <row r="193" spans="4:14" ht="12.75" x14ac:dyDescent="0.35">
      <c r="D193" s="2"/>
      <c r="E193" s="2"/>
      <c r="F193" s="2"/>
      <c r="G193" s="2"/>
      <c r="J193" s="2"/>
      <c r="L193" s="2"/>
      <c r="M193" s="2"/>
      <c r="N193" s="2"/>
    </row>
    <row r="194" spans="4:14" ht="12.75" x14ac:dyDescent="0.35">
      <c r="D194" s="2"/>
      <c r="E194" s="2"/>
      <c r="F194" s="2"/>
      <c r="G194" s="2"/>
      <c r="J194" s="2"/>
      <c r="L194" s="2"/>
      <c r="M194" s="2"/>
      <c r="N194" s="2"/>
    </row>
    <row r="195" spans="4:14" ht="12.75" x14ac:dyDescent="0.35">
      <c r="D195" s="2"/>
      <c r="E195" s="2"/>
      <c r="F195" s="2"/>
      <c r="G195" s="2"/>
      <c r="J195" s="2"/>
      <c r="L195" s="2"/>
      <c r="M195" s="2"/>
      <c r="N195" s="2"/>
    </row>
    <row r="196" spans="4:14" ht="12.75" x14ac:dyDescent="0.35">
      <c r="D196" s="2"/>
      <c r="E196" s="2"/>
      <c r="F196" s="2"/>
      <c r="G196" s="2"/>
      <c r="J196" s="2"/>
      <c r="L196" s="2"/>
      <c r="M196" s="2"/>
      <c r="N196" s="2"/>
    </row>
    <row r="197" spans="4:14" ht="12.75" x14ac:dyDescent="0.35">
      <c r="D197" s="2"/>
      <c r="E197" s="2"/>
      <c r="F197" s="2"/>
      <c r="G197" s="2"/>
      <c r="J197" s="2"/>
      <c r="L197" s="2"/>
      <c r="M197" s="2"/>
      <c r="N197" s="2"/>
    </row>
    <row r="198" spans="4:14" ht="12.75" x14ac:dyDescent="0.35">
      <c r="D198" s="2"/>
      <c r="E198" s="2"/>
      <c r="F198" s="2"/>
      <c r="G198" s="2"/>
      <c r="J198" s="2"/>
      <c r="L198" s="2"/>
      <c r="M198" s="2"/>
      <c r="N198" s="2"/>
    </row>
    <row r="199" spans="4:14" ht="12.75" x14ac:dyDescent="0.35">
      <c r="D199" s="2"/>
      <c r="E199" s="2"/>
      <c r="F199" s="2"/>
      <c r="G199" s="2"/>
      <c r="J199" s="2"/>
      <c r="L199" s="2"/>
      <c r="M199" s="2"/>
      <c r="N199" s="2"/>
    </row>
    <row r="200" spans="4:14" ht="12.75" x14ac:dyDescent="0.35">
      <c r="D200" s="2"/>
      <c r="E200" s="2"/>
      <c r="F200" s="2"/>
      <c r="G200" s="2"/>
      <c r="J200" s="2"/>
      <c r="L200" s="2"/>
      <c r="M200" s="2"/>
      <c r="N200" s="2"/>
    </row>
    <row r="201" spans="4:14" ht="12.75" x14ac:dyDescent="0.35">
      <c r="D201" s="2"/>
      <c r="E201" s="2"/>
      <c r="F201" s="2"/>
      <c r="G201" s="2"/>
      <c r="J201" s="2"/>
      <c r="L201" s="2"/>
      <c r="M201" s="2"/>
      <c r="N201" s="2"/>
    </row>
    <row r="202" spans="4:14" ht="12.75" x14ac:dyDescent="0.35">
      <c r="D202" s="2"/>
      <c r="E202" s="2"/>
      <c r="F202" s="2"/>
      <c r="G202" s="2"/>
      <c r="J202" s="2"/>
      <c r="L202" s="2"/>
      <c r="M202" s="2"/>
      <c r="N202" s="2"/>
    </row>
    <row r="203" spans="4:14" ht="12.75" x14ac:dyDescent="0.35">
      <c r="D203" s="2"/>
      <c r="E203" s="2"/>
      <c r="F203" s="2"/>
      <c r="G203" s="2"/>
      <c r="J203" s="2"/>
      <c r="L203" s="2"/>
      <c r="M203" s="2"/>
      <c r="N203" s="2"/>
    </row>
    <row r="204" spans="4:14" ht="12.75" x14ac:dyDescent="0.35">
      <c r="D204" s="2"/>
      <c r="E204" s="2"/>
      <c r="F204" s="2"/>
      <c r="G204" s="2"/>
      <c r="J204" s="2"/>
      <c r="L204" s="2"/>
      <c r="M204" s="2"/>
      <c r="N204" s="2"/>
    </row>
    <row r="205" spans="4:14" ht="12.75" x14ac:dyDescent="0.35">
      <c r="D205" s="2"/>
      <c r="E205" s="2"/>
      <c r="F205" s="2"/>
      <c r="G205" s="2"/>
      <c r="J205" s="2"/>
      <c r="L205" s="2"/>
      <c r="M205" s="2"/>
      <c r="N205" s="2"/>
    </row>
    <row r="206" spans="4:14" ht="12.75" x14ac:dyDescent="0.35">
      <c r="D206" s="2"/>
      <c r="E206" s="2"/>
      <c r="F206" s="2"/>
      <c r="G206" s="2"/>
      <c r="J206" s="2"/>
      <c r="L206" s="2"/>
      <c r="M206" s="2"/>
      <c r="N206" s="2"/>
    </row>
    <row r="207" spans="4:14" ht="12.75" x14ac:dyDescent="0.35">
      <c r="D207" s="2"/>
      <c r="E207" s="2"/>
      <c r="F207" s="2"/>
      <c r="G207" s="2"/>
      <c r="J207" s="2"/>
      <c r="L207" s="2"/>
      <c r="M207" s="2"/>
      <c r="N207" s="2"/>
    </row>
    <row r="208" spans="4:14" ht="12.75" x14ac:dyDescent="0.35">
      <c r="D208" s="2"/>
      <c r="E208" s="2"/>
      <c r="F208" s="2"/>
      <c r="G208" s="2"/>
      <c r="J208" s="2"/>
      <c r="L208" s="2"/>
      <c r="M208" s="2"/>
      <c r="N208" s="2"/>
    </row>
    <row r="209" spans="4:14" ht="12.75" x14ac:dyDescent="0.35">
      <c r="D209" s="2"/>
      <c r="E209" s="2"/>
      <c r="F209" s="2"/>
      <c r="G209" s="2"/>
      <c r="J209" s="2"/>
      <c r="L209" s="2"/>
      <c r="M209" s="2"/>
      <c r="N209" s="2"/>
    </row>
    <row r="210" spans="4:14" ht="12.75" x14ac:dyDescent="0.35">
      <c r="D210" s="2"/>
      <c r="E210" s="2"/>
      <c r="F210" s="2"/>
      <c r="G210" s="2"/>
      <c r="J210" s="2"/>
      <c r="L210" s="2"/>
      <c r="M210" s="2"/>
      <c r="N210" s="2"/>
    </row>
    <row r="211" spans="4:14" ht="12.75" x14ac:dyDescent="0.35">
      <c r="D211" s="2"/>
      <c r="E211" s="2"/>
      <c r="F211" s="2"/>
      <c r="G211" s="2"/>
      <c r="J211" s="2"/>
      <c r="L211" s="2"/>
      <c r="M211" s="2"/>
      <c r="N211" s="2"/>
    </row>
    <row r="212" spans="4:14" ht="12.75" x14ac:dyDescent="0.35">
      <c r="D212" s="2"/>
      <c r="E212" s="2"/>
      <c r="F212" s="2"/>
      <c r="G212" s="2"/>
      <c r="J212" s="2"/>
      <c r="L212" s="2"/>
      <c r="M212" s="2"/>
      <c r="N212" s="2"/>
    </row>
    <row r="213" spans="4:14" ht="12.75" x14ac:dyDescent="0.35">
      <c r="D213" s="2"/>
      <c r="E213" s="2"/>
      <c r="F213" s="2"/>
      <c r="G213" s="2"/>
      <c r="J213" s="2"/>
      <c r="L213" s="2"/>
      <c r="M213" s="2"/>
      <c r="N213" s="2"/>
    </row>
    <row r="214" spans="4:14" ht="12.75" x14ac:dyDescent="0.35">
      <c r="D214" s="2"/>
      <c r="E214" s="2"/>
      <c r="F214" s="2"/>
      <c r="G214" s="2"/>
      <c r="J214" s="2"/>
      <c r="L214" s="2"/>
      <c r="M214" s="2"/>
      <c r="N214" s="2"/>
    </row>
    <row r="215" spans="4:14" ht="12.75" x14ac:dyDescent="0.35">
      <c r="D215" s="2"/>
      <c r="E215" s="2"/>
      <c r="F215" s="2"/>
      <c r="G215" s="2"/>
      <c r="J215" s="2"/>
      <c r="L215" s="2"/>
      <c r="M215" s="2"/>
      <c r="N215" s="2"/>
    </row>
    <row r="216" spans="4:14" ht="12.75" x14ac:dyDescent="0.35">
      <c r="D216" s="2"/>
      <c r="E216" s="2"/>
      <c r="F216" s="2"/>
      <c r="G216" s="2"/>
      <c r="J216" s="2"/>
      <c r="L216" s="2"/>
      <c r="M216" s="2"/>
      <c r="N216" s="2"/>
    </row>
    <row r="217" spans="4:14" ht="12.75" x14ac:dyDescent="0.35">
      <c r="D217" s="2"/>
      <c r="E217" s="2"/>
      <c r="F217" s="2"/>
      <c r="G217" s="2"/>
      <c r="J217" s="2"/>
      <c r="L217" s="2"/>
      <c r="M217" s="2"/>
      <c r="N217" s="2"/>
    </row>
    <row r="218" spans="4:14" ht="12.75" x14ac:dyDescent="0.35">
      <c r="D218" s="2"/>
      <c r="E218" s="2"/>
      <c r="F218" s="2"/>
      <c r="G218" s="2"/>
      <c r="J218" s="2"/>
      <c r="L218" s="2"/>
      <c r="M218" s="2"/>
      <c r="N218" s="2"/>
    </row>
    <row r="219" spans="4:14" ht="12.75" x14ac:dyDescent="0.35">
      <c r="D219" s="2"/>
      <c r="E219" s="2"/>
      <c r="F219" s="2"/>
      <c r="G219" s="2"/>
      <c r="J219" s="2"/>
      <c r="L219" s="2"/>
      <c r="M219" s="2"/>
      <c r="N219" s="2"/>
    </row>
    <row r="220" spans="4:14" ht="12.75" x14ac:dyDescent="0.35">
      <c r="D220" s="2"/>
      <c r="E220" s="2"/>
      <c r="F220" s="2"/>
      <c r="G220" s="2"/>
      <c r="J220" s="2"/>
      <c r="L220" s="2"/>
      <c r="M220" s="2"/>
      <c r="N220" s="2"/>
    </row>
    <row r="221" spans="4:14" ht="12.75" x14ac:dyDescent="0.35">
      <c r="D221" s="2"/>
      <c r="E221" s="2"/>
      <c r="F221" s="2"/>
      <c r="G221" s="2"/>
      <c r="J221" s="2"/>
      <c r="L221" s="2"/>
      <c r="M221" s="2"/>
      <c r="N221" s="2"/>
    </row>
    <row r="222" spans="4:14" ht="12.75" x14ac:dyDescent="0.35">
      <c r="D222" s="2"/>
      <c r="E222" s="2"/>
      <c r="F222" s="2"/>
      <c r="G222" s="2"/>
      <c r="J222" s="2"/>
      <c r="L222" s="2"/>
      <c r="M222" s="2"/>
      <c r="N222" s="2"/>
    </row>
    <row r="223" spans="4:14" ht="12.75" x14ac:dyDescent="0.35">
      <c r="D223" s="2"/>
      <c r="E223" s="2"/>
      <c r="F223" s="2"/>
      <c r="G223" s="2"/>
      <c r="J223" s="2"/>
      <c r="L223" s="2"/>
      <c r="M223" s="2"/>
      <c r="N223" s="2"/>
    </row>
    <row r="224" spans="4:14" ht="12.75" x14ac:dyDescent="0.35">
      <c r="D224" s="2"/>
      <c r="E224" s="2"/>
      <c r="F224" s="2"/>
      <c r="G224" s="2"/>
      <c r="J224" s="2"/>
      <c r="L224" s="2"/>
      <c r="M224" s="2"/>
      <c r="N224" s="2"/>
    </row>
    <row r="225" spans="4:14" ht="12.75" x14ac:dyDescent="0.35">
      <c r="D225" s="2"/>
      <c r="E225" s="2"/>
      <c r="F225" s="2"/>
      <c r="G225" s="2"/>
      <c r="J225" s="2"/>
      <c r="L225" s="2"/>
      <c r="M225" s="2"/>
      <c r="N225" s="2"/>
    </row>
    <row r="226" spans="4:14" ht="12.75" x14ac:dyDescent="0.35">
      <c r="D226" s="2"/>
      <c r="E226" s="2"/>
      <c r="F226" s="2"/>
      <c r="G226" s="2"/>
      <c r="J226" s="2"/>
      <c r="L226" s="2"/>
      <c r="M226" s="2"/>
      <c r="N226" s="2"/>
    </row>
    <row r="227" spans="4:14" ht="12.75" x14ac:dyDescent="0.35">
      <c r="D227" s="2"/>
      <c r="E227" s="2"/>
      <c r="F227" s="2"/>
      <c r="G227" s="2"/>
      <c r="J227" s="2"/>
      <c r="L227" s="2"/>
      <c r="M227" s="2"/>
      <c r="N227" s="2"/>
    </row>
    <row r="228" spans="4:14" ht="12.75" x14ac:dyDescent="0.35">
      <c r="D228" s="2"/>
      <c r="E228" s="2"/>
      <c r="F228" s="2"/>
      <c r="G228" s="2"/>
      <c r="J228" s="2"/>
      <c r="L228" s="2"/>
      <c r="M228" s="2"/>
      <c r="N228" s="2"/>
    </row>
    <row r="229" spans="4:14" ht="12.75" x14ac:dyDescent="0.35">
      <c r="D229" s="2"/>
      <c r="E229" s="2"/>
      <c r="F229" s="2"/>
      <c r="G229" s="2"/>
      <c r="J229" s="2"/>
      <c r="L229" s="2"/>
      <c r="M229" s="2"/>
      <c r="N229" s="2"/>
    </row>
    <row r="230" spans="4:14" ht="12.75" x14ac:dyDescent="0.35">
      <c r="D230" s="2"/>
      <c r="E230" s="2"/>
      <c r="F230" s="2"/>
      <c r="G230" s="2"/>
      <c r="J230" s="2"/>
      <c r="L230" s="2"/>
      <c r="M230" s="2"/>
      <c r="N230" s="2"/>
    </row>
    <row r="231" spans="4:14" ht="12.75" x14ac:dyDescent="0.35">
      <c r="D231" s="2"/>
      <c r="E231" s="2"/>
      <c r="F231" s="2"/>
      <c r="G231" s="2"/>
      <c r="J231" s="2"/>
      <c r="L231" s="2"/>
      <c r="M231" s="2"/>
      <c r="N231" s="2"/>
    </row>
    <row r="232" spans="4:14" ht="12.75" x14ac:dyDescent="0.35">
      <c r="D232" s="2"/>
      <c r="E232" s="2"/>
      <c r="F232" s="2"/>
      <c r="G232" s="2"/>
      <c r="J232" s="2"/>
      <c r="L232" s="2"/>
      <c r="M232" s="2"/>
      <c r="N232" s="2"/>
    </row>
    <row r="233" spans="4:14" ht="12.75" x14ac:dyDescent="0.35">
      <c r="D233" s="2"/>
      <c r="E233" s="2"/>
      <c r="F233" s="2"/>
      <c r="G233" s="2"/>
      <c r="J233" s="2"/>
      <c r="L233" s="2"/>
      <c r="M233" s="2"/>
      <c r="N233" s="2"/>
    </row>
    <row r="234" spans="4:14" ht="12.75" x14ac:dyDescent="0.35">
      <c r="D234" s="2"/>
      <c r="E234" s="2"/>
      <c r="F234" s="2"/>
      <c r="G234" s="2"/>
      <c r="J234" s="2"/>
      <c r="L234" s="2"/>
      <c r="M234" s="2"/>
      <c r="N234" s="2"/>
    </row>
    <row r="235" spans="4:14" ht="12.75" x14ac:dyDescent="0.35">
      <c r="D235" s="2"/>
      <c r="E235" s="2"/>
      <c r="F235" s="2"/>
      <c r="G235" s="2"/>
      <c r="J235" s="2"/>
      <c r="L235" s="2"/>
      <c r="M235" s="2"/>
      <c r="N235" s="2"/>
    </row>
    <row r="236" spans="4:14" ht="12.75" x14ac:dyDescent="0.35">
      <c r="D236" s="2"/>
      <c r="E236" s="2"/>
      <c r="F236" s="2"/>
      <c r="G236" s="2"/>
      <c r="J236" s="2"/>
      <c r="L236" s="2"/>
      <c r="M236" s="2"/>
      <c r="N236" s="2"/>
    </row>
    <row r="237" spans="4:14" ht="12.75" x14ac:dyDescent="0.35">
      <c r="D237" s="2"/>
      <c r="E237" s="2"/>
      <c r="F237" s="2"/>
      <c r="G237" s="2"/>
      <c r="J237" s="2"/>
      <c r="L237" s="2"/>
      <c r="M237" s="2"/>
      <c r="N237" s="2"/>
    </row>
    <row r="238" spans="4:14" ht="12.75" x14ac:dyDescent="0.35">
      <c r="D238" s="2"/>
      <c r="E238" s="2"/>
      <c r="F238" s="2"/>
      <c r="G238" s="2"/>
      <c r="J238" s="2"/>
      <c r="L238" s="2"/>
      <c r="M238" s="2"/>
      <c r="N238" s="2"/>
    </row>
    <row r="239" spans="4:14" ht="12.75" x14ac:dyDescent="0.35">
      <c r="D239" s="2"/>
      <c r="E239" s="2"/>
      <c r="F239" s="2"/>
      <c r="G239" s="2"/>
      <c r="J239" s="2"/>
      <c r="L239" s="2"/>
      <c r="M239" s="2"/>
      <c r="N239" s="2"/>
    </row>
    <row r="240" spans="4:14" ht="12.75" x14ac:dyDescent="0.35">
      <c r="D240" s="2"/>
      <c r="E240" s="2"/>
      <c r="F240" s="2"/>
      <c r="G240" s="2"/>
      <c r="J240" s="2"/>
      <c r="L240" s="2"/>
      <c r="M240" s="2"/>
      <c r="N240" s="2"/>
    </row>
    <row r="241" spans="4:14" ht="12.75" x14ac:dyDescent="0.35">
      <c r="D241" s="2"/>
      <c r="E241" s="2"/>
      <c r="F241" s="2"/>
      <c r="G241" s="2"/>
      <c r="J241" s="2"/>
      <c r="L241" s="2"/>
      <c r="M241" s="2"/>
      <c r="N241" s="2"/>
    </row>
    <row r="242" spans="4:14" ht="12.75" x14ac:dyDescent="0.35">
      <c r="D242" s="2"/>
      <c r="E242" s="2"/>
      <c r="F242" s="2"/>
      <c r="G242" s="2"/>
      <c r="J242" s="2"/>
      <c r="L242" s="2"/>
      <c r="M242" s="2"/>
      <c r="N242" s="2"/>
    </row>
    <row r="243" spans="4:14" ht="12.75" x14ac:dyDescent="0.35">
      <c r="D243" s="2"/>
      <c r="E243" s="2"/>
      <c r="F243" s="2"/>
      <c r="G243" s="2"/>
      <c r="J243" s="2"/>
      <c r="L243" s="2"/>
      <c r="M243" s="2"/>
      <c r="N243" s="2"/>
    </row>
    <row r="244" spans="4:14" ht="12.75" x14ac:dyDescent="0.35">
      <c r="D244" s="2"/>
      <c r="E244" s="2"/>
      <c r="F244" s="2"/>
      <c r="G244" s="2"/>
      <c r="J244" s="2"/>
      <c r="L244" s="2"/>
      <c r="M244" s="2"/>
      <c r="N244" s="2"/>
    </row>
    <row r="245" spans="4:14" ht="12.75" x14ac:dyDescent="0.35">
      <c r="D245" s="2"/>
      <c r="E245" s="2"/>
      <c r="F245" s="2"/>
      <c r="G245" s="2"/>
      <c r="J245" s="2"/>
      <c r="L245" s="2"/>
      <c r="M245" s="2"/>
      <c r="N245" s="2"/>
    </row>
    <row r="246" spans="4:14" ht="12.75" x14ac:dyDescent="0.35">
      <c r="D246" s="2"/>
      <c r="E246" s="2"/>
      <c r="F246" s="2"/>
      <c r="G246" s="2"/>
      <c r="J246" s="2"/>
      <c r="L246" s="2"/>
      <c r="M246" s="2"/>
      <c r="N246" s="2"/>
    </row>
    <row r="247" spans="4:14" ht="12.75" x14ac:dyDescent="0.35">
      <c r="D247" s="2"/>
      <c r="E247" s="2"/>
      <c r="F247" s="2"/>
      <c r="G247" s="2"/>
      <c r="J247" s="2"/>
      <c r="L247" s="2"/>
      <c r="M247" s="2"/>
      <c r="N247" s="2"/>
    </row>
    <row r="248" spans="4:14" ht="12.75" x14ac:dyDescent="0.35">
      <c r="D248" s="2"/>
      <c r="E248" s="2"/>
      <c r="F248" s="2"/>
      <c r="G248" s="2"/>
      <c r="J248" s="2"/>
      <c r="L248" s="2"/>
      <c r="M248" s="2"/>
      <c r="N248" s="2"/>
    </row>
    <row r="249" spans="4:14" ht="12.75" x14ac:dyDescent="0.35">
      <c r="D249" s="2"/>
      <c r="E249" s="2"/>
      <c r="F249" s="2"/>
      <c r="G249" s="2"/>
      <c r="J249" s="2"/>
      <c r="L249" s="2"/>
      <c r="M249" s="2"/>
      <c r="N249" s="2"/>
    </row>
    <row r="250" spans="4:14" ht="12.75" x14ac:dyDescent="0.35">
      <c r="D250" s="2"/>
      <c r="E250" s="2"/>
      <c r="F250" s="2"/>
      <c r="G250" s="2"/>
      <c r="J250" s="2"/>
      <c r="L250" s="2"/>
      <c r="M250" s="2"/>
      <c r="N250" s="2"/>
    </row>
    <row r="251" spans="4:14" ht="12.75" x14ac:dyDescent="0.35">
      <c r="D251" s="2"/>
      <c r="E251" s="2"/>
      <c r="F251" s="2"/>
      <c r="G251" s="2"/>
      <c r="J251" s="2"/>
      <c r="L251" s="2"/>
      <c r="M251" s="2"/>
      <c r="N251" s="2"/>
    </row>
    <row r="252" spans="4:14" ht="12.75" x14ac:dyDescent="0.35">
      <c r="D252" s="2"/>
      <c r="E252" s="2"/>
      <c r="F252" s="2"/>
      <c r="G252" s="2"/>
      <c r="J252" s="2"/>
      <c r="L252" s="2"/>
      <c r="M252" s="2"/>
      <c r="N252" s="2"/>
    </row>
    <row r="253" spans="4:14" ht="12.75" x14ac:dyDescent="0.35">
      <c r="D253" s="2"/>
      <c r="E253" s="2"/>
      <c r="F253" s="2"/>
      <c r="G253" s="2"/>
      <c r="J253" s="2"/>
      <c r="L253" s="2"/>
      <c r="M253" s="2"/>
      <c r="N253" s="2"/>
    </row>
    <row r="254" spans="4:14" ht="12.75" x14ac:dyDescent="0.35">
      <c r="D254" s="2"/>
      <c r="E254" s="2"/>
      <c r="F254" s="2"/>
      <c r="G254" s="2"/>
      <c r="J254" s="2"/>
      <c r="L254" s="2"/>
      <c r="M254" s="2"/>
      <c r="N254" s="2"/>
    </row>
    <row r="255" spans="4:14" ht="12.75" x14ac:dyDescent="0.35">
      <c r="D255" s="2"/>
      <c r="E255" s="2"/>
      <c r="F255" s="2"/>
      <c r="G255" s="2"/>
      <c r="J255" s="2"/>
      <c r="L255" s="2"/>
      <c r="M255" s="2"/>
      <c r="N255" s="2"/>
    </row>
    <row r="256" spans="4:14" ht="12.75" x14ac:dyDescent="0.35">
      <c r="D256" s="2"/>
      <c r="E256" s="2"/>
      <c r="F256" s="2"/>
      <c r="G256" s="2"/>
      <c r="J256" s="2"/>
      <c r="L256" s="2"/>
      <c r="M256" s="2"/>
      <c r="N256" s="2"/>
    </row>
    <row r="257" spans="4:14" ht="12.75" x14ac:dyDescent="0.35">
      <c r="D257" s="2"/>
      <c r="E257" s="2"/>
      <c r="F257" s="2"/>
      <c r="G257" s="2"/>
      <c r="J257" s="2"/>
      <c r="L257" s="2"/>
      <c r="M257" s="2"/>
      <c r="N257" s="2"/>
    </row>
    <row r="258" spans="4:14" ht="12.75" x14ac:dyDescent="0.35">
      <c r="D258" s="2"/>
      <c r="E258" s="2"/>
      <c r="F258" s="2"/>
      <c r="G258" s="2"/>
      <c r="J258" s="2"/>
      <c r="L258" s="2"/>
      <c r="M258" s="2"/>
      <c r="N258" s="2"/>
    </row>
    <row r="259" spans="4:14" ht="12.75" x14ac:dyDescent="0.35">
      <c r="D259" s="2"/>
      <c r="E259" s="2"/>
      <c r="F259" s="2"/>
      <c r="G259" s="2"/>
      <c r="J259" s="2"/>
      <c r="L259" s="2"/>
      <c r="M259" s="2"/>
      <c r="N259" s="2"/>
    </row>
    <row r="260" spans="4:14" ht="12.75" x14ac:dyDescent="0.35">
      <c r="D260" s="2"/>
      <c r="E260" s="2"/>
      <c r="F260" s="2"/>
      <c r="G260" s="2"/>
      <c r="J260" s="2"/>
      <c r="L260" s="2"/>
      <c r="M260" s="2"/>
      <c r="N260" s="2"/>
    </row>
    <row r="261" spans="4:14" ht="12.75" x14ac:dyDescent="0.35">
      <c r="D261" s="2"/>
      <c r="E261" s="2"/>
      <c r="F261" s="2"/>
      <c r="G261" s="2"/>
      <c r="J261" s="2"/>
      <c r="L261" s="2"/>
      <c r="M261" s="2"/>
      <c r="N261" s="2"/>
    </row>
    <row r="262" spans="4:14" ht="12.75" x14ac:dyDescent="0.35">
      <c r="D262" s="2"/>
      <c r="E262" s="2"/>
      <c r="F262" s="2"/>
      <c r="G262" s="2"/>
      <c r="J262" s="2"/>
      <c r="L262" s="2"/>
      <c r="M262" s="2"/>
      <c r="N262" s="2"/>
    </row>
    <row r="263" spans="4:14" ht="12.75" x14ac:dyDescent="0.35">
      <c r="D263" s="2"/>
      <c r="E263" s="2"/>
      <c r="F263" s="2"/>
      <c r="G263" s="2"/>
      <c r="J263" s="2"/>
      <c r="L263" s="2"/>
      <c r="M263" s="2"/>
      <c r="N263" s="2"/>
    </row>
    <row r="264" spans="4:14" ht="12.75" x14ac:dyDescent="0.35">
      <c r="D264" s="2"/>
      <c r="E264" s="2"/>
      <c r="F264" s="2"/>
      <c r="G264" s="2"/>
      <c r="J264" s="2"/>
      <c r="L264" s="2"/>
      <c r="M264" s="2"/>
      <c r="N264" s="2"/>
    </row>
    <row r="265" spans="4:14" ht="12.75" x14ac:dyDescent="0.35">
      <c r="D265" s="2"/>
      <c r="E265" s="2"/>
      <c r="F265" s="2"/>
      <c r="G265" s="2"/>
      <c r="J265" s="2"/>
      <c r="L265" s="2"/>
      <c r="M265" s="2"/>
      <c r="N265" s="2"/>
    </row>
    <row r="266" spans="4:14" ht="12.75" x14ac:dyDescent="0.35">
      <c r="D266" s="2"/>
      <c r="E266" s="2"/>
      <c r="F266" s="2"/>
      <c r="G266" s="2"/>
      <c r="J266" s="2"/>
      <c r="L266" s="2"/>
      <c r="M266" s="2"/>
      <c r="N266" s="2"/>
    </row>
    <row r="267" spans="4:14" ht="12.75" x14ac:dyDescent="0.35">
      <c r="D267" s="2"/>
      <c r="E267" s="2"/>
      <c r="F267" s="2"/>
      <c r="G267" s="2"/>
      <c r="J267" s="2"/>
      <c r="L267" s="2"/>
      <c r="M267" s="2"/>
      <c r="N267" s="2"/>
    </row>
    <row r="268" spans="4:14" ht="12.75" x14ac:dyDescent="0.35">
      <c r="D268" s="2"/>
      <c r="E268" s="2"/>
      <c r="F268" s="2"/>
      <c r="G268" s="2"/>
      <c r="J268" s="2"/>
      <c r="L268" s="2"/>
      <c r="M268" s="2"/>
      <c r="N268" s="2"/>
    </row>
    <row r="269" spans="4:14" ht="12.75" x14ac:dyDescent="0.35">
      <c r="D269" s="2"/>
      <c r="E269" s="2"/>
      <c r="F269" s="2"/>
      <c r="G269" s="2"/>
      <c r="J269" s="2"/>
      <c r="L269" s="2"/>
      <c r="M269" s="2"/>
      <c r="N269" s="2"/>
    </row>
    <row r="270" spans="4:14" ht="12.75" x14ac:dyDescent="0.35">
      <c r="D270" s="2"/>
      <c r="E270" s="2"/>
      <c r="F270" s="2"/>
      <c r="G270" s="2"/>
      <c r="J270" s="2"/>
      <c r="L270" s="2"/>
      <c r="M270" s="2"/>
      <c r="N270" s="2"/>
    </row>
    <row r="271" spans="4:14" ht="12.75" x14ac:dyDescent="0.35">
      <c r="D271" s="2"/>
      <c r="E271" s="2"/>
      <c r="F271" s="2"/>
      <c r="G271" s="2"/>
      <c r="J271" s="2"/>
      <c r="L271" s="2"/>
      <c r="M271" s="2"/>
      <c r="N271" s="2"/>
    </row>
    <row r="272" spans="4:14" ht="12.75" x14ac:dyDescent="0.35">
      <c r="D272" s="2"/>
      <c r="E272" s="2"/>
      <c r="F272" s="2"/>
      <c r="G272" s="2"/>
      <c r="J272" s="2"/>
      <c r="L272" s="2"/>
      <c r="M272" s="2"/>
      <c r="N272" s="2"/>
    </row>
    <row r="273" spans="4:14" ht="12.75" x14ac:dyDescent="0.35">
      <c r="D273" s="2"/>
      <c r="E273" s="2"/>
      <c r="F273" s="2"/>
      <c r="G273" s="2"/>
      <c r="J273" s="2"/>
      <c r="L273" s="2"/>
      <c r="M273" s="2"/>
      <c r="N273" s="2"/>
    </row>
    <row r="274" spans="4:14" ht="12.75" x14ac:dyDescent="0.35">
      <c r="D274" s="2"/>
      <c r="E274" s="2"/>
      <c r="F274" s="2"/>
      <c r="G274" s="2"/>
      <c r="J274" s="2"/>
      <c r="L274" s="2"/>
      <c r="M274" s="2"/>
      <c r="N274" s="2"/>
    </row>
    <row r="275" spans="4:14" ht="12.75" x14ac:dyDescent="0.35">
      <c r="D275" s="2"/>
      <c r="E275" s="2"/>
      <c r="F275" s="2"/>
      <c r="G275" s="2"/>
      <c r="J275" s="2"/>
      <c r="L275" s="2"/>
      <c r="M275" s="2"/>
      <c r="N275" s="2"/>
    </row>
    <row r="276" spans="4:14" ht="12.75" x14ac:dyDescent="0.35">
      <c r="D276" s="2"/>
      <c r="E276" s="2"/>
      <c r="F276" s="2"/>
      <c r="G276" s="2"/>
      <c r="J276" s="2"/>
      <c r="L276" s="2"/>
      <c r="M276" s="2"/>
      <c r="N276" s="2"/>
    </row>
    <row r="277" spans="4:14" ht="12.75" x14ac:dyDescent="0.35">
      <c r="D277" s="2"/>
      <c r="E277" s="2"/>
      <c r="F277" s="2"/>
      <c r="G277" s="2"/>
      <c r="J277" s="2"/>
      <c r="L277" s="2"/>
      <c r="M277" s="2"/>
      <c r="N277" s="2"/>
    </row>
    <row r="278" spans="4:14" ht="12.75" x14ac:dyDescent="0.35">
      <c r="D278" s="2"/>
      <c r="E278" s="2"/>
      <c r="F278" s="2"/>
      <c r="G278" s="2"/>
      <c r="J278" s="2"/>
      <c r="L278" s="2"/>
      <c r="M278" s="2"/>
      <c r="N278" s="2"/>
    </row>
    <row r="279" spans="4:14" ht="12.75" x14ac:dyDescent="0.35">
      <c r="D279" s="2"/>
      <c r="E279" s="2"/>
      <c r="F279" s="2"/>
      <c r="G279" s="2"/>
      <c r="J279" s="2"/>
      <c r="L279" s="2"/>
      <c r="M279" s="2"/>
      <c r="N279" s="2"/>
    </row>
    <row r="280" spans="4:14" ht="12.75" x14ac:dyDescent="0.35">
      <c r="D280" s="2"/>
      <c r="E280" s="2"/>
      <c r="F280" s="2"/>
      <c r="G280" s="2"/>
      <c r="J280" s="2"/>
      <c r="L280" s="2"/>
      <c r="M280" s="2"/>
      <c r="N280" s="2"/>
    </row>
    <row r="281" spans="4:14" ht="12.75" x14ac:dyDescent="0.35">
      <c r="D281" s="2"/>
      <c r="E281" s="2"/>
      <c r="F281" s="2"/>
      <c r="G281" s="2"/>
      <c r="J281" s="2"/>
      <c r="L281" s="2"/>
      <c r="M281" s="2"/>
      <c r="N281" s="2"/>
    </row>
    <row r="282" spans="4:14" ht="12.75" x14ac:dyDescent="0.35">
      <c r="D282" s="2"/>
      <c r="E282" s="2"/>
      <c r="F282" s="2"/>
      <c r="G282" s="2"/>
      <c r="J282" s="2"/>
      <c r="L282" s="2"/>
      <c r="M282" s="2"/>
      <c r="N282" s="2"/>
    </row>
    <row r="283" spans="4:14" ht="12.75" x14ac:dyDescent="0.35">
      <c r="D283" s="2"/>
      <c r="E283" s="2"/>
      <c r="F283" s="2"/>
      <c r="G283" s="2"/>
      <c r="J283" s="2"/>
      <c r="L283" s="2"/>
      <c r="M283" s="2"/>
      <c r="N283" s="2"/>
    </row>
    <row r="284" spans="4:14" ht="12.75" x14ac:dyDescent="0.35">
      <c r="D284" s="2"/>
      <c r="E284" s="2"/>
      <c r="F284" s="2"/>
      <c r="G284" s="2"/>
      <c r="J284" s="2"/>
      <c r="L284" s="2"/>
      <c r="M284" s="2"/>
      <c r="N284" s="2"/>
    </row>
    <row r="285" spans="4:14" ht="12.75" x14ac:dyDescent="0.35">
      <c r="D285" s="2"/>
      <c r="E285" s="2"/>
      <c r="F285" s="2"/>
      <c r="G285" s="2"/>
      <c r="J285" s="2"/>
      <c r="L285" s="2"/>
      <c r="M285" s="2"/>
      <c r="N285" s="2"/>
    </row>
    <row r="286" spans="4:14" ht="12.75" x14ac:dyDescent="0.35">
      <c r="D286" s="2"/>
      <c r="E286" s="2"/>
      <c r="F286" s="2"/>
      <c r="G286" s="2"/>
      <c r="J286" s="2"/>
      <c r="L286" s="2"/>
      <c r="M286" s="2"/>
      <c r="N286" s="2"/>
    </row>
    <row r="287" spans="4:14" ht="12.75" x14ac:dyDescent="0.35">
      <c r="D287" s="2"/>
      <c r="E287" s="2"/>
      <c r="F287" s="2"/>
      <c r="G287" s="2"/>
      <c r="J287" s="2"/>
      <c r="L287" s="2"/>
      <c r="M287" s="2"/>
      <c r="N287" s="2"/>
    </row>
    <row r="288" spans="4:14" ht="12.75" x14ac:dyDescent="0.35">
      <c r="D288" s="2"/>
      <c r="E288" s="2"/>
      <c r="F288" s="2"/>
      <c r="G288" s="2"/>
      <c r="J288" s="2"/>
      <c r="L288" s="2"/>
      <c r="M288" s="2"/>
      <c r="N288" s="2"/>
    </row>
    <row r="289" spans="4:14" ht="12.75" x14ac:dyDescent="0.35">
      <c r="D289" s="2"/>
      <c r="E289" s="2"/>
      <c r="F289" s="2"/>
      <c r="G289" s="2"/>
      <c r="J289" s="2"/>
      <c r="L289" s="2"/>
      <c r="M289" s="2"/>
      <c r="N289" s="2"/>
    </row>
    <row r="290" spans="4:14" ht="12.75" x14ac:dyDescent="0.35">
      <c r="D290" s="2"/>
      <c r="E290" s="2"/>
      <c r="F290" s="2"/>
      <c r="G290" s="2"/>
      <c r="J290" s="2"/>
      <c r="L290" s="2"/>
      <c r="M290" s="2"/>
      <c r="N290" s="2"/>
    </row>
    <row r="291" spans="4:14" ht="12.75" x14ac:dyDescent="0.35">
      <c r="D291" s="2"/>
      <c r="E291" s="2"/>
      <c r="F291" s="2"/>
      <c r="G291" s="2"/>
      <c r="J291" s="2"/>
      <c r="L291" s="2"/>
      <c r="M291" s="2"/>
      <c r="N291" s="2"/>
    </row>
    <row r="292" spans="4:14" ht="12.75" x14ac:dyDescent="0.35">
      <c r="D292" s="2"/>
      <c r="E292" s="2"/>
      <c r="F292" s="2"/>
      <c r="G292" s="2"/>
      <c r="J292" s="2"/>
      <c r="L292" s="2"/>
      <c r="M292" s="2"/>
      <c r="N292" s="2"/>
    </row>
    <row r="293" spans="4:14" ht="12.75" x14ac:dyDescent="0.35">
      <c r="D293" s="2"/>
      <c r="E293" s="2"/>
      <c r="F293" s="2"/>
      <c r="G293" s="2"/>
      <c r="J293" s="2"/>
      <c r="L293" s="2"/>
      <c r="M293" s="2"/>
      <c r="N293" s="2"/>
    </row>
    <row r="294" spans="4:14" ht="12.75" x14ac:dyDescent="0.35">
      <c r="D294" s="2"/>
      <c r="E294" s="2"/>
      <c r="F294" s="2"/>
      <c r="G294" s="2"/>
      <c r="J294" s="2"/>
      <c r="L294" s="2"/>
      <c r="M294" s="2"/>
      <c r="N294" s="2"/>
    </row>
    <row r="295" spans="4:14" ht="12.75" x14ac:dyDescent="0.35">
      <c r="D295" s="2"/>
      <c r="E295" s="2"/>
      <c r="F295" s="2"/>
      <c r="G295" s="2"/>
      <c r="J295" s="2"/>
      <c r="L295" s="2"/>
      <c r="M295" s="2"/>
      <c r="N295" s="2"/>
    </row>
    <row r="296" spans="4:14" ht="12.75" x14ac:dyDescent="0.35">
      <c r="D296" s="2"/>
      <c r="E296" s="2"/>
      <c r="F296" s="2"/>
      <c r="G296" s="2"/>
      <c r="J296" s="2"/>
      <c r="L296" s="2"/>
      <c r="M296" s="2"/>
      <c r="N296" s="2"/>
    </row>
    <row r="297" spans="4:14" ht="12.75" x14ac:dyDescent="0.35">
      <c r="D297" s="2"/>
      <c r="E297" s="2"/>
      <c r="F297" s="2"/>
      <c r="G297" s="2"/>
      <c r="J297" s="2"/>
      <c r="L297" s="2"/>
      <c r="M297" s="2"/>
      <c r="N297" s="2"/>
    </row>
    <row r="298" spans="4:14" ht="12.75" x14ac:dyDescent="0.35">
      <c r="D298" s="2"/>
      <c r="E298" s="2"/>
      <c r="F298" s="2"/>
      <c r="G298" s="2"/>
      <c r="J298" s="2"/>
      <c r="L298" s="2"/>
      <c r="M298" s="2"/>
      <c r="N298" s="2"/>
    </row>
    <row r="299" spans="4:14" ht="12.75" x14ac:dyDescent="0.35">
      <c r="D299" s="2"/>
      <c r="E299" s="2"/>
      <c r="F299" s="2"/>
      <c r="G299" s="2"/>
      <c r="J299" s="2"/>
      <c r="L299" s="2"/>
      <c r="M299" s="2"/>
      <c r="N299" s="2"/>
    </row>
    <row r="300" spans="4:14" ht="12.75" x14ac:dyDescent="0.35">
      <c r="D300" s="2"/>
      <c r="E300" s="2"/>
      <c r="F300" s="2"/>
      <c r="G300" s="2"/>
      <c r="J300" s="2"/>
      <c r="L300" s="2"/>
      <c r="M300" s="2"/>
      <c r="N300" s="2"/>
    </row>
    <row r="301" spans="4:14" ht="12.75" x14ac:dyDescent="0.35">
      <c r="D301" s="2"/>
      <c r="E301" s="2"/>
      <c r="F301" s="2"/>
      <c r="G301" s="2"/>
      <c r="J301" s="2"/>
      <c r="L301" s="2"/>
      <c r="M301" s="2"/>
      <c r="N301" s="2"/>
    </row>
    <row r="302" spans="4:14" ht="12.75" x14ac:dyDescent="0.35">
      <c r="D302" s="2"/>
      <c r="E302" s="2"/>
      <c r="F302" s="2"/>
      <c r="G302" s="2"/>
      <c r="J302" s="2"/>
      <c r="L302" s="2"/>
      <c r="M302" s="2"/>
      <c r="N302" s="2"/>
    </row>
    <row r="303" spans="4:14" ht="12.75" x14ac:dyDescent="0.35">
      <c r="D303" s="2"/>
      <c r="E303" s="2"/>
      <c r="F303" s="2"/>
      <c r="G303" s="2"/>
      <c r="J303" s="2"/>
      <c r="L303" s="2"/>
      <c r="M303" s="2"/>
      <c r="N303" s="2"/>
    </row>
    <row r="304" spans="4:14" ht="12.75" x14ac:dyDescent="0.35">
      <c r="D304" s="2"/>
      <c r="E304" s="2"/>
      <c r="F304" s="2"/>
      <c r="G304" s="2"/>
      <c r="J304" s="2"/>
      <c r="L304" s="2"/>
      <c r="M304" s="2"/>
      <c r="N304" s="2"/>
    </row>
    <row r="305" spans="4:14" ht="12.75" x14ac:dyDescent="0.35">
      <c r="D305" s="2"/>
      <c r="E305" s="2"/>
      <c r="F305" s="2"/>
      <c r="G305" s="2"/>
      <c r="J305" s="2"/>
      <c r="L305" s="2"/>
      <c r="M305" s="2"/>
      <c r="N305" s="2"/>
    </row>
    <row r="306" spans="4:14" ht="12.75" x14ac:dyDescent="0.35">
      <c r="D306" s="2"/>
      <c r="E306" s="2"/>
      <c r="F306" s="2"/>
      <c r="G306" s="2"/>
      <c r="J306" s="2"/>
      <c r="L306" s="2"/>
      <c r="M306" s="2"/>
      <c r="N306" s="2"/>
    </row>
    <row r="307" spans="4:14" ht="12.75" x14ac:dyDescent="0.35">
      <c r="D307" s="2"/>
      <c r="E307" s="2"/>
      <c r="F307" s="2"/>
      <c r="G307" s="2"/>
      <c r="J307" s="2"/>
      <c r="L307" s="2"/>
      <c r="M307" s="2"/>
      <c r="N307" s="2"/>
    </row>
    <row r="308" spans="4:14" ht="12.75" x14ac:dyDescent="0.35">
      <c r="D308" s="2"/>
      <c r="E308" s="2"/>
      <c r="F308" s="2"/>
      <c r="G308" s="2"/>
      <c r="J308" s="2"/>
      <c r="L308" s="2"/>
      <c r="M308" s="2"/>
      <c r="N308" s="2"/>
    </row>
    <row r="309" spans="4:14" ht="12.75" x14ac:dyDescent="0.35">
      <c r="D309" s="2"/>
      <c r="E309" s="2"/>
      <c r="F309" s="2"/>
      <c r="G309" s="2"/>
      <c r="J309" s="2"/>
      <c r="L309" s="2"/>
      <c r="M309" s="2"/>
      <c r="N309" s="2"/>
    </row>
    <row r="310" spans="4:14" ht="12.75" x14ac:dyDescent="0.35">
      <c r="D310" s="2"/>
      <c r="E310" s="2"/>
      <c r="F310" s="2"/>
      <c r="G310" s="2"/>
      <c r="J310" s="2"/>
      <c r="L310" s="2"/>
      <c r="M310" s="2"/>
      <c r="N310" s="2"/>
    </row>
    <row r="311" spans="4:14" ht="12.75" x14ac:dyDescent="0.35">
      <c r="D311" s="2"/>
      <c r="E311" s="2"/>
      <c r="F311" s="2"/>
      <c r="G311" s="2"/>
      <c r="J311" s="2"/>
      <c r="L311" s="2"/>
      <c r="M311" s="2"/>
      <c r="N311" s="2"/>
    </row>
    <row r="312" spans="4:14" ht="12.75" x14ac:dyDescent="0.35">
      <c r="D312" s="2"/>
      <c r="E312" s="2"/>
      <c r="F312" s="2"/>
      <c r="G312" s="2"/>
      <c r="J312" s="2"/>
      <c r="L312" s="2"/>
      <c r="M312" s="2"/>
      <c r="N312" s="2"/>
    </row>
    <row r="313" spans="4:14" ht="12.75" x14ac:dyDescent="0.35">
      <c r="D313" s="2"/>
      <c r="E313" s="2"/>
      <c r="F313" s="2"/>
      <c r="G313" s="2"/>
      <c r="J313" s="2"/>
      <c r="L313" s="2"/>
      <c r="M313" s="2"/>
      <c r="N313" s="2"/>
    </row>
    <row r="314" spans="4:14" ht="12.75" x14ac:dyDescent="0.35">
      <c r="D314" s="2"/>
      <c r="E314" s="2"/>
      <c r="F314" s="2"/>
      <c r="G314" s="2"/>
      <c r="J314" s="2"/>
      <c r="L314" s="2"/>
      <c r="M314" s="2"/>
      <c r="N314" s="2"/>
    </row>
    <row r="315" spans="4:14" ht="12.75" x14ac:dyDescent="0.35">
      <c r="D315" s="2"/>
      <c r="E315" s="2"/>
      <c r="F315" s="2"/>
      <c r="G315" s="2"/>
      <c r="J315" s="2"/>
      <c r="L315" s="2"/>
      <c r="M315" s="2"/>
      <c r="N315" s="2"/>
    </row>
    <row r="316" spans="4:14" ht="12.75" x14ac:dyDescent="0.35">
      <c r="D316" s="2"/>
      <c r="E316" s="2"/>
      <c r="F316" s="2"/>
      <c r="G316" s="2"/>
      <c r="J316" s="2"/>
      <c r="L316" s="2"/>
      <c r="M316" s="2"/>
      <c r="N316" s="2"/>
    </row>
    <row r="317" spans="4:14" ht="12.75" x14ac:dyDescent="0.35">
      <c r="D317" s="2"/>
      <c r="E317" s="2"/>
      <c r="F317" s="2"/>
      <c r="G317" s="2"/>
      <c r="J317" s="2"/>
      <c r="L317" s="2"/>
      <c r="M317" s="2"/>
      <c r="N317" s="2"/>
    </row>
    <row r="318" spans="4:14" ht="12.75" x14ac:dyDescent="0.35">
      <c r="D318" s="2"/>
      <c r="E318" s="2"/>
      <c r="F318" s="2"/>
      <c r="G318" s="2"/>
      <c r="J318" s="2"/>
      <c r="L318" s="2"/>
      <c r="M318" s="2"/>
      <c r="N318" s="2"/>
    </row>
    <row r="319" spans="4:14" ht="12.75" x14ac:dyDescent="0.35">
      <c r="D319" s="2"/>
      <c r="E319" s="2"/>
      <c r="F319" s="2"/>
      <c r="G319" s="2"/>
      <c r="J319" s="2"/>
      <c r="L319" s="2"/>
      <c r="M319" s="2"/>
      <c r="N319" s="2"/>
    </row>
    <row r="320" spans="4:14" ht="12.75" x14ac:dyDescent="0.35">
      <c r="D320" s="2"/>
      <c r="E320" s="2"/>
      <c r="F320" s="2"/>
      <c r="G320" s="2"/>
      <c r="J320" s="2"/>
      <c r="L320" s="2"/>
      <c r="M320" s="2"/>
      <c r="N320" s="2"/>
    </row>
    <row r="321" spans="4:14" ht="12.75" x14ac:dyDescent="0.35">
      <c r="D321" s="2"/>
      <c r="E321" s="2"/>
      <c r="F321" s="2"/>
      <c r="G321" s="2"/>
      <c r="J321" s="2"/>
      <c r="L321" s="2"/>
      <c r="M321" s="2"/>
      <c r="N321" s="2"/>
    </row>
    <row r="322" spans="4:14" ht="12.75" x14ac:dyDescent="0.35">
      <c r="D322" s="2"/>
      <c r="E322" s="2"/>
      <c r="F322" s="2"/>
      <c r="G322" s="2"/>
      <c r="J322" s="2"/>
      <c r="L322" s="2"/>
      <c r="M322" s="2"/>
      <c r="N322" s="2"/>
    </row>
    <row r="323" spans="4:14" ht="12.75" x14ac:dyDescent="0.35">
      <c r="D323" s="2"/>
      <c r="E323" s="2"/>
      <c r="F323" s="2"/>
      <c r="G323" s="2"/>
      <c r="J323" s="2"/>
      <c r="L323" s="2"/>
      <c r="M323" s="2"/>
      <c r="N323" s="2"/>
    </row>
    <row r="324" spans="4:14" ht="12.75" x14ac:dyDescent="0.35">
      <c r="D324" s="2"/>
      <c r="E324" s="2"/>
      <c r="F324" s="2"/>
      <c r="G324" s="2"/>
      <c r="J324" s="2"/>
      <c r="L324" s="2"/>
      <c r="M324" s="2"/>
      <c r="N324" s="2"/>
    </row>
    <row r="325" spans="4:14" ht="12.75" x14ac:dyDescent="0.35">
      <c r="D325" s="2"/>
      <c r="E325" s="2"/>
      <c r="F325" s="2"/>
      <c r="G325" s="2"/>
      <c r="J325" s="2"/>
      <c r="L325" s="2"/>
      <c r="M325" s="2"/>
      <c r="N325" s="2"/>
    </row>
    <row r="326" spans="4:14" ht="12.75" x14ac:dyDescent="0.35">
      <c r="D326" s="2"/>
      <c r="E326" s="2"/>
      <c r="F326" s="2"/>
      <c r="G326" s="2"/>
      <c r="J326" s="2"/>
      <c r="L326" s="2"/>
      <c r="M326" s="2"/>
      <c r="N326" s="2"/>
    </row>
    <row r="327" spans="4:14" ht="12.75" x14ac:dyDescent="0.35">
      <c r="D327" s="2"/>
      <c r="E327" s="2"/>
      <c r="F327" s="2"/>
      <c r="G327" s="2"/>
      <c r="J327" s="2"/>
      <c r="L327" s="2"/>
      <c r="M327" s="2"/>
      <c r="N327" s="2"/>
    </row>
    <row r="328" spans="4:14" ht="12.75" x14ac:dyDescent="0.35">
      <c r="D328" s="2"/>
      <c r="E328" s="2"/>
      <c r="F328" s="2"/>
      <c r="G328" s="2"/>
      <c r="J328" s="2"/>
      <c r="L328" s="2"/>
      <c r="M328" s="2"/>
      <c r="N328" s="2"/>
    </row>
    <row r="329" spans="4:14" ht="12.75" x14ac:dyDescent="0.35">
      <c r="D329" s="2"/>
      <c r="E329" s="2"/>
      <c r="F329" s="2"/>
      <c r="G329" s="2"/>
      <c r="J329" s="2"/>
      <c r="L329" s="2"/>
      <c r="M329" s="2"/>
      <c r="N329" s="2"/>
    </row>
    <row r="330" spans="4:14" ht="12.75" x14ac:dyDescent="0.35">
      <c r="D330" s="2"/>
      <c r="E330" s="2"/>
      <c r="F330" s="2"/>
      <c r="G330" s="2"/>
      <c r="J330" s="2"/>
      <c r="L330" s="2"/>
      <c r="M330" s="2"/>
      <c r="N330" s="2"/>
    </row>
    <row r="331" spans="4:14" ht="12.75" x14ac:dyDescent="0.35">
      <c r="D331" s="2"/>
      <c r="E331" s="2"/>
      <c r="F331" s="2"/>
      <c r="G331" s="2"/>
      <c r="J331" s="2"/>
      <c r="L331" s="2"/>
      <c r="M331" s="2"/>
      <c r="N331" s="2"/>
    </row>
    <row r="332" spans="4:14" ht="12.75" x14ac:dyDescent="0.35">
      <c r="D332" s="2"/>
      <c r="E332" s="2"/>
      <c r="F332" s="2"/>
      <c r="G332" s="2"/>
      <c r="J332" s="2"/>
      <c r="L332" s="2"/>
      <c r="M332" s="2"/>
      <c r="N332" s="2"/>
    </row>
    <row r="333" spans="4:14" ht="12.75" x14ac:dyDescent="0.35">
      <c r="D333" s="2"/>
      <c r="E333" s="2"/>
      <c r="F333" s="2"/>
      <c r="G333" s="2"/>
      <c r="J333" s="2"/>
      <c r="L333" s="2"/>
      <c r="M333" s="2"/>
      <c r="N333" s="2"/>
    </row>
    <row r="334" spans="4:14" ht="12.75" x14ac:dyDescent="0.35">
      <c r="D334" s="2"/>
      <c r="E334" s="2"/>
      <c r="F334" s="2"/>
      <c r="G334" s="2"/>
      <c r="J334" s="2"/>
      <c r="L334" s="2"/>
      <c r="M334" s="2"/>
      <c r="N334" s="2"/>
    </row>
    <row r="335" spans="4:14" ht="12.75" x14ac:dyDescent="0.35">
      <c r="D335" s="2"/>
      <c r="E335" s="2"/>
      <c r="F335" s="2"/>
      <c r="G335" s="2"/>
      <c r="J335" s="2"/>
      <c r="L335" s="2"/>
      <c r="M335" s="2"/>
      <c r="N335" s="2"/>
    </row>
    <row r="336" spans="4:14" ht="12.75" x14ac:dyDescent="0.35">
      <c r="D336" s="2"/>
      <c r="E336" s="2"/>
      <c r="F336" s="2"/>
      <c r="G336" s="2"/>
      <c r="J336" s="2"/>
      <c r="L336" s="2"/>
      <c r="M336" s="2"/>
      <c r="N336" s="2"/>
    </row>
    <row r="337" spans="4:14" ht="12.75" x14ac:dyDescent="0.35">
      <c r="D337" s="2"/>
      <c r="E337" s="2"/>
      <c r="F337" s="2"/>
      <c r="G337" s="2"/>
      <c r="J337" s="2"/>
      <c r="L337" s="2"/>
      <c r="M337" s="2"/>
      <c r="N337" s="2"/>
    </row>
    <row r="338" spans="4:14" ht="12.75" x14ac:dyDescent="0.35">
      <c r="D338" s="2"/>
      <c r="E338" s="2"/>
      <c r="F338" s="2"/>
      <c r="G338" s="2"/>
      <c r="J338" s="2"/>
      <c r="L338" s="2"/>
      <c r="M338" s="2"/>
      <c r="N338" s="2"/>
    </row>
    <row r="339" spans="4:14" ht="12.75" x14ac:dyDescent="0.35">
      <c r="D339" s="2"/>
      <c r="E339" s="2"/>
      <c r="F339" s="2"/>
      <c r="G339" s="2"/>
      <c r="J339" s="2"/>
      <c r="L339" s="2"/>
      <c r="M339" s="2"/>
      <c r="N339" s="2"/>
    </row>
    <row r="340" spans="4:14" ht="12.75" x14ac:dyDescent="0.35">
      <c r="D340" s="2"/>
      <c r="E340" s="2"/>
      <c r="F340" s="2"/>
      <c r="G340" s="2"/>
      <c r="J340" s="2"/>
      <c r="L340" s="2"/>
      <c r="M340" s="2"/>
      <c r="N340" s="2"/>
    </row>
    <row r="341" spans="4:14" ht="12.75" x14ac:dyDescent="0.35">
      <c r="D341" s="2"/>
      <c r="E341" s="2"/>
      <c r="F341" s="2"/>
      <c r="G341" s="2"/>
      <c r="J341" s="2"/>
      <c r="L341" s="2"/>
      <c r="M341" s="2"/>
      <c r="N341" s="2"/>
    </row>
    <row r="342" spans="4:14" ht="12.75" x14ac:dyDescent="0.35">
      <c r="D342" s="2"/>
      <c r="E342" s="2"/>
      <c r="F342" s="2"/>
      <c r="G342" s="2"/>
      <c r="J342" s="2"/>
      <c r="L342" s="2"/>
      <c r="M342" s="2"/>
      <c r="N342" s="2"/>
    </row>
    <row r="343" spans="4:14" ht="12.75" x14ac:dyDescent="0.35">
      <c r="D343" s="2"/>
      <c r="E343" s="2"/>
      <c r="F343" s="2"/>
      <c r="G343" s="2"/>
      <c r="J343" s="2"/>
      <c r="L343" s="2"/>
      <c r="M343" s="2"/>
      <c r="N343" s="2"/>
    </row>
    <row r="344" spans="4:14" ht="12.75" x14ac:dyDescent="0.35">
      <c r="D344" s="2"/>
      <c r="E344" s="2"/>
      <c r="F344" s="2"/>
      <c r="G344" s="2"/>
      <c r="J344" s="2"/>
      <c r="L344" s="2"/>
      <c r="M344" s="2"/>
      <c r="N344" s="2"/>
    </row>
    <row r="345" spans="4:14" ht="12.75" x14ac:dyDescent="0.35">
      <c r="D345" s="2"/>
      <c r="E345" s="2"/>
      <c r="F345" s="2"/>
      <c r="G345" s="2"/>
      <c r="J345" s="2"/>
      <c r="L345" s="2"/>
      <c r="M345" s="2"/>
      <c r="N345" s="2"/>
    </row>
    <row r="346" spans="4:14" ht="12.75" x14ac:dyDescent="0.35">
      <c r="D346" s="2"/>
      <c r="E346" s="2"/>
      <c r="F346" s="2"/>
      <c r="G346" s="2"/>
      <c r="J346" s="2"/>
      <c r="L346" s="2"/>
      <c r="M346" s="2"/>
      <c r="N346" s="2"/>
    </row>
    <row r="347" spans="4:14" ht="12.75" x14ac:dyDescent="0.35">
      <c r="D347" s="2"/>
      <c r="E347" s="2"/>
      <c r="F347" s="2"/>
      <c r="G347" s="2"/>
      <c r="J347" s="2"/>
      <c r="L347" s="2"/>
      <c r="M347" s="2"/>
      <c r="N347" s="2"/>
    </row>
    <row r="348" spans="4:14" ht="12.75" x14ac:dyDescent="0.35">
      <c r="D348" s="2"/>
      <c r="E348" s="2"/>
      <c r="F348" s="2"/>
      <c r="G348" s="2"/>
      <c r="J348" s="2"/>
      <c r="L348" s="2"/>
      <c r="M348" s="2"/>
      <c r="N348" s="2"/>
    </row>
    <row r="349" spans="4:14" ht="12.75" x14ac:dyDescent="0.35">
      <c r="D349" s="2"/>
      <c r="E349" s="2"/>
      <c r="F349" s="2"/>
      <c r="G349" s="2"/>
      <c r="J349" s="2"/>
      <c r="L349" s="2"/>
      <c r="M349" s="2"/>
      <c r="N349" s="2"/>
    </row>
    <row r="350" spans="4:14" ht="12.75" x14ac:dyDescent="0.35">
      <c r="D350" s="2"/>
      <c r="E350" s="2"/>
      <c r="F350" s="2"/>
      <c r="G350" s="2"/>
      <c r="J350" s="2"/>
      <c r="L350" s="2"/>
      <c r="M350" s="2"/>
      <c r="N350" s="2"/>
    </row>
    <row r="351" spans="4:14" ht="12.75" x14ac:dyDescent="0.35">
      <c r="D351" s="2"/>
      <c r="E351" s="2"/>
      <c r="F351" s="2"/>
      <c r="G351" s="2"/>
      <c r="J351" s="2"/>
      <c r="L351" s="2"/>
      <c r="M351" s="2"/>
      <c r="N351" s="2"/>
    </row>
    <row r="352" spans="4:14" ht="12.75" x14ac:dyDescent="0.35">
      <c r="D352" s="2"/>
      <c r="E352" s="2"/>
      <c r="F352" s="2"/>
      <c r="G352" s="2"/>
      <c r="J352" s="2"/>
      <c r="L352" s="2"/>
      <c r="M352" s="2"/>
      <c r="N352" s="2"/>
    </row>
    <row r="353" spans="4:14" ht="12.75" x14ac:dyDescent="0.35">
      <c r="D353" s="2"/>
      <c r="E353" s="2"/>
      <c r="F353" s="2"/>
      <c r="G353" s="2"/>
      <c r="J353" s="2"/>
      <c r="L353" s="2"/>
      <c r="M353" s="2"/>
      <c r="N353" s="2"/>
    </row>
    <row r="354" spans="4:14" ht="12.75" x14ac:dyDescent="0.35">
      <c r="D354" s="2"/>
      <c r="E354" s="2"/>
      <c r="F354" s="2"/>
      <c r="G354" s="2"/>
      <c r="J354" s="2"/>
      <c r="L354" s="2"/>
      <c r="M354" s="2"/>
      <c r="N354" s="2"/>
    </row>
    <row r="355" spans="4:14" ht="12.75" x14ac:dyDescent="0.35">
      <c r="D355" s="2"/>
      <c r="E355" s="2"/>
      <c r="F355" s="2"/>
      <c r="G355" s="2"/>
      <c r="J355" s="2"/>
      <c r="L355" s="2"/>
      <c r="M355" s="2"/>
      <c r="N355" s="2"/>
    </row>
    <row r="356" spans="4:14" ht="12.75" x14ac:dyDescent="0.35">
      <c r="D356" s="2"/>
      <c r="E356" s="2"/>
      <c r="F356" s="2"/>
      <c r="G356" s="2"/>
      <c r="J356" s="2"/>
      <c r="L356" s="2"/>
      <c r="M356" s="2"/>
      <c r="N356" s="2"/>
    </row>
    <row r="357" spans="4:14" ht="12.75" x14ac:dyDescent="0.35">
      <c r="D357" s="2"/>
      <c r="E357" s="2"/>
      <c r="F357" s="2"/>
      <c r="G357" s="2"/>
      <c r="J357" s="2"/>
      <c r="L357" s="2"/>
      <c r="M357" s="2"/>
      <c r="N357" s="2"/>
    </row>
    <row r="358" spans="4:14" ht="12.75" x14ac:dyDescent="0.35">
      <c r="D358" s="2"/>
      <c r="E358" s="2"/>
      <c r="F358" s="2"/>
      <c r="G358" s="2"/>
      <c r="J358" s="2"/>
      <c r="L358" s="2"/>
      <c r="M358" s="2"/>
      <c r="N358" s="2"/>
    </row>
    <row r="359" spans="4:14" ht="12.75" x14ac:dyDescent="0.35">
      <c r="D359" s="2"/>
      <c r="E359" s="2"/>
      <c r="F359" s="2"/>
      <c r="G359" s="2"/>
      <c r="J359" s="2"/>
      <c r="L359" s="2"/>
      <c r="M359" s="2"/>
      <c r="N359" s="2"/>
    </row>
    <row r="360" spans="4:14" ht="12.75" x14ac:dyDescent="0.35">
      <c r="D360" s="2"/>
      <c r="E360" s="2"/>
      <c r="F360" s="2"/>
      <c r="G360" s="2"/>
      <c r="J360" s="2"/>
      <c r="L360" s="2"/>
      <c r="M360" s="2"/>
      <c r="N360" s="2"/>
    </row>
    <row r="361" spans="4:14" ht="12.75" x14ac:dyDescent="0.35">
      <c r="D361" s="2"/>
      <c r="E361" s="2"/>
      <c r="F361" s="2"/>
      <c r="G361" s="2"/>
      <c r="J361" s="2"/>
      <c r="L361" s="2"/>
      <c r="M361" s="2"/>
      <c r="N361" s="2"/>
    </row>
    <row r="362" spans="4:14" ht="12.75" x14ac:dyDescent="0.35">
      <c r="D362" s="2"/>
      <c r="E362" s="2"/>
      <c r="F362" s="2"/>
      <c r="G362" s="2"/>
      <c r="J362" s="2"/>
      <c r="L362" s="2"/>
      <c r="M362" s="2"/>
      <c r="N362" s="2"/>
    </row>
    <row r="363" spans="4:14" ht="12.75" x14ac:dyDescent="0.35">
      <c r="D363" s="2"/>
      <c r="E363" s="2"/>
      <c r="F363" s="2"/>
      <c r="G363" s="2"/>
      <c r="J363" s="2"/>
      <c r="L363" s="2"/>
      <c r="M363" s="2"/>
      <c r="N363" s="2"/>
    </row>
    <row r="364" spans="4:14" ht="12.75" x14ac:dyDescent="0.35">
      <c r="D364" s="2"/>
      <c r="E364" s="2"/>
      <c r="F364" s="2"/>
      <c r="G364" s="2"/>
      <c r="J364" s="2"/>
      <c r="L364" s="2"/>
      <c r="M364" s="2"/>
      <c r="N364" s="2"/>
    </row>
    <row r="365" spans="4:14" ht="12.75" x14ac:dyDescent="0.35">
      <c r="D365" s="2"/>
      <c r="E365" s="2"/>
      <c r="F365" s="2"/>
      <c r="G365" s="2"/>
      <c r="J365" s="2"/>
      <c r="L365" s="2"/>
      <c r="M365" s="2"/>
      <c r="N365" s="2"/>
    </row>
    <row r="366" spans="4:14" ht="12.75" x14ac:dyDescent="0.35">
      <c r="D366" s="2"/>
      <c r="E366" s="2"/>
      <c r="F366" s="2"/>
      <c r="G366" s="2"/>
      <c r="J366" s="2"/>
      <c r="L366" s="2"/>
      <c r="M366" s="2"/>
      <c r="N366" s="2"/>
    </row>
    <row r="367" spans="4:14" ht="12.75" x14ac:dyDescent="0.35">
      <c r="D367" s="2"/>
      <c r="E367" s="2"/>
      <c r="F367" s="2"/>
      <c r="G367" s="2"/>
      <c r="J367" s="2"/>
      <c r="L367" s="2"/>
      <c r="M367" s="2"/>
      <c r="N367" s="2"/>
    </row>
    <row r="368" spans="4:14" ht="12.75" x14ac:dyDescent="0.35">
      <c r="D368" s="2"/>
      <c r="E368" s="2"/>
      <c r="F368" s="2"/>
      <c r="G368" s="2"/>
      <c r="J368" s="2"/>
      <c r="L368" s="2"/>
      <c r="M368" s="2"/>
      <c r="N368" s="2"/>
    </row>
    <row r="369" spans="4:14" ht="12.75" x14ac:dyDescent="0.35">
      <c r="D369" s="2"/>
      <c r="E369" s="2"/>
      <c r="F369" s="2"/>
      <c r="G369" s="2"/>
      <c r="J369" s="2"/>
      <c r="L369" s="2"/>
      <c r="M369" s="2"/>
      <c r="N369" s="2"/>
    </row>
    <row r="370" spans="4:14" ht="12.75" x14ac:dyDescent="0.35">
      <c r="D370" s="2"/>
      <c r="E370" s="2"/>
      <c r="F370" s="2"/>
      <c r="G370" s="2"/>
      <c r="J370" s="2"/>
      <c r="L370" s="2"/>
      <c r="M370" s="2"/>
      <c r="N370" s="2"/>
    </row>
    <row r="371" spans="4:14" ht="12.75" x14ac:dyDescent="0.35">
      <c r="D371" s="2"/>
      <c r="E371" s="2"/>
      <c r="F371" s="2"/>
      <c r="G371" s="2"/>
      <c r="J371" s="2"/>
      <c r="L371" s="2"/>
      <c r="M371" s="2"/>
      <c r="N371" s="2"/>
    </row>
    <row r="372" spans="4:14" ht="12.75" x14ac:dyDescent="0.35">
      <c r="D372" s="2"/>
      <c r="E372" s="2"/>
      <c r="F372" s="2"/>
      <c r="G372" s="2"/>
      <c r="J372" s="2"/>
      <c r="L372" s="2"/>
      <c r="M372" s="2"/>
      <c r="N372" s="2"/>
    </row>
    <row r="373" spans="4:14" ht="12.75" x14ac:dyDescent="0.35">
      <c r="D373" s="2"/>
      <c r="E373" s="2"/>
      <c r="F373" s="2"/>
      <c r="G373" s="2"/>
      <c r="J373" s="2"/>
      <c r="L373" s="2"/>
      <c r="M373" s="2"/>
      <c r="N373" s="2"/>
    </row>
    <row r="374" spans="4:14" ht="12.75" x14ac:dyDescent="0.35">
      <c r="D374" s="2"/>
      <c r="E374" s="2"/>
      <c r="F374" s="2"/>
      <c r="G374" s="2"/>
      <c r="J374" s="2"/>
      <c r="L374" s="2"/>
      <c r="M374" s="2"/>
      <c r="N374" s="2"/>
    </row>
    <row r="375" spans="4:14" ht="12.75" x14ac:dyDescent="0.35">
      <c r="D375" s="2"/>
      <c r="E375" s="2"/>
      <c r="F375" s="2"/>
      <c r="G375" s="2"/>
      <c r="J375" s="2"/>
      <c r="L375" s="2"/>
      <c r="M375" s="2"/>
      <c r="N375" s="2"/>
    </row>
    <row r="376" spans="4:14" ht="12.75" x14ac:dyDescent="0.35">
      <c r="D376" s="2"/>
      <c r="E376" s="2"/>
      <c r="F376" s="2"/>
      <c r="G376" s="2"/>
      <c r="J376" s="2"/>
      <c r="L376" s="2"/>
      <c r="M376" s="2"/>
      <c r="N376" s="2"/>
    </row>
    <row r="377" spans="4:14" ht="12.75" x14ac:dyDescent="0.35">
      <c r="D377" s="2"/>
      <c r="E377" s="2"/>
      <c r="F377" s="2"/>
      <c r="G377" s="2"/>
      <c r="J377" s="2"/>
      <c r="L377" s="2"/>
      <c r="M377" s="2"/>
      <c r="N377" s="2"/>
    </row>
    <row r="378" spans="4:14" ht="12.75" x14ac:dyDescent="0.35">
      <c r="D378" s="2"/>
      <c r="E378" s="2"/>
      <c r="F378" s="2"/>
      <c r="G378" s="2"/>
      <c r="J378" s="2"/>
      <c r="L378" s="2"/>
      <c r="M378" s="2"/>
      <c r="N378" s="2"/>
    </row>
    <row r="379" spans="4:14" ht="12.75" x14ac:dyDescent="0.35">
      <c r="D379" s="2"/>
      <c r="E379" s="2"/>
      <c r="F379" s="2"/>
      <c r="G379" s="2"/>
      <c r="J379" s="2"/>
      <c r="L379" s="2"/>
      <c r="M379" s="2"/>
      <c r="N379" s="2"/>
    </row>
    <row r="380" spans="4:14" ht="12.75" x14ac:dyDescent="0.35">
      <c r="D380" s="2"/>
      <c r="E380" s="2"/>
      <c r="F380" s="2"/>
      <c r="G380" s="2"/>
      <c r="J380" s="2"/>
      <c r="L380" s="2"/>
      <c r="M380" s="2"/>
      <c r="N380" s="2"/>
    </row>
    <row r="381" spans="4:14" ht="12.75" x14ac:dyDescent="0.35">
      <c r="D381" s="2"/>
      <c r="E381" s="2"/>
      <c r="F381" s="2"/>
      <c r="G381" s="2"/>
      <c r="J381" s="2"/>
      <c r="L381" s="2"/>
      <c r="M381" s="2"/>
      <c r="N381" s="2"/>
    </row>
    <row r="382" spans="4:14" ht="12.75" x14ac:dyDescent="0.35">
      <c r="D382" s="2"/>
      <c r="E382" s="2"/>
      <c r="F382" s="2"/>
      <c r="G382" s="2"/>
      <c r="J382" s="2"/>
      <c r="L382" s="2"/>
      <c r="M382" s="2"/>
      <c r="N382" s="2"/>
    </row>
    <row r="383" spans="4:14" ht="12.75" x14ac:dyDescent="0.35">
      <c r="D383" s="2"/>
      <c r="E383" s="2"/>
      <c r="F383" s="2"/>
      <c r="G383" s="2"/>
      <c r="J383" s="2"/>
      <c r="L383" s="2"/>
      <c r="M383" s="2"/>
      <c r="N383" s="2"/>
    </row>
    <row r="384" spans="4:14" ht="12.75" x14ac:dyDescent="0.35">
      <c r="D384" s="2"/>
      <c r="E384" s="2"/>
      <c r="F384" s="2"/>
      <c r="G384" s="2"/>
      <c r="J384" s="2"/>
      <c r="L384" s="2"/>
      <c r="M384" s="2"/>
      <c r="N384" s="2"/>
    </row>
    <row r="385" spans="4:14" ht="12.75" x14ac:dyDescent="0.35">
      <c r="D385" s="2"/>
      <c r="E385" s="2"/>
      <c r="F385" s="2"/>
      <c r="G385" s="2"/>
      <c r="J385" s="2"/>
      <c r="L385" s="2"/>
      <c r="M385" s="2"/>
      <c r="N385" s="2"/>
    </row>
    <row r="386" spans="4:14" ht="12.75" x14ac:dyDescent="0.35">
      <c r="D386" s="2"/>
      <c r="E386" s="2"/>
      <c r="F386" s="2"/>
      <c r="G386" s="2"/>
      <c r="J386" s="2"/>
      <c r="L386" s="2"/>
      <c r="M386" s="2"/>
      <c r="N386" s="2"/>
    </row>
    <row r="387" spans="4:14" ht="12.75" x14ac:dyDescent="0.35">
      <c r="D387" s="2"/>
      <c r="E387" s="2"/>
      <c r="F387" s="2"/>
      <c r="G387" s="2"/>
      <c r="J387" s="2"/>
      <c r="L387" s="2"/>
      <c r="M387" s="2"/>
      <c r="N387" s="2"/>
    </row>
    <row r="388" spans="4:14" ht="12.75" x14ac:dyDescent="0.35">
      <c r="D388" s="2"/>
      <c r="E388" s="2"/>
      <c r="F388" s="2"/>
      <c r="G388" s="2"/>
      <c r="J388" s="2"/>
      <c r="L388" s="2"/>
      <c r="M388" s="2"/>
      <c r="N388" s="2"/>
    </row>
    <row r="389" spans="4:14" ht="12.75" x14ac:dyDescent="0.35">
      <c r="D389" s="2"/>
      <c r="E389" s="2"/>
      <c r="F389" s="2"/>
      <c r="G389" s="2"/>
      <c r="J389" s="2"/>
      <c r="L389" s="2"/>
      <c r="M389" s="2"/>
      <c r="N389" s="2"/>
    </row>
    <row r="390" spans="4:14" ht="12.75" x14ac:dyDescent="0.35">
      <c r="D390" s="2"/>
      <c r="E390" s="2"/>
      <c r="F390" s="2"/>
      <c r="G390" s="2"/>
      <c r="J390" s="2"/>
      <c r="L390" s="2"/>
      <c r="M390" s="2"/>
      <c r="N390" s="2"/>
    </row>
    <row r="391" spans="4:14" ht="12.75" x14ac:dyDescent="0.35">
      <c r="D391" s="2"/>
      <c r="E391" s="2"/>
      <c r="F391" s="2"/>
      <c r="G391" s="2"/>
      <c r="J391" s="2"/>
      <c r="L391" s="2"/>
      <c r="M391" s="2"/>
      <c r="N391" s="2"/>
    </row>
    <row r="392" spans="4:14" ht="12.75" x14ac:dyDescent="0.35">
      <c r="D392" s="2"/>
      <c r="E392" s="2"/>
      <c r="F392" s="2"/>
      <c r="G392" s="2"/>
      <c r="J392" s="2"/>
      <c r="L392" s="2"/>
      <c r="M392" s="2"/>
      <c r="N392" s="2"/>
    </row>
    <row r="393" spans="4:14" ht="12.75" x14ac:dyDescent="0.35">
      <c r="D393" s="2"/>
      <c r="E393" s="2"/>
      <c r="F393" s="2"/>
      <c r="G393" s="2"/>
      <c r="J393" s="2"/>
      <c r="L393" s="2"/>
      <c r="M393" s="2"/>
      <c r="N393" s="2"/>
    </row>
    <row r="394" spans="4:14" ht="12.75" x14ac:dyDescent="0.35">
      <c r="D394" s="2"/>
      <c r="E394" s="2"/>
      <c r="F394" s="2"/>
      <c r="G394" s="2"/>
      <c r="J394" s="2"/>
      <c r="L394" s="2"/>
      <c r="M394" s="2"/>
      <c r="N394" s="2"/>
    </row>
    <row r="395" spans="4:14" ht="12.75" x14ac:dyDescent="0.35">
      <c r="D395" s="2"/>
      <c r="E395" s="2"/>
      <c r="F395" s="2"/>
      <c r="G395" s="2"/>
      <c r="J395" s="2"/>
      <c r="L395" s="2"/>
      <c r="M395" s="2"/>
      <c r="N395" s="2"/>
    </row>
    <row r="396" spans="4:14" ht="12.75" x14ac:dyDescent="0.35">
      <c r="D396" s="2"/>
      <c r="E396" s="2"/>
      <c r="F396" s="2"/>
      <c r="G396" s="2"/>
      <c r="J396" s="2"/>
      <c r="L396" s="2"/>
      <c r="M396" s="2"/>
      <c r="N396" s="2"/>
    </row>
    <row r="397" spans="4:14" ht="12.75" x14ac:dyDescent="0.35">
      <c r="D397" s="2"/>
      <c r="E397" s="2"/>
      <c r="F397" s="2"/>
      <c r="G397" s="2"/>
      <c r="J397" s="2"/>
      <c r="L397" s="2"/>
      <c r="M397" s="2"/>
      <c r="N397" s="2"/>
    </row>
    <row r="398" spans="4:14" ht="12.75" x14ac:dyDescent="0.35">
      <c r="D398" s="2"/>
      <c r="E398" s="2"/>
      <c r="F398" s="2"/>
      <c r="G398" s="2"/>
      <c r="J398" s="2"/>
      <c r="L398" s="2"/>
      <c r="M398" s="2"/>
      <c r="N398" s="2"/>
    </row>
    <row r="399" spans="4:14" ht="12.75" x14ac:dyDescent="0.35">
      <c r="D399" s="2"/>
      <c r="E399" s="2"/>
      <c r="F399" s="2"/>
      <c r="G399" s="2"/>
      <c r="J399" s="2"/>
      <c r="L399" s="2"/>
      <c r="M399" s="2"/>
      <c r="N399" s="2"/>
    </row>
    <row r="400" spans="4:14" ht="12.75" x14ac:dyDescent="0.35">
      <c r="D400" s="2"/>
      <c r="E400" s="2"/>
      <c r="F400" s="2"/>
      <c r="G400" s="2"/>
      <c r="J400" s="2"/>
      <c r="L400" s="2"/>
      <c r="M400" s="2"/>
      <c r="N400" s="2"/>
    </row>
    <row r="401" spans="4:14" ht="12.75" x14ac:dyDescent="0.35">
      <c r="D401" s="2"/>
      <c r="E401" s="2"/>
      <c r="F401" s="2"/>
      <c r="G401" s="2"/>
      <c r="J401" s="2"/>
      <c r="L401" s="2"/>
      <c r="M401" s="2"/>
      <c r="N401" s="2"/>
    </row>
    <row r="402" spans="4:14" ht="12.75" x14ac:dyDescent="0.35">
      <c r="D402" s="2"/>
      <c r="E402" s="2"/>
      <c r="F402" s="2"/>
      <c r="G402" s="2"/>
      <c r="J402" s="2"/>
      <c r="L402" s="2"/>
      <c r="M402" s="2"/>
      <c r="N402" s="2"/>
    </row>
    <row r="403" spans="4:14" ht="12.75" x14ac:dyDescent="0.35">
      <c r="D403" s="2"/>
      <c r="E403" s="2"/>
      <c r="F403" s="2"/>
      <c r="G403" s="2"/>
      <c r="J403" s="2"/>
      <c r="L403" s="2"/>
      <c r="M403" s="2"/>
      <c r="N403" s="2"/>
    </row>
    <row r="404" spans="4:14" ht="12.75" x14ac:dyDescent="0.35">
      <c r="D404" s="2"/>
      <c r="E404" s="2"/>
      <c r="F404" s="2"/>
      <c r="G404" s="2"/>
      <c r="J404" s="2"/>
      <c r="L404" s="2"/>
      <c r="M404" s="2"/>
      <c r="N404" s="2"/>
    </row>
    <row r="405" spans="4:14" ht="12.75" x14ac:dyDescent="0.35">
      <c r="D405" s="2"/>
      <c r="E405" s="2"/>
      <c r="F405" s="2"/>
      <c r="G405" s="2"/>
      <c r="J405" s="2"/>
      <c r="L405" s="2"/>
      <c r="M405" s="2"/>
      <c r="N405" s="2"/>
    </row>
    <row r="406" spans="4:14" ht="12.75" x14ac:dyDescent="0.35">
      <c r="D406" s="2"/>
      <c r="E406" s="2"/>
      <c r="F406" s="2"/>
      <c r="G406" s="2"/>
      <c r="J406" s="2"/>
      <c r="L406" s="2"/>
      <c r="M406" s="2"/>
      <c r="N406" s="2"/>
    </row>
    <row r="407" spans="4:14" ht="12.75" x14ac:dyDescent="0.35">
      <c r="D407" s="2"/>
      <c r="E407" s="2"/>
      <c r="F407" s="2"/>
      <c r="G407" s="2"/>
      <c r="J407" s="2"/>
      <c r="L407" s="2"/>
      <c r="M407" s="2"/>
      <c r="N407" s="2"/>
    </row>
    <row r="408" spans="4:14" ht="12.75" x14ac:dyDescent="0.35">
      <c r="D408" s="2"/>
      <c r="E408" s="2"/>
      <c r="F408" s="2"/>
      <c r="G408" s="2"/>
      <c r="J408" s="2"/>
      <c r="L408" s="2"/>
      <c r="M408" s="2"/>
      <c r="N408" s="2"/>
    </row>
    <row r="409" spans="4:14" ht="12.75" x14ac:dyDescent="0.35">
      <c r="D409" s="2"/>
      <c r="E409" s="2"/>
      <c r="F409" s="2"/>
      <c r="G409" s="2"/>
      <c r="J409" s="2"/>
      <c r="L409" s="2"/>
      <c r="M409" s="2"/>
      <c r="N409" s="2"/>
    </row>
    <row r="410" spans="4:14" ht="12.75" x14ac:dyDescent="0.35">
      <c r="D410" s="2"/>
      <c r="E410" s="2"/>
      <c r="F410" s="2"/>
      <c r="G410" s="2"/>
      <c r="J410" s="2"/>
      <c r="L410" s="2"/>
      <c r="M410" s="2"/>
      <c r="N410" s="2"/>
    </row>
    <row r="411" spans="4:14" ht="12.75" x14ac:dyDescent="0.35">
      <c r="D411" s="2"/>
      <c r="E411" s="2"/>
      <c r="F411" s="2"/>
      <c r="G411" s="2"/>
      <c r="J411" s="2"/>
      <c r="L411" s="2"/>
      <c r="M411" s="2"/>
      <c r="N411" s="2"/>
    </row>
    <row r="412" spans="4:14" ht="12.75" x14ac:dyDescent="0.35">
      <c r="D412" s="2"/>
      <c r="E412" s="2"/>
      <c r="F412" s="2"/>
      <c r="G412" s="2"/>
      <c r="J412" s="2"/>
      <c r="L412" s="2"/>
      <c r="M412" s="2"/>
      <c r="N412" s="2"/>
    </row>
    <row r="413" spans="4:14" ht="12.75" x14ac:dyDescent="0.35">
      <c r="D413" s="2"/>
      <c r="E413" s="2"/>
      <c r="F413" s="2"/>
      <c r="G413" s="2"/>
      <c r="J413" s="2"/>
      <c r="L413" s="2"/>
      <c r="M413" s="2"/>
      <c r="N413" s="2"/>
    </row>
    <row r="414" spans="4:14" ht="12.75" x14ac:dyDescent="0.35">
      <c r="D414" s="2"/>
      <c r="E414" s="2"/>
      <c r="F414" s="2"/>
      <c r="G414" s="2"/>
      <c r="J414" s="2"/>
      <c r="L414" s="2"/>
      <c r="M414" s="2"/>
      <c r="N414" s="2"/>
    </row>
    <row r="415" spans="4:14" ht="12.75" x14ac:dyDescent="0.35">
      <c r="D415" s="2"/>
      <c r="E415" s="2"/>
      <c r="F415" s="2"/>
      <c r="G415" s="2"/>
      <c r="J415" s="2"/>
      <c r="L415" s="2"/>
      <c r="M415" s="2"/>
      <c r="N415" s="2"/>
    </row>
    <row r="416" spans="4:14" ht="12.75" x14ac:dyDescent="0.35">
      <c r="D416" s="2"/>
      <c r="E416" s="2"/>
      <c r="F416" s="2"/>
      <c r="G416" s="2"/>
      <c r="J416" s="2"/>
      <c r="L416" s="2"/>
      <c r="M416" s="2"/>
      <c r="N416" s="2"/>
    </row>
    <row r="417" spans="4:14" ht="12.75" x14ac:dyDescent="0.35">
      <c r="D417" s="2"/>
      <c r="E417" s="2"/>
      <c r="F417" s="2"/>
      <c r="G417" s="2"/>
      <c r="J417" s="2"/>
      <c r="L417" s="2"/>
      <c r="M417" s="2"/>
      <c r="N417" s="2"/>
    </row>
    <row r="418" spans="4:14" ht="12.75" x14ac:dyDescent="0.35">
      <c r="D418" s="2"/>
      <c r="E418" s="2"/>
      <c r="F418" s="2"/>
      <c r="G418" s="2"/>
      <c r="J418" s="2"/>
      <c r="L418" s="2"/>
      <c r="M418" s="2"/>
      <c r="N418" s="2"/>
    </row>
    <row r="419" spans="4:14" ht="12.75" x14ac:dyDescent="0.35">
      <c r="D419" s="2"/>
      <c r="E419" s="2"/>
      <c r="F419" s="2"/>
      <c r="G419" s="2"/>
      <c r="J419" s="2"/>
      <c r="L419" s="2"/>
      <c r="M419" s="2"/>
      <c r="N419" s="2"/>
    </row>
    <row r="420" spans="4:14" ht="12.75" x14ac:dyDescent="0.35">
      <c r="D420" s="2"/>
      <c r="E420" s="2"/>
      <c r="F420" s="2"/>
      <c r="G420" s="2"/>
      <c r="J420" s="2"/>
      <c r="L420" s="2"/>
      <c r="M420" s="2"/>
      <c r="N420" s="2"/>
    </row>
    <row r="421" spans="4:14" ht="12.75" x14ac:dyDescent="0.35">
      <c r="D421" s="2"/>
      <c r="E421" s="2"/>
      <c r="F421" s="2"/>
      <c r="G421" s="2"/>
      <c r="J421" s="2"/>
      <c r="L421" s="2"/>
      <c r="M421" s="2"/>
      <c r="N421" s="2"/>
    </row>
    <row r="422" spans="4:14" ht="12.75" x14ac:dyDescent="0.35">
      <c r="D422" s="2"/>
      <c r="E422" s="2"/>
      <c r="F422" s="2"/>
      <c r="G422" s="2"/>
      <c r="J422" s="2"/>
      <c r="L422" s="2"/>
      <c r="M422" s="2"/>
      <c r="N422" s="2"/>
    </row>
    <row r="423" spans="4:14" ht="12.75" x14ac:dyDescent="0.35">
      <c r="D423" s="2"/>
      <c r="E423" s="2"/>
      <c r="F423" s="2"/>
      <c r="G423" s="2"/>
      <c r="J423" s="2"/>
      <c r="L423" s="2"/>
      <c r="M423" s="2"/>
      <c r="N423" s="2"/>
    </row>
    <row r="424" spans="4:14" ht="12.75" x14ac:dyDescent="0.35">
      <c r="D424" s="2"/>
      <c r="E424" s="2"/>
      <c r="F424" s="2"/>
      <c r="G424" s="2"/>
      <c r="J424" s="2"/>
      <c r="L424" s="2"/>
      <c r="M424" s="2"/>
      <c r="N424" s="2"/>
    </row>
    <row r="425" spans="4:14" ht="12.75" x14ac:dyDescent="0.35">
      <c r="D425" s="2"/>
      <c r="E425" s="2"/>
      <c r="F425" s="2"/>
      <c r="G425" s="2"/>
      <c r="J425" s="2"/>
      <c r="L425" s="2"/>
      <c r="M425" s="2"/>
      <c r="N425" s="2"/>
    </row>
    <row r="426" spans="4:14" ht="12.75" x14ac:dyDescent="0.35">
      <c r="D426" s="2"/>
      <c r="E426" s="2"/>
      <c r="F426" s="2"/>
      <c r="G426" s="2"/>
      <c r="J426" s="2"/>
      <c r="L426" s="2"/>
      <c r="M426" s="2"/>
      <c r="N426" s="2"/>
    </row>
    <row r="427" spans="4:14" ht="12.75" x14ac:dyDescent="0.35">
      <c r="D427" s="2"/>
      <c r="E427" s="2"/>
      <c r="F427" s="2"/>
      <c r="G427" s="2"/>
      <c r="J427" s="2"/>
      <c r="L427" s="2"/>
      <c r="M427" s="2"/>
      <c r="N427" s="2"/>
    </row>
    <row r="428" spans="4:14" ht="12.75" x14ac:dyDescent="0.35">
      <c r="D428" s="2"/>
      <c r="E428" s="2"/>
      <c r="F428" s="2"/>
      <c r="G428" s="2"/>
      <c r="J428" s="2"/>
      <c r="L428" s="2"/>
      <c r="M428" s="2"/>
      <c r="N428" s="2"/>
    </row>
    <row r="429" spans="4:14" ht="12.75" x14ac:dyDescent="0.35">
      <c r="D429" s="2"/>
      <c r="E429" s="2"/>
      <c r="F429" s="2"/>
      <c r="G429" s="2"/>
      <c r="J429" s="2"/>
      <c r="L429" s="2"/>
      <c r="M429" s="2"/>
      <c r="N429" s="2"/>
    </row>
    <row r="430" spans="4:14" ht="12.75" x14ac:dyDescent="0.35">
      <c r="D430" s="2"/>
      <c r="E430" s="2"/>
      <c r="F430" s="2"/>
      <c r="G430" s="2"/>
      <c r="J430" s="2"/>
      <c r="L430" s="2"/>
      <c r="M430" s="2"/>
      <c r="N430" s="2"/>
    </row>
    <row r="431" spans="4:14" ht="12.75" x14ac:dyDescent="0.35">
      <c r="D431" s="2"/>
      <c r="E431" s="2"/>
      <c r="F431" s="2"/>
      <c r="G431" s="2"/>
      <c r="J431" s="2"/>
      <c r="L431" s="2"/>
      <c r="M431" s="2"/>
      <c r="N431" s="2"/>
    </row>
    <row r="432" spans="4:14" ht="12.75" x14ac:dyDescent="0.35">
      <c r="D432" s="2"/>
      <c r="E432" s="2"/>
      <c r="F432" s="2"/>
      <c r="G432" s="2"/>
      <c r="J432" s="2"/>
      <c r="L432" s="2"/>
      <c r="M432" s="2"/>
      <c r="N432" s="2"/>
    </row>
    <row r="433" spans="4:14" ht="12.75" x14ac:dyDescent="0.35">
      <c r="D433" s="2"/>
      <c r="E433" s="2"/>
      <c r="F433" s="2"/>
      <c r="G433" s="2"/>
      <c r="J433" s="2"/>
      <c r="L433" s="2"/>
      <c r="M433" s="2"/>
      <c r="N433" s="2"/>
    </row>
    <row r="434" spans="4:14" ht="12.75" x14ac:dyDescent="0.35">
      <c r="D434" s="2"/>
      <c r="E434" s="2"/>
      <c r="F434" s="2"/>
      <c r="G434" s="2"/>
      <c r="J434" s="2"/>
      <c r="L434" s="2"/>
      <c r="M434" s="2"/>
      <c r="N434" s="2"/>
    </row>
    <row r="435" spans="4:14" ht="12.75" x14ac:dyDescent="0.35">
      <c r="D435" s="2"/>
      <c r="E435" s="2"/>
      <c r="F435" s="2"/>
      <c r="G435" s="2"/>
      <c r="J435" s="2"/>
      <c r="L435" s="2"/>
      <c r="M435" s="2"/>
      <c r="N435" s="2"/>
    </row>
    <row r="436" spans="4:14" ht="12.75" x14ac:dyDescent="0.35">
      <c r="D436" s="2"/>
      <c r="E436" s="2"/>
      <c r="F436" s="2"/>
      <c r="G436" s="2"/>
      <c r="J436" s="2"/>
      <c r="L436" s="2"/>
      <c r="M436" s="2"/>
      <c r="N436" s="2"/>
    </row>
    <row r="437" spans="4:14" ht="12.75" x14ac:dyDescent="0.35">
      <c r="D437" s="2"/>
      <c r="E437" s="2"/>
      <c r="F437" s="2"/>
      <c r="G437" s="2"/>
      <c r="J437" s="2"/>
      <c r="L437" s="2"/>
      <c r="M437" s="2"/>
      <c r="N437" s="2"/>
    </row>
    <row r="438" spans="4:14" ht="12.75" x14ac:dyDescent="0.35">
      <c r="D438" s="2"/>
      <c r="E438" s="2"/>
      <c r="F438" s="2"/>
      <c r="G438" s="2"/>
      <c r="J438" s="2"/>
      <c r="L438" s="2"/>
      <c r="M438" s="2"/>
      <c r="N438" s="2"/>
    </row>
    <row r="439" spans="4:14" ht="12.75" x14ac:dyDescent="0.35">
      <c r="D439" s="2"/>
      <c r="E439" s="2"/>
      <c r="F439" s="2"/>
      <c r="G439" s="2"/>
      <c r="J439" s="2"/>
      <c r="L439" s="2"/>
      <c r="M439" s="2"/>
      <c r="N439" s="2"/>
    </row>
    <row r="440" spans="4:14" ht="12.75" x14ac:dyDescent="0.35">
      <c r="D440" s="2"/>
      <c r="E440" s="2"/>
      <c r="F440" s="2"/>
      <c r="G440" s="2"/>
      <c r="J440" s="2"/>
      <c r="L440" s="2"/>
      <c r="M440" s="2"/>
      <c r="N440" s="2"/>
    </row>
    <row r="441" spans="4:14" ht="12.75" x14ac:dyDescent="0.35">
      <c r="D441" s="2"/>
      <c r="E441" s="2"/>
      <c r="F441" s="2"/>
      <c r="G441" s="2"/>
      <c r="J441" s="2"/>
      <c r="L441" s="2"/>
      <c r="M441" s="2"/>
      <c r="N441" s="2"/>
    </row>
    <row r="442" spans="4:14" ht="12.75" x14ac:dyDescent="0.35">
      <c r="D442" s="2"/>
      <c r="E442" s="2"/>
      <c r="F442" s="2"/>
      <c r="G442" s="2"/>
      <c r="J442" s="2"/>
      <c r="L442" s="2"/>
      <c r="M442" s="2"/>
      <c r="N442" s="2"/>
    </row>
    <row r="443" spans="4:14" ht="12.75" x14ac:dyDescent="0.35">
      <c r="D443" s="2"/>
      <c r="E443" s="2"/>
      <c r="F443" s="2"/>
      <c r="G443" s="2"/>
      <c r="J443" s="2"/>
      <c r="L443" s="2"/>
      <c r="M443" s="2"/>
      <c r="N443" s="2"/>
    </row>
    <row r="444" spans="4:14" ht="12.75" x14ac:dyDescent="0.35">
      <c r="D444" s="2"/>
      <c r="E444" s="2"/>
      <c r="F444" s="2"/>
      <c r="G444" s="2"/>
      <c r="J444" s="2"/>
      <c r="L444" s="2"/>
      <c r="M444" s="2"/>
      <c r="N444" s="2"/>
    </row>
    <row r="445" spans="4:14" ht="12.75" x14ac:dyDescent="0.35">
      <c r="D445" s="2"/>
      <c r="E445" s="2"/>
      <c r="F445" s="2"/>
      <c r="G445" s="2"/>
      <c r="J445" s="2"/>
      <c r="L445" s="2"/>
      <c r="M445" s="2"/>
      <c r="N445" s="2"/>
    </row>
    <row r="446" spans="4:14" ht="12.75" x14ac:dyDescent="0.35">
      <c r="D446" s="2"/>
      <c r="E446" s="2"/>
      <c r="F446" s="2"/>
      <c r="G446" s="2"/>
      <c r="J446" s="2"/>
      <c r="L446" s="2"/>
      <c r="M446" s="2"/>
      <c r="N446" s="2"/>
    </row>
    <row r="447" spans="4:14" ht="12.75" x14ac:dyDescent="0.35">
      <c r="D447" s="2"/>
      <c r="E447" s="2"/>
      <c r="F447" s="2"/>
      <c r="G447" s="2"/>
      <c r="J447" s="2"/>
      <c r="L447" s="2"/>
      <c r="M447" s="2"/>
      <c r="N447" s="2"/>
    </row>
    <row r="448" spans="4:14" ht="12.75" x14ac:dyDescent="0.35">
      <c r="D448" s="2"/>
      <c r="E448" s="2"/>
      <c r="F448" s="2"/>
      <c r="G448" s="2"/>
      <c r="J448" s="2"/>
      <c r="L448" s="2"/>
      <c r="M448" s="2"/>
      <c r="N448" s="2"/>
    </row>
    <row r="449" spans="4:14" ht="12.75" x14ac:dyDescent="0.35">
      <c r="D449" s="2"/>
      <c r="E449" s="2"/>
      <c r="F449" s="2"/>
      <c r="G449" s="2"/>
      <c r="J449" s="2"/>
      <c r="L449" s="2"/>
      <c r="M449" s="2"/>
      <c r="N449" s="2"/>
    </row>
    <row r="450" spans="4:14" ht="12.75" x14ac:dyDescent="0.35">
      <c r="D450" s="2"/>
      <c r="E450" s="2"/>
      <c r="F450" s="2"/>
      <c r="G450" s="2"/>
      <c r="J450" s="2"/>
      <c r="L450" s="2"/>
      <c r="M450" s="2"/>
      <c r="N450" s="2"/>
    </row>
    <row r="451" spans="4:14" ht="12.75" x14ac:dyDescent="0.35">
      <c r="D451" s="2"/>
      <c r="E451" s="2"/>
      <c r="F451" s="2"/>
      <c r="G451" s="2"/>
      <c r="J451" s="2"/>
      <c r="L451" s="2"/>
      <c r="M451" s="2"/>
      <c r="N451" s="2"/>
    </row>
    <row r="452" spans="4:14" ht="12.75" x14ac:dyDescent="0.35">
      <c r="D452" s="2"/>
      <c r="E452" s="2"/>
      <c r="F452" s="2"/>
      <c r="G452" s="2"/>
      <c r="J452" s="2"/>
      <c r="L452" s="2"/>
      <c r="M452" s="2"/>
      <c r="N452" s="2"/>
    </row>
    <row r="453" spans="4:14" ht="12.75" x14ac:dyDescent="0.35">
      <c r="D453" s="2"/>
      <c r="E453" s="2"/>
      <c r="F453" s="2"/>
      <c r="G453" s="2"/>
      <c r="J453" s="2"/>
      <c r="L453" s="2"/>
      <c r="M453" s="2"/>
      <c r="N453" s="2"/>
    </row>
    <row r="454" spans="4:14" ht="12.75" x14ac:dyDescent="0.35">
      <c r="D454" s="2"/>
      <c r="E454" s="2"/>
      <c r="F454" s="2"/>
      <c r="G454" s="2"/>
      <c r="J454" s="2"/>
      <c r="L454" s="2"/>
      <c r="M454" s="2"/>
      <c r="N454" s="2"/>
    </row>
    <row r="455" spans="4:14" ht="12.75" x14ac:dyDescent="0.35">
      <c r="D455" s="2"/>
      <c r="E455" s="2"/>
      <c r="F455" s="2"/>
      <c r="G455" s="2"/>
      <c r="J455" s="2"/>
      <c r="L455" s="2"/>
      <c r="M455" s="2"/>
      <c r="N455" s="2"/>
    </row>
    <row r="456" spans="4:14" ht="12.75" x14ac:dyDescent="0.35">
      <c r="D456" s="2"/>
      <c r="E456" s="2"/>
      <c r="F456" s="2"/>
      <c r="G456" s="2"/>
      <c r="J456" s="2"/>
      <c r="L456" s="2"/>
      <c r="M456" s="2"/>
      <c r="N456" s="2"/>
    </row>
    <row r="457" spans="4:14" ht="12.75" x14ac:dyDescent="0.35">
      <c r="D457" s="2"/>
      <c r="E457" s="2"/>
      <c r="F457" s="2"/>
      <c r="G457" s="2"/>
      <c r="J457" s="2"/>
      <c r="L457" s="2"/>
      <c r="M457" s="2"/>
      <c r="N457" s="2"/>
    </row>
    <row r="458" spans="4:14" ht="12.75" x14ac:dyDescent="0.35">
      <c r="D458" s="2"/>
      <c r="E458" s="2"/>
      <c r="F458" s="2"/>
      <c r="G458" s="2"/>
      <c r="J458" s="2"/>
      <c r="L458" s="2"/>
      <c r="M458" s="2"/>
      <c r="N458" s="2"/>
    </row>
    <row r="459" spans="4:14" ht="12.75" x14ac:dyDescent="0.35">
      <c r="D459" s="2"/>
      <c r="E459" s="2"/>
      <c r="F459" s="2"/>
      <c r="G459" s="2"/>
      <c r="J459" s="2"/>
      <c r="L459" s="2"/>
      <c r="M459" s="2"/>
      <c r="N459" s="2"/>
    </row>
    <row r="460" spans="4:14" ht="12.75" x14ac:dyDescent="0.35">
      <c r="D460" s="2"/>
      <c r="E460" s="2"/>
      <c r="F460" s="2"/>
      <c r="G460" s="2"/>
      <c r="J460" s="2"/>
      <c r="L460" s="2"/>
      <c r="M460" s="2"/>
      <c r="N460" s="2"/>
    </row>
    <row r="461" spans="4:14" ht="12.75" x14ac:dyDescent="0.35">
      <c r="D461" s="2"/>
      <c r="E461" s="2"/>
      <c r="F461" s="2"/>
      <c r="G461" s="2"/>
      <c r="J461" s="2"/>
      <c r="L461" s="2"/>
      <c r="M461" s="2"/>
      <c r="N461" s="2"/>
    </row>
    <row r="462" spans="4:14" ht="12.75" x14ac:dyDescent="0.35">
      <c r="D462" s="2"/>
      <c r="E462" s="2"/>
      <c r="F462" s="2"/>
      <c r="G462" s="2"/>
      <c r="J462" s="2"/>
      <c r="L462" s="2"/>
      <c r="M462" s="2"/>
      <c r="N462" s="2"/>
    </row>
    <row r="463" spans="4:14" ht="12.75" x14ac:dyDescent="0.35">
      <c r="D463" s="2"/>
      <c r="E463" s="2"/>
      <c r="F463" s="2"/>
      <c r="G463" s="2"/>
      <c r="J463" s="2"/>
      <c r="L463" s="2"/>
      <c r="M463" s="2"/>
      <c r="N463" s="2"/>
    </row>
    <row r="464" spans="4:14" ht="12.75" x14ac:dyDescent="0.35">
      <c r="D464" s="2"/>
      <c r="E464" s="2"/>
      <c r="F464" s="2"/>
      <c r="G464" s="2"/>
      <c r="J464" s="2"/>
      <c r="L464" s="2"/>
      <c r="M464" s="2"/>
      <c r="N464" s="2"/>
    </row>
    <row r="465" spans="4:14" ht="12.75" x14ac:dyDescent="0.35">
      <c r="D465" s="2"/>
      <c r="E465" s="2"/>
      <c r="F465" s="2"/>
      <c r="G465" s="2"/>
      <c r="J465" s="2"/>
      <c r="L465" s="2"/>
      <c r="M465" s="2"/>
      <c r="N465" s="2"/>
    </row>
    <row r="466" spans="4:14" ht="12.75" x14ac:dyDescent="0.35">
      <c r="D466" s="2"/>
      <c r="E466" s="2"/>
      <c r="F466" s="2"/>
      <c r="G466" s="2"/>
      <c r="J466" s="2"/>
      <c r="L466" s="2"/>
      <c r="M466" s="2"/>
      <c r="N466" s="2"/>
    </row>
    <row r="467" spans="4:14" ht="12.75" x14ac:dyDescent="0.35">
      <c r="D467" s="2"/>
      <c r="E467" s="2"/>
      <c r="F467" s="2"/>
      <c r="G467" s="2"/>
      <c r="J467" s="2"/>
      <c r="L467" s="2"/>
      <c r="M467" s="2"/>
      <c r="N467" s="2"/>
    </row>
    <row r="468" spans="4:14" ht="12.75" x14ac:dyDescent="0.35">
      <c r="D468" s="2"/>
      <c r="E468" s="2"/>
      <c r="F468" s="2"/>
      <c r="G468" s="2"/>
      <c r="J468" s="2"/>
      <c r="L468" s="2"/>
      <c r="M468" s="2"/>
      <c r="N468" s="2"/>
    </row>
    <row r="469" spans="4:14" ht="12.75" x14ac:dyDescent="0.35">
      <c r="D469" s="2"/>
      <c r="E469" s="2"/>
      <c r="F469" s="2"/>
      <c r="G469" s="2"/>
      <c r="J469" s="2"/>
      <c r="L469" s="2"/>
      <c r="M469" s="2"/>
      <c r="N469" s="2"/>
    </row>
    <row r="470" spans="4:14" ht="12.75" x14ac:dyDescent="0.35">
      <c r="D470" s="2"/>
      <c r="E470" s="2"/>
      <c r="F470" s="2"/>
      <c r="G470" s="2"/>
      <c r="J470" s="2"/>
      <c r="L470" s="2"/>
      <c r="M470" s="2"/>
      <c r="N470" s="2"/>
    </row>
    <row r="471" spans="4:14" ht="12.75" x14ac:dyDescent="0.35">
      <c r="D471" s="2"/>
      <c r="E471" s="2"/>
      <c r="F471" s="2"/>
      <c r="G471" s="2"/>
      <c r="J471" s="2"/>
      <c r="L471" s="2"/>
      <c r="M471" s="2"/>
      <c r="N471" s="2"/>
    </row>
    <row r="472" spans="4:14" ht="12.75" x14ac:dyDescent="0.35">
      <c r="D472" s="2"/>
      <c r="E472" s="2"/>
      <c r="F472" s="2"/>
      <c r="G472" s="2"/>
      <c r="J472" s="2"/>
      <c r="L472" s="2"/>
      <c r="M472" s="2"/>
      <c r="N472" s="2"/>
    </row>
    <row r="473" spans="4:14" ht="12.75" x14ac:dyDescent="0.35">
      <c r="D473" s="2"/>
      <c r="E473" s="2"/>
      <c r="F473" s="2"/>
      <c r="G473" s="2"/>
      <c r="J473" s="2"/>
      <c r="L473" s="2"/>
      <c r="M473" s="2"/>
      <c r="N473" s="2"/>
    </row>
    <row r="474" spans="4:14" ht="12.75" x14ac:dyDescent="0.35">
      <c r="D474" s="2"/>
      <c r="E474" s="2"/>
      <c r="F474" s="2"/>
      <c r="G474" s="2"/>
      <c r="J474" s="2"/>
      <c r="L474" s="2"/>
      <c r="M474" s="2"/>
      <c r="N474" s="2"/>
    </row>
    <row r="475" spans="4:14" ht="12.75" x14ac:dyDescent="0.35">
      <c r="D475" s="2"/>
      <c r="E475" s="2"/>
      <c r="F475" s="2"/>
      <c r="G475" s="2"/>
      <c r="J475" s="2"/>
      <c r="L475" s="2"/>
      <c r="M475" s="2"/>
      <c r="N475" s="2"/>
    </row>
    <row r="476" spans="4:14" ht="12.75" x14ac:dyDescent="0.35">
      <c r="D476" s="2"/>
      <c r="E476" s="2"/>
      <c r="F476" s="2"/>
      <c r="G476" s="2"/>
      <c r="J476" s="2"/>
      <c r="L476" s="2"/>
      <c r="M476" s="2"/>
      <c r="N476" s="2"/>
    </row>
    <row r="477" spans="4:14" ht="12.75" x14ac:dyDescent="0.35">
      <c r="D477" s="2"/>
      <c r="E477" s="2"/>
      <c r="F477" s="2"/>
      <c r="G477" s="2"/>
      <c r="J477" s="2"/>
      <c r="L477" s="2"/>
      <c r="M477" s="2"/>
      <c r="N477" s="2"/>
    </row>
    <row r="478" spans="4:14" ht="12.75" x14ac:dyDescent="0.35">
      <c r="D478" s="2"/>
      <c r="E478" s="2"/>
      <c r="F478" s="2"/>
      <c r="G478" s="2"/>
      <c r="J478" s="2"/>
      <c r="L478" s="2"/>
      <c r="M478" s="2"/>
      <c r="N478" s="2"/>
    </row>
    <row r="479" spans="4:14" ht="12.75" x14ac:dyDescent="0.35">
      <c r="D479" s="2"/>
      <c r="E479" s="2"/>
      <c r="F479" s="2"/>
      <c r="G479" s="2"/>
      <c r="J479" s="2"/>
      <c r="L479" s="2"/>
      <c r="M479" s="2"/>
      <c r="N479" s="2"/>
    </row>
    <row r="480" spans="4:14" ht="12.75" x14ac:dyDescent="0.35">
      <c r="D480" s="2"/>
      <c r="E480" s="2"/>
      <c r="F480" s="2"/>
      <c r="G480" s="2"/>
      <c r="J480" s="2"/>
      <c r="L480" s="2"/>
      <c r="M480" s="2"/>
      <c r="N480" s="2"/>
    </row>
    <row r="481" spans="4:14" ht="12.75" x14ac:dyDescent="0.35">
      <c r="D481" s="2"/>
      <c r="E481" s="2"/>
      <c r="F481" s="2"/>
      <c r="G481" s="2"/>
      <c r="J481" s="2"/>
      <c r="L481" s="2"/>
      <c r="M481" s="2"/>
      <c r="N481" s="2"/>
    </row>
    <row r="482" spans="4:14" ht="12.75" x14ac:dyDescent="0.35">
      <c r="D482" s="2"/>
      <c r="E482" s="2"/>
      <c r="F482" s="2"/>
      <c r="G482" s="2"/>
      <c r="J482" s="2"/>
      <c r="L482" s="2"/>
      <c r="M482" s="2"/>
      <c r="N482" s="2"/>
    </row>
    <row r="483" spans="4:14" ht="12.75" x14ac:dyDescent="0.35">
      <c r="D483" s="2"/>
      <c r="E483" s="2"/>
      <c r="F483" s="2"/>
      <c r="G483" s="2"/>
      <c r="J483" s="2"/>
      <c r="L483" s="2"/>
      <c r="M483" s="2"/>
      <c r="N483" s="2"/>
    </row>
    <row r="484" spans="4:14" ht="12.75" x14ac:dyDescent="0.35">
      <c r="D484" s="2"/>
      <c r="E484" s="2"/>
      <c r="F484" s="2"/>
      <c r="G484" s="2"/>
      <c r="J484" s="2"/>
      <c r="L484" s="2"/>
      <c r="M484" s="2"/>
      <c r="N484" s="2"/>
    </row>
    <row r="485" spans="4:14" ht="12.75" x14ac:dyDescent="0.35">
      <c r="D485" s="2"/>
      <c r="E485" s="2"/>
      <c r="F485" s="2"/>
      <c r="G485" s="2"/>
      <c r="J485" s="2"/>
      <c r="L485" s="2"/>
      <c r="M485" s="2"/>
      <c r="N485" s="2"/>
    </row>
    <row r="486" spans="4:14" ht="12.75" x14ac:dyDescent="0.35">
      <c r="D486" s="2"/>
      <c r="E486" s="2"/>
      <c r="F486" s="2"/>
      <c r="G486" s="2"/>
      <c r="J486" s="2"/>
      <c r="L486" s="2"/>
      <c r="M486" s="2"/>
      <c r="N486" s="2"/>
    </row>
    <row r="487" spans="4:14" ht="12.75" x14ac:dyDescent="0.35">
      <c r="D487" s="2"/>
      <c r="E487" s="2"/>
      <c r="F487" s="2"/>
      <c r="G487" s="2"/>
      <c r="J487" s="2"/>
      <c r="L487" s="2"/>
      <c r="M487" s="2"/>
      <c r="N487" s="2"/>
    </row>
    <row r="488" spans="4:14" ht="12.75" x14ac:dyDescent="0.35">
      <c r="D488" s="2"/>
      <c r="E488" s="2"/>
      <c r="F488" s="2"/>
      <c r="G488" s="2"/>
      <c r="J488" s="2"/>
      <c r="L488" s="2"/>
      <c r="M488" s="2"/>
      <c r="N488" s="2"/>
    </row>
    <row r="489" spans="4:14" ht="12.75" x14ac:dyDescent="0.35">
      <c r="D489" s="2"/>
      <c r="E489" s="2"/>
      <c r="F489" s="2"/>
      <c r="G489" s="2"/>
      <c r="J489" s="2"/>
      <c r="L489" s="2"/>
      <c r="M489" s="2"/>
      <c r="N489" s="2"/>
    </row>
    <row r="490" spans="4:14" ht="12.75" x14ac:dyDescent="0.35">
      <c r="D490" s="2"/>
      <c r="E490" s="2"/>
      <c r="F490" s="2"/>
      <c r="G490" s="2"/>
      <c r="J490" s="2"/>
      <c r="L490" s="2"/>
      <c r="M490" s="2"/>
      <c r="N490" s="2"/>
    </row>
    <row r="491" spans="4:14" ht="12.75" x14ac:dyDescent="0.35">
      <c r="D491" s="2"/>
      <c r="E491" s="2"/>
      <c r="F491" s="2"/>
      <c r="G491" s="2"/>
      <c r="J491" s="2"/>
      <c r="L491" s="2"/>
      <c r="M491" s="2"/>
      <c r="N491" s="2"/>
    </row>
    <row r="492" spans="4:14" ht="12.75" x14ac:dyDescent="0.35">
      <c r="D492" s="2"/>
      <c r="E492" s="2"/>
      <c r="F492" s="2"/>
      <c r="G492" s="2"/>
      <c r="J492" s="2"/>
      <c r="L492" s="2"/>
      <c r="M492" s="2"/>
      <c r="N492" s="2"/>
    </row>
    <row r="493" spans="4:14" ht="12.75" x14ac:dyDescent="0.35">
      <c r="D493" s="2"/>
      <c r="E493" s="2"/>
      <c r="F493" s="2"/>
      <c r="G493" s="2"/>
      <c r="J493" s="2"/>
      <c r="L493" s="2"/>
      <c r="M493" s="2"/>
      <c r="N493" s="2"/>
    </row>
    <row r="494" spans="4:14" ht="12.75" x14ac:dyDescent="0.35">
      <c r="D494" s="2"/>
      <c r="E494" s="2"/>
      <c r="F494" s="2"/>
      <c r="G494" s="2"/>
      <c r="J494" s="2"/>
      <c r="L494" s="2"/>
      <c r="M494" s="2"/>
      <c r="N494" s="2"/>
    </row>
    <row r="495" spans="4:14" ht="12.75" x14ac:dyDescent="0.35">
      <c r="D495" s="2"/>
      <c r="E495" s="2"/>
      <c r="F495" s="2"/>
      <c r="G495" s="2"/>
      <c r="J495" s="2"/>
      <c r="L495" s="2"/>
      <c r="M495" s="2"/>
      <c r="N495" s="2"/>
    </row>
    <row r="496" spans="4:14" ht="12.75" x14ac:dyDescent="0.35">
      <c r="D496" s="2"/>
      <c r="E496" s="2"/>
      <c r="F496" s="2"/>
      <c r="G496" s="2"/>
      <c r="J496" s="2"/>
      <c r="L496" s="2"/>
      <c r="M496" s="2"/>
      <c r="N496" s="2"/>
    </row>
    <row r="497" spans="4:14" ht="12.75" x14ac:dyDescent="0.35">
      <c r="D497" s="2"/>
      <c r="E497" s="2"/>
      <c r="F497" s="2"/>
      <c r="G497" s="2"/>
      <c r="J497" s="2"/>
      <c r="L497" s="2"/>
      <c r="M497" s="2"/>
      <c r="N497" s="2"/>
    </row>
    <row r="498" spans="4:14" ht="12.75" x14ac:dyDescent="0.35">
      <c r="D498" s="2"/>
      <c r="E498" s="2"/>
      <c r="F498" s="2"/>
      <c r="G498" s="2"/>
      <c r="J498" s="2"/>
      <c r="L498" s="2"/>
      <c r="M498" s="2"/>
      <c r="N498" s="2"/>
    </row>
    <row r="499" spans="4:14" ht="12.75" x14ac:dyDescent="0.35">
      <c r="D499" s="2"/>
      <c r="E499" s="2"/>
      <c r="F499" s="2"/>
      <c r="G499" s="2"/>
      <c r="J499" s="2"/>
      <c r="L499" s="2"/>
      <c r="M499" s="2"/>
      <c r="N499" s="2"/>
    </row>
    <row r="500" spans="4:14" ht="12.75" x14ac:dyDescent="0.35">
      <c r="D500" s="2"/>
      <c r="E500" s="2"/>
      <c r="F500" s="2"/>
      <c r="G500" s="2"/>
      <c r="J500" s="2"/>
      <c r="L500" s="2"/>
      <c r="M500" s="2"/>
      <c r="N500" s="2"/>
    </row>
    <row r="501" spans="4:14" ht="12.75" x14ac:dyDescent="0.35">
      <c r="D501" s="2"/>
      <c r="E501" s="2"/>
      <c r="F501" s="2"/>
      <c r="G501" s="2"/>
      <c r="J501" s="2"/>
      <c r="L501" s="2"/>
      <c r="M501" s="2"/>
      <c r="N501" s="2"/>
    </row>
    <row r="502" spans="4:14" ht="12.75" x14ac:dyDescent="0.35">
      <c r="D502" s="2"/>
      <c r="E502" s="2"/>
      <c r="F502" s="2"/>
      <c r="G502" s="2"/>
      <c r="J502" s="2"/>
      <c r="L502" s="2"/>
      <c r="M502" s="2"/>
      <c r="N502" s="2"/>
    </row>
    <row r="503" spans="4:14" ht="12.75" x14ac:dyDescent="0.35">
      <c r="D503" s="2"/>
      <c r="E503" s="2"/>
      <c r="F503" s="2"/>
      <c r="G503" s="2"/>
      <c r="J503" s="2"/>
      <c r="L503" s="2"/>
      <c r="M503" s="2"/>
      <c r="N503" s="2"/>
    </row>
    <row r="504" spans="4:14" ht="12.75" x14ac:dyDescent="0.35">
      <c r="D504" s="2"/>
      <c r="E504" s="2"/>
      <c r="F504" s="2"/>
      <c r="G504" s="2"/>
      <c r="J504" s="2"/>
      <c r="L504" s="2"/>
      <c r="M504" s="2"/>
      <c r="N504" s="2"/>
    </row>
    <row r="505" spans="4:14" ht="12.75" x14ac:dyDescent="0.35">
      <c r="D505" s="2"/>
      <c r="E505" s="2"/>
      <c r="F505" s="2"/>
      <c r="G505" s="2"/>
      <c r="J505" s="2"/>
      <c r="L505" s="2"/>
      <c r="M505" s="2"/>
      <c r="N505" s="2"/>
    </row>
    <row r="506" spans="4:14" ht="12.75" x14ac:dyDescent="0.35">
      <c r="D506" s="2"/>
      <c r="E506" s="2"/>
      <c r="F506" s="2"/>
      <c r="G506" s="2"/>
      <c r="J506" s="2"/>
      <c r="L506" s="2"/>
      <c r="M506" s="2"/>
      <c r="N506" s="2"/>
    </row>
    <row r="507" spans="4:14" ht="12.75" x14ac:dyDescent="0.35">
      <c r="D507" s="2"/>
      <c r="E507" s="2"/>
      <c r="F507" s="2"/>
      <c r="G507" s="2"/>
      <c r="J507" s="2"/>
      <c r="L507" s="2"/>
      <c r="M507" s="2"/>
      <c r="N507" s="2"/>
    </row>
    <row r="508" spans="4:14" ht="12.75" x14ac:dyDescent="0.35">
      <c r="D508" s="2"/>
      <c r="E508" s="2"/>
      <c r="F508" s="2"/>
      <c r="G508" s="2"/>
      <c r="J508" s="2"/>
      <c r="L508" s="2"/>
      <c r="M508" s="2"/>
      <c r="N508" s="2"/>
    </row>
    <row r="509" spans="4:14" ht="12.75" x14ac:dyDescent="0.35">
      <c r="D509" s="2"/>
      <c r="E509" s="2"/>
      <c r="F509" s="2"/>
      <c r="G509" s="2"/>
      <c r="J509" s="2"/>
      <c r="L509" s="2"/>
      <c r="M509" s="2"/>
      <c r="N509" s="2"/>
    </row>
    <row r="510" spans="4:14" ht="12.75" x14ac:dyDescent="0.35">
      <c r="D510" s="2"/>
      <c r="E510" s="2"/>
      <c r="F510" s="2"/>
      <c r="G510" s="2"/>
      <c r="J510" s="2"/>
      <c r="L510" s="2"/>
      <c r="M510" s="2"/>
      <c r="N510" s="2"/>
    </row>
    <row r="511" spans="4:14" ht="12.75" x14ac:dyDescent="0.35">
      <c r="D511" s="2"/>
      <c r="E511" s="2"/>
      <c r="F511" s="2"/>
      <c r="G511" s="2"/>
      <c r="J511" s="2"/>
      <c r="L511" s="2"/>
      <c r="M511" s="2"/>
      <c r="N511" s="2"/>
    </row>
    <row r="512" spans="4:14" ht="12.75" x14ac:dyDescent="0.35">
      <c r="D512" s="2"/>
      <c r="E512" s="2"/>
      <c r="F512" s="2"/>
      <c r="G512" s="2"/>
      <c r="J512" s="2"/>
      <c r="L512" s="2"/>
      <c r="M512" s="2"/>
      <c r="N512" s="2"/>
    </row>
    <row r="513" spans="4:14" ht="12.75" x14ac:dyDescent="0.35">
      <c r="D513" s="2"/>
      <c r="E513" s="2"/>
      <c r="F513" s="2"/>
      <c r="G513" s="2"/>
      <c r="J513" s="2"/>
      <c r="L513" s="2"/>
      <c r="M513" s="2"/>
      <c r="N513" s="2"/>
    </row>
    <row r="514" spans="4:14" ht="12.75" x14ac:dyDescent="0.35">
      <c r="D514" s="2"/>
      <c r="E514" s="2"/>
      <c r="F514" s="2"/>
      <c r="G514" s="2"/>
      <c r="J514" s="2"/>
      <c r="L514" s="2"/>
      <c r="M514" s="2"/>
      <c r="N514" s="2"/>
    </row>
    <row r="515" spans="4:14" ht="12.75" x14ac:dyDescent="0.35">
      <c r="D515" s="2"/>
      <c r="E515" s="2"/>
      <c r="F515" s="2"/>
      <c r="G515" s="2"/>
      <c r="J515" s="2"/>
      <c r="L515" s="2"/>
      <c r="M515" s="2"/>
      <c r="N515" s="2"/>
    </row>
    <row r="516" spans="4:14" ht="12.75" x14ac:dyDescent="0.35">
      <c r="D516" s="2"/>
      <c r="E516" s="2"/>
      <c r="F516" s="2"/>
      <c r="G516" s="2"/>
      <c r="J516" s="2"/>
      <c r="L516" s="2"/>
      <c r="M516" s="2"/>
      <c r="N516" s="2"/>
    </row>
    <row r="517" spans="4:14" ht="12.75" x14ac:dyDescent="0.35">
      <c r="D517" s="2"/>
      <c r="E517" s="2"/>
      <c r="F517" s="2"/>
      <c r="G517" s="2"/>
      <c r="J517" s="2"/>
      <c r="L517" s="2"/>
      <c r="M517" s="2"/>
      <c r="N517" s="2"/>
    </row>
    <row r="518" spans="4:14" ht="12.75" x14ac:dyDescent="0.35">
      <c r="D518" s="2"/>
      <c r="E518" s="2"/>
      <c r="F518" s="2"/>
      <c r="G518" s="2"/>
      <c r="J518" s="2"/>
      <c r="L518" s="2"/>
      <c r="M518" s="2"/>
      <c r="N518" s="2"/>
    </row>
    <row r="519" spans="4:14" ht="12.75" x14ac:dyDescent="0.35">
      <c r="D519" s="2"/>
      <c r="E519" s="2"/>
      <c r="F519" s="2"/>
      <c r="G519" s="2"/>
      <c r="J519" s="2"/>
      <c r="L519" s="2"/>
      <c r="M519" s="2"/>
      <c r="N519" s="2"/>
    </row>
    <row r="520" spans="4:14" ht="12.75" x14ac:dyDescent="0.35">
      <c r="D520" s="2"/>
      <c r="E520" s="2"/>
      <c r="F520" s="2"/>
      <c r="G520" s="2"/>
      <c r="J520" s="2"/>
      <c r="L520" s="2"/>
      <c r="M520" s="2"/>
      <c r="N520" s="2"/>
    </row>
    <row r="521" spans="4:14" ht="12.75" x14ac:dyDescent="0.35">
      <c r="D521" s="2"/>
      <c r="E521" s="2"/>
      <c r="F521" s="2"/>
      <c r="G521" s="2"/>
      <c r="J521" s="2"/>
      <c r="L521" s="2"/>
      <c r="M521" s="2"/>
      <c r="N521" s="2"/>
    </row>
    <row r="522" spans="4:14" ht="12.75" x14ac:dyDescent="0.35">
      <c r="D522" s="2"/>
      <c r="E522" s="2"/>
      <c r="F522" s="2"/>
      <c r="G522" s="2"/>
      <c r="J522" s="2"/>
      <c r="L522" s="2"/>
      <c r="M522" s="2"/>
      <c r="N522" s="2"/>
    </row>
    <row r="523" spans="4:14" ht="12.75" x14ac:dyDescent="0.35">
      <c r="D523" s="2"/>
      <c r="E523" s="2"/>
      <c r="F523" s="2"/>
      <c r="G523" s="2"/>
      <c r="J523" s="2"/>
      <c r="L523" s="2"/>
      <c r="M523" s="2"/>
      <c r="N523" s="2"/>
    </row>
    <row r="524" spans="4:14" ht="12.75" x14ac:dyDescent="0.35">
      <c r="D524" s="2"/>
      <c r="E524" s="2"/>
      <c r="F524" s="2"/>
      <c r="G524" s="2"/>
      <c r="J524" s="2"/>
      <c r="L524" s="2"/>
      <c r="M524" s="2"/>
      <c r="N524" s="2"/>
    </row>
    <row r="525" spans="4:14" ht="12.75" x14ac:dyDescent="0.35">
      <c r="D525" s="2"/>
      <c r="E525" s="2"/>
      <c r="F525" s="2"/>
      <c r="G525" s="2"/>
      <c r="J525" s="2"/>
      <c r="L525" s="2"/>
      <c r="M525" s="2"/>
      <c r="N525" s="2"/>
    </row>
    <row r="526" spans="4:14" ht="12.75" x14ac:dyDescent="0.35">
      <c r="D526" s="2"/>
      <c r="E526" s="2"/>
      <c r="F526" s="2"/>
      <c r="G526" s="2"/>
      <c r="J526" s="2"/>
      <c r="L526" s="2"/>
      <c r="M526" s="2"/>
      <c r="N526" s="2"/>
    </row>
    <row r="527" spans="4:14" ht="12.75" x14ac:dyDescent="0.35">
      <c r="D527" s="2"/>
      <c r="E527" s="2"/>
      <c r="F527" s="2"/>
      <c r="G527" s="2"/>
      <c r="J527" s="2"/>
      <c r="L527" s="2"/>
      <c r="M527" s="2"/>
      <c r="N527" s="2"/>
    </row>
    <row r="528" spans="4:14" ht="12.75" x14ac:dyDescent="0.35">
      <c r="D528" s="2"/>
      <c r="E528" s="2"/>
      <c r="F528" s="2"/>
      <c r="G528" s="2"/>
      <c r="J528" s="2"/>
      <c r="L528" s="2"/>
      <c r="M528" s="2"/>
      <c r="N528" s="2"/>
    </row>
    <row r="529" spans="4:14" ht="12.75" x14ac:dyDescent="0.35">
      <c r="D529" s="2"/>
      <c r="E529" s="2"/>
      <c r="F529" s="2"/>
      <c r="G529" s="2"/>
      <c r="J529" s="2"/>
      <c r="L529" s="2"/>
      <c r="M529" s="2"/>
      <c r="N529" s="2"/>
    </row>
    <row r="530" spans="4:14" ht="12.75" x14ac:dyDescent="0.35">
      <c r="D530" s="2"/>
      <c r="E530" s="2"/>
      <c r="F530" s="2"/>
      <c r="G530" s="2"/>
      <c r="J530" s="2"/>
      <c r="L530" s="2"/>
      <c r="M530" s="2"/>
      <c r="N530" s="2"/>
    </row>
    <row r="531" spans="4:14" ht="12.75" x14ac:dyDescent="0.35">
      <c r="D531" s="2"/>
      <c r="E531" s="2"/>
      <c r="F531" s="2"/>
      <c r="G531" s="2"/>
      <c r="J531" s="2"/>
      <c r="L531" s="2"/>
      <c r="M531" s="2"/>
      <c r="N531" s="2"/>
    </row>
    <row r="532" spans="4:14" ht="12.75" x14ac:dyDescent="0.35">
      <c r="D532" s="2"/>
      <c r="E532" s="2"/>
      <c r="F532" s="2"/>
      <c r="G532" s="2"/>
      <c r="J532" s="2"/>
      <c r="L532" s="2"/>
      <c r="M532" s="2"/>
      <c r="N532" s="2"/>
    </row>
    <row r="533" spans="4:14" ht="12.75" x14ac:dyDescent="0.35">
      <c r="D533" s="2"/>
      <c r="E533" s="2"/>
      <c r="F533" s="2"/>
      <c r="G533" s="2"/>
      <c r="J533" s="2"/>
      <c r="L533" s="2"/>
      <c r="M533" s="2"/>
      <c r="N533" s="2"/>
    </row>
    <row r="534" spans="4:14" ht="12.75" x14ac:dyDescent="0.35">
      <c r="D534" s="2"/>
      <c r="E534" s="2"/>
      <c r="F534" s="2"/>
      <c r="G534" s="2"/>
      <c r="J534" s="2"/>
      <c r="L534" s="2"/>
      <c r="M534" s="2"/>
      <c r="N534" s="2"/>
    </row>
    <row r="535" spans="4:14" ht="12.75" x14ac:dyDescent="0.35">
      <c r="D535" s="2"/>
      <c r="E535" s="2"/>
      <c r="F535" s="2"/>
      <c r="G535" s="2"/>
      <c r="J535" s="2"/>
      <c r="L535" s="2"/>
      <c r="M535" s="2"/>
      <c r="N535" s="2"/>
    </row>
    <row r="536" spans="4:14" ht="12.75" x14ac:dyDescent="0.35">
      <c r="D536" s="2"/>
      <c r="E536" s="2"/>
      <c r="F536" s="2"/>
      <c r="G536" s="2"/>
      <c r="J536" s="2"/>
      <c r="L536" s="2"/>
      <c r="M536" s="2"/>
      <c r="N536" s="2"/>
    </row>
    <row r="537" spans="4:14" ht="12.75" x14ac:dyDescent="0.35">
      <c r="D537" s="2"/>
      <c r="E537" s="2"/>
      <c r="F537" s="2"/>
      <c r="G537" s="2"/>
      <c r="J537" s="2"/>
      <c r="L537" s="2"/>
      <c r="M537" s="2"/>
      <c r="N537" s="2"/>
    </row>
    <row r="538" spans="4:14" ht="12.75" x14ac:dyDescent="0.35">
      <c r="D538" s="2"/>
      <c r="E538" s="2"/>
      <c r="F538" s="2"/>
      <c r="G538" s="2"/>
      <c r="J538" s="2"/>
      <c r="L538" s="2"/>
      <c r="M538" s="2"/>
      <c r="N538" s="2"/>
    </row>
    <row r="539" spans="4:14" ht="12.75" x14ac:dyDescent="0.35">
      <c r="D539" s="2"/>
      <c r="E539" s="2"/>
      <c r="F539" s="2"/>
      <c r="G539" s="2"/>
      <c r="J539" s="2"/>
      <c r="L539" s="2"/>
      <c r="M539" s="2"/>
      <c r="N539" s="2"/>
    </row>
    <row r="540" spans="4:14" ht="12.75" x14ac:dyDescent="0.35">
      <c r="D540" s="2"/>
      <c r="E540" s="2"/>
      <c r="F540" s="2"/>
      <c r="G540" s="2"/>
      <c r="J540" s="2"/>
      <c r="L540" s="2"/>
      <c r="M540" s="2"/>
      <c r="N540" s="2"/>
    </row>
    <row r="541" spans="4:14" ht="12.75" x14ac:dyDescent="0.35">
      <c r="D541" s="2"/>
      <c r="E541" s="2"/>
      <c r="F541" s="2"/>
      <c r="G541" s="2"/>
      <c r="J541" s="2"/>
      <c r="L541" s="2"/>
      <c r="M541" s="2"/>
      <c r="N541" s="2"/>
    </row>
    <row r="542" spans="4:14" ht="12.75" x14ac:dyDescent="0.35">
      <c r="D542" s="2"/>
      <c r="E542" s="2"/>
      <c r="F542" s="2"/>
      <c r="G542" s="2"/>
      <c r="J542" s="2"/>
      <c r="L542" s="2"/>
      <c r="M542" s="2"/>
      <c r="N542" s="2"/>
    </row>
    <row r="543" spans="4:14" ht="12.75" x14ac:dyDescent="0.35">
      <c r="D543" s="2"/>
      <c r="E543" s="2"/>
      <c r="F543" s="2"/>
      <c r="G543" s="2"/>
      <c r="J543" s="2"/>
      <c r="L543" s="2"/>
      <c r="M543" s="2"/>
      <c r="N543" s="2"/>
    </row>
    <row r="544" spans="4:14" ht="12.75" x14ac:dyDescent="0.35">
      <c r="D544" s="2"/>
      <c r="E544" s="2"/>
      <c r="F544" s="2"/>
      <c r="G544" s="2"/>
      <c r="J544" s="2"/>
      <c r="L544" s="2"/>
      <c r="M544" s="2"/>
      <c r="N544" s="2"/>
    </row>
    <row r="545" spans="4:14" ht="12.75" x14ac:dyDescent="0.35">
      <c r="D545" s="2"/>
      <c r="E545" s="2"/>
      <c r="F545" s="2"/>
      <c r="G545" s="2"/>
      <c r="J545" s="2"/>
      <c r="L545" s="2"/>
      <c r="M545" s="2"/>
      <c r="N545" s="2"/>
    </row>
    <row r="546" spans="4:14" ht="12.75" x14ac:dyDescent="0.35">
      <c r="D546" s="2"/>
      <c r="E546" s="2"/>
      <c r="F546" s="2"/>
      <c r="G546" s="2"/>
      <c r="J546" s="2"/>
      <c r="L546" s="2"/>
      <c r="M546" s="2"/>
      <c r="N546" s="2"/>
    </row>
    <row r="547" spans="4:14" ht="12.75" x14ac:dyDescent="0.35">
      <c r="D547" s="2"/>
      <c r="E547" s="2"/>
      <c r="F547" s="2"/>
      <c r="G547" s="2"/>
      <c r="J547" s="2"/>
      <c r="L547" s="2"/>
      <c r="M547" s="2"/>
      <c r="N547" s="2"/>
    </row>
    <row r="548" spans="4:14" ht="12.75" x14ac:dyDescent="0.35">
      <c r="D548" s="2"/>
      <c r="E548" s="2"/>
      <c r="F548" s="2"/>
      <c r="G548" s="2"/>
      <c r="J548" s="2"/>
      <c r="L548" s="2"/>
      <c r="M548" s="2"/>
      <c r="N548" s="2"/>
    </row>
    <row r="549" spans="4:14" ht="12.75" x14ac:dyDescent="0.35">
      <c r="D549" s="2"/>
      <c r="E549" s="2"/>
      <c r="F549" s="2"/>
      <c r="G549" s="2"/>
      <c r="J549" s="2"/>
      <c r="L549" s="2"/>
      <c r="M549" s="2"/>
      <c r="N549" s="2"/>
    </row>
    <row r="550" spans="4:14" ht="12.75" x14ac:dyDescent="0.35">
      <c r="D550" s="2"/>
      <c r="E550" s="2"/>
      <c r="F550" s="2"/>
      <c r="G550" s="2"/>
      <c r="J550" s="2"/>
      <c r="L550" s="2"/>
      <c r="M550" s="2"/>
      <c r="N550" s="2"/>
    </row>
    <row r="551" spans="4:14" ht="12.75" x14ac:dyDescent="0.35">
      <c r="D551" s="2"/>
      <c r="E551" s="2"/>
      <c r="F551" s="2"/>
      <c r="G551" s="2"/>
      <c r="J551" s="2"/>
      <c r="L551" s="2"/>
      <c r="M551" s="2"/>
      <c r="N551" s="2"/>
    </row>
    <row r="552" spans="4:14" ht="12.75" x14ac:dyDescent="0.35">
      <c r="D552" s="2"/>
      <c r="E552" s="2"/>
      <c r="F552" s="2"/>
      <c r="G552" s="2"/>
      <c r="J552" s="2"/>
      <c r="L552" s="2"/>
      <c r="M552" s="2"/>
      <c r="N552" s="2"/>
    </row>
    <row r="553" spans="4:14" ht="12.75" x14ac:dyDescent="0.35">
      <c r="D553" s="2"/>
      <c r="E553" s="2"/>
      <c r="F553" s="2"/>
      <c r="G553" s="2"/>
      <c r="J553" s="2"/>
      <c r="L553" s="2"/>
      <c r="M553" s="2"/>
      <c r="N553" s="2"/>
    </row>
    <row r="554" spans="4:14" ht="12.75" x14ac:dyDescent="0.35">
      <c r="D554" s="2"/>
      <c r="E554" s="2"/>
      <c r="F554" s="2"/>
      <c r="G554" s="2"/>
      <c r="J554" s="2"/>
      <c r="L554" s="2"/>
      <c r="M554" s="2"/>
      <c r="N554" s="2"/>
    </row>
    <row r="555" spans="4:14" ht="12.75" x14ac:dyDescent="0.35">
      <c r="D555" s="2"/>
      <c r="E555" s="2"/>
      <c r="F555" s="2"/>
      <c r="G555" s="2"/>
      <c r="J555" s="2"/>
      <c r="L555" s="2"/>
      <c r="M555" s="2"/>
      <c r="N555" s="2"/>
    </row>
    <row r="556" spans="4:14" ht="12.75" x14ac:dyDescent="0.35">
      <c r="D556" s="2"/>
      <c r="E556" s="2"/>
      <c r="F556" s="2"/>
      <c r="G556" s="2"/>
      <c r="J556" s="2"/>
      <c r="L556" s="2"/>
      <c r="M556" s="2"/>
      <c r="N556" s="2"/>
    </row>
    <row r="557" spans="4:14" ht="12.75" x14ac:dyDescent="0.35">
      <c r="D557" s="2"/>
      <c r="E557" s="2"/>
      <c r="F557" s="2"/>
      <c r="G557" s="2"/>
      <c r="J557" s="2"/>
      <c r="L557" s="2"/>
      <c r="M557" s="2"/>
      <c r="N557" s="2"/>
    </row>
    <row r="558" spans="4:14" ht="12.75" x14ac:dyDescent="0.35">
      <c r="D558" s="2"/>
      <c r="E558" s="2"/>
      <c r="F558" s="2"/>
      <c r="G558" s="2"/>
      <c r="J558" s="2"/>
      <c r="L558" s="2"/>
      <c r="M558" s="2"/>
      <c r="N558" s="2"/>
    </row>
    <row r="559" spans="4:14" ht="12.75" x14ac:dyDescent="0.35">
      <c r="D559" s="2"/>
      <c r="E559" s="2"/>
      <c r="F559" s="2"/>
      <c r="G559" s="2"/>
      <c r="J559" s="2"/>
      <c r="L559" s="2"/>
      <c r="M559" s="2"/>
      <c r="N559" s="2"/>
    </row>
    <row r="560" spans="4:14" ht="12.75" x14ac:dyDescent="0.35">
      <c r="D560" s="2"/>
      <c r="E560" s="2"/>
      <c r="F560" s="2"/>
      <c r="G560" s="2"/>
      <c r="J560" s="2"/>
      <c r="L560" s="2"/>
      <c r="M560" s="2"/>
      <c r="N560" s="2"/>
    </row>
    <row r="561" spans="4:14" ht="12.75" x14ac:dyDescent="0.35">
      <c r="D561" s="2"/>
      <c r="E561" s="2"/>
      <c r="F561" s="2"/>
      <c r="G561" s="2"/>
      <c r="J561" s="2"/>
      <c r="L561" s="2"/>
      <c r="M561" s="2"/>
      <c r="N561" s="2"/>
    </row>
    <row r="562" spans="4:14" ht="12.75" x14ac:dyDescent="0.35">
      <c r="D562" s="2"/>
      <c r="E562" s="2"/>
      <c r="F562" s="2"/>
      <c r="G562" s="2"/>
      <c r="J562" s="2"/>
      <c r="L562" s="2"/>
      <c r="M562" s="2"/>
      <c r="N562" s="2"/>
    </row>
    <row r="563" spans="4:14" ht="12.75" x14ac:dyDescent="0.35">
      <c r="D563" s="2"/>
      <c r="E563" s="2"/>
      <c r="F563" s="2"/>
      <c r="G563" s="2"/>
      <c r="J563" s="2"/>
      <c r="L563" s="2"/>
      <c r="M563" s="2"/>
      <c r="N563" s="2"/>
    </row>
    <row r="564" spans="4:14" ht="12.75" x14ac:dyDescent="0.35">
      <c r="D564" s="2"/>
      <c r="E564" s="2"/>
      <c r="F564" s="2"/>
      <c r="G564" s="2"/>
      <c r="J564" s="2"/>
      <c r="L564" s="2"/>
      <c r="M564" s="2"/>
      <c r="N564" s="2"/>
    </row>
    <row r="565" spans="4:14" ht="12.75" x14ac:dyDescent="0.35">
      <c r="D565" s="2"/>
      <c r="E565" s="2"/>
      <c r="F565" s="2"/>
      <c r="G565" s="2"/>
      <c r="J565" s="2"/>
      <c r="L565" s="2"/>
      <c r="M565" s="2"/>
      <c r="N565" s="2"/>
    </row>
    <row r="566" spans="4:14" ht="12.75" x14ac:dyDescent="0.35">
      <c r="D566" s="2"/>
      <c r="E566" s="2"/>
      <c r="F566" s="2"/>
      <c r="G566" s="2"/>
      <c r="J566" s="2"/>
      <c r="L566" s="2"/>
      <c r="M566" s="2"/>
      <c r="N566" s="2"/>
    </row>
    <row r="567" spans="4:14" ht="12.75" x14ac:dyDescent="0.35">
      <c r="D567" s="2"/>
      <c r="E567" s="2"/>
      <c r="F567" s="2"/>
      <c r="G567" s="2"/>
      <c r="J567" s="2"/>
      <c r="L567" s="2"/>
      <c r="M567" s="2"/>
      <c r="N567" s="2"/>
    </row>
    <row r="568" spans="4:14" ht="12.75" x14ac:dyDescent="0.35">
      <c r="D568" s="2"/>
      <c r="E568" s="2"/>
      <c r="F568" s="2"/>
      <c r="G568" s="2"/>
      <c r="J568" s="2"/>
      <c r="L568" s="2"/>
      <c r="M568" s="2"/>
      <c r="N568" s="2"/>
    </row>
    <row r="569" spans="4:14" ht="12.75" x14ac:dyDescent="0.35">
      <c r="D569" s="2"/>
      <c r="E569" s="2"/>
      <c r="F569" s="2"/>
      <c r="G569" s="2"/>
      <c r="J569" s="2"/>
      <c r="L569" s="2"/>
      <c r="M569" s="2"/>
      <c r="N569" s="2"/>
    </row>
    <row r="570" spans="4:14" ht="12.75" x14ac:dyDescent="0.35">
      <c r="D570" s="2"/>
      <c r="E570" s="2"/>
      <c r="F570" s="2"/>
      <c r="G570" s="2"/>
      <c r="J570" s="2"/>
      <c r="L570" s="2"/>
      <c r="M570" s="2"/>
      <c r="N570" s="2"/>
    </row>
    <row r="571" spans="4:14" ht="12.75" x14ac:dyDescent="0.35">
      <c r="D571" s="2"/>
      <c r="E571" s="2"/>
      <c r="F571" s="2"/>
      <c r="G571" s="2"/>
      <c r="J571" s="2"/>
      <c r="L571" s="2"/>
      <c r="M571" s="2"/>
      <c r="N571" s="2"/>
    </row>
    <row r="572" spans="4:14" ht="12.75" x14ac:dyDescent="0.35">
      <c r="D572" s="2"/>
      <c r="E572" s="2"/>
      <c r="F572" s="2"/>
      <c r="G572" s="2"/>
      <c r="J572" s="2"/>
      <c r="L572" s="2"/>
      <c r="M572" s="2"/>
      <c r="N572" s="2"/>
    </row>
    <row r="573" spans="4:14" ht="12.75" x14ac:dyDescent="0.35">
      <c r="D573" s="2"/>
      <c r="E573" s="2"/>
      <c r="F573" s="2"/>
      <c r="G573" s="2"/>
      <c r="J573" s="2"/>
      <c r="L573" s="2"/>
      <c r="M573" s="2"/>
      <c r="N573" s="2"/>
    </row>
    <row r="574" spans="4:14" ht="12.75" x14ac:dyDescent="0.35">
      <c r="D574" s="2"/>
      <c r="E574" s="2"/>
      <c r="F574" s="2"/>
      <c r="G574" s="2"/>
      <c r="J574" s="2"/>
      <c r="L574" s="2"/>
      <c r="M574" s="2"/>
      <c r="N574" s="2"/>
    </row>
    <row r="575" spans="4:14" ht="12.75" x14ac:dyDescent="0.35">
      <c r="D575" s="2"/>
      <c r="E575" s="2"/>
      <c r="F575" s="2"/>
      <c r="G575" s="2"/>
      <c r="J575" s="2"/>
      <c r="L575" s="2"/>
      <c r="M575" s="2"/>
      <c r="N575" s="2"/>
    </row>
    <row r="576" spans="4:14" ht="12.75" x14ac:dyDescent="0.35">
      <c r="D576" s="2"/>
      <c r="E576" s="2"/>
      <c r="F576" s="2"/>
      <c r="G576" s="2"/>
      <c r="J576" s="2"/>
      <c r="L576" s="2"/>
      <c r="M576" s="2"/>
      <c r="N576" s="2"/>
    </row>
    <row r="577" spans="4:14" ht="12.75" x14ac:dyDescent="0.35">
      <c r="D577" s="2"/>
      <c r="E577" s="2"/>
      <c r="F577" s="2"/>
      <c r="G577" s="2"/>
      <c r="J577" s="2"/>
      <c r="L577" s="2"/>
      <c r="M577" s="2"/>
      <c r="N577" s="2"/>
    </row>
    <row r="578" spans="4:14" ht="12.75" x14ac:dyDescent="0.35">
      <c r="D578" s="2"/>
      <c r="E578" s="2"/>
      <c r="F578" s="2"/>
      <c r="G578" s="2"/>
      <c r="J578" s="2"/>
      <c r="L578" s="2"/>
      <c r="M578" s="2"/>
      <c r="N578" s="2"/>
    </row>
    <row r="579" spans="4:14" ht="12.75" x14ac:dyDescent="0.35">
      <c r="D579" s="2"/>
      <c r="E579" s="2"/>
      <c r="F579" s="2"/>
      <c r="G579" s="2"/>
      <c r="J579" s="2"/>
      <c r="L579" s="2"/>
      <c r="M579" s="2"/>
      <c r="N579" s="2"/>
    </row>
    <row r="580" spans="4:14" ht="12.75" x14ac:dyDescent="0.35">
      <c r="D580" s="2"/>
      <c r="E580" s="2"/>
      <c r="F580" s="2"/>
      <c r="G580" s="2"/>
      <c r="J580" s="2"/>
      <c r="L580" s="2"/>
      <c r="M580" s="2"/>
      <c r="N580" s="2"/>
    </row>
    <row r="581" spans="4:14" ht="12.75" x14ac:dyDescent="0.35">
      <c r="D581" s="2"/>
      <c r="E581" s="2"/>
      <c r="F581" s="2"/>
      <c r="G581" s="2"/>
      <c r="J581" s="2"/>
      <c r="L581" s="2"/>
      <c r="M581" s="2"/>
      <c r="N581" s="2"/>
    </row>
    <row r="582" spans="4:14" ht="12.75" x14ac:dyDescent="0.35">
      <c r="D582" s="2"/>
      <c r="E582" s="2"/>
      <c r="F582" s="2"/>
      <c r="G582" s="2"/>
      <c r="J582" s="2"/>
      <c r="L582" s="2"/>
      <c r="M582" s="2"/>
      <c r="N582" s="2"/>
    </row>
    <row r="583" spans="4:14" ht="12.75" x14ac:dyDescent="0.35">
      <c r="D583" s="2"/>
      <c r="E583" s="2"/>
      <c r="F583" s="2"/>
      <c r="G583" s="2"/>
      <c r="J583" s="2"/>
      <c r="L583" s="2"/>
      <c r="M583" s="2"/>
      <c r="N583" s="2"/>
    </row>
    <row r="584" spans="4:14" ht="12.75" x14ac:dyDescent="0.35">
      <c r="D584" s="2"/>
      <c r="E584" s="2"/>
      <c r="F584" s="2"/>
      <c r="G584" s="2"/>
      <c r="J584" s="2"/>
      <c r="L584" s="2"/>
      <c r="M584" s="2"/>
      <c r="N584" s="2"/>
    </row>
    <row r="585" spans="4:14" ht="12.75" x14ac:dyDescent="0.35">
      <c r="D585" s="2"/>
      <c r="E585" s="2"/>
      <c r="F585" s="2"/>
      <c r="G585" s="2"/>
      <c r="J585" s="2"/>
      <c r="L585" s="2"/>
      <c r="M585" s="2"/>
      <c r="N585" s="2"/>
    </row>
    <row r="586" spans="4:14" ht="12.75" x14ac:dyDescent="0.35">
      <c r="D586" s="2"/>
      <c r="E586" s="2"/>
      <c r="F586" s="2"/>
      <c r="G586" s="2"/>
      <c r="J586" s="2"/>
      <c r="L586" s="2"/>
      <c r="M586" s="2"/>
      <c r="N586" s="2"/>
    </row>
    <row r="587" spans="4:14" ht="12.75" x14ac:dyDescent="0.35">
      <c r="D587" s="2"/>
      <c r="E587" s="2"/>
      <c r="F587" s="2"/>
      <c r="G587" s="2"/>
      <c r="J587" s="2"/>
      <c r="L587" s="2"/>
      <c r="M587" s="2"/>
      <c r="N587" s="2"/>
    </row>
    <row r="588" spans="4:14" ht="12.75" x14ac:dyDescent="0.35">
      <c r="D588" s="2"/>
      <c r="E588" s="2"/>
      <c r="F588" s="2"/>
      <c r="G588" s="2"/>
      <c r="J588" s="2"/>
      <c r="L588" s="2"/>
      <c r="M588" s="2"/>
      <c r="N588" s="2"/>
    </row>
    <row r="589" spans="4:14" ht="12.75" x14ac:dyDescent="0.35">
      <c r="D589" s="2"/>
      <c r="E589" s="2"/>
      <c r="F589" s="2"/>
      <c r="G589" s="2"/>
      <c r="J589" s="2"/>
      <c r="L589" s="2"/>
      <c r="M589" s="2"/>
      <c r="N589" s="2"/>
    </row>
    <row r="590" spans="4:14" ht="12.75" x14ac:dyDescent="0.35">
      <c r="D590" s="2"/>
      <c r="E590" s="2"/>
      <c r="F590" s="2"/>
      <c r="G590" s="2"/>
      <c r="J590" s="2"/>
      <c r="L590" s="2"/>
      <c r="M590" s="2"/>
      <c r="N590" s="2"/>
    </row>
    <row r="591" spans="4:14" ht="12.75" x14ac:dyDescent="0.35">
      <c r="D591" s="2"/>
      <c r="E591" s="2"/>
      <c r="F591" s="2"/>
      <c r="G591" s="2"/>
      <c r="J591" s="2"/>
      <c r="L591" s="2"/>
      <c r="M591" s="2"/>
      <c r="N591" s="2"/>
    </row>
    <row r="592" spans="4:14" ht="12.75" x14ac:dyDescent="0.35">
      <c r="D592" s="2"/>
      <c r="E592" s="2"/>
      <c r="F592" s="2"/>
      <c r="G592" s="2"/>
      <c r="J592" s="2"/>
      <c r="L592" s="2"/>
      <c r="M592" s="2"/>
      <c r="N592" s="2"/>
    </row>
    <row r="593" spans="4:14" ht="12.75" x14ac:dyDescent="0.35">
      <c r="D593" s="2"/>
      <c r="E593" s="2"/>
      <c r="F593" s="2"/>
      <c r="G593" s="2"/>
      <c r="J593" s="2"/>
      <c r="L593" s="2"/>
      <c r="M593" s="2"/>
      <c r="N593" s="2"/>
    </row>
    <row r="594" spans="4:14" ht="12.75" x14ac:dyDescent="0.35">
      <c r="D594" s="2"/>
      <c r="E594" s="2"/>
      <c r="F594" s="2"/>
      <c r="G594" s="2"/>
      <c r="J594" s="2"/>
      <c r="L594" s="2"/>
      <c r="M594" s="2"/>
      <c r="N594" s="2"/>
    </row>
    <row r="595" spans="4:14" ht="12.75" x14ac:dyDescent="0.35">
      <c r="D595" s="2"/>
      <c r="E595" s="2"/>
      <c r="F595" s="2"/>
      <c r="G595" s="2"/>
      <c r="J595" s="2"/>
      <c r="L595" s="2"/>
      <c r="M595" s="2"/>
      <c r="N595" s="2"/>
    </row>
    <row r="596" spans="4:14" ht="12.75" x14ac:dyDescent="0.35">
      <c r="D596" s="2"/>
      <c r="E596" s="2"/>
      <c r="F596" s="2"/>
      <c r="G596" s="2"/>
      <c r="J596" s="2"/>
      <c r="L596" s="2"/>
      <c r="M596" s="2"/>
      <c r="N596" s="2"/>
    </row>
    <row r="597" spans="4:14" ht="12.75" x14ac:dyDescent="0.35">
      <c r="D597" s="2"/>
      <c r="E597" s="2"/>
      <c r="F597" s="2"/>
      <c r="G597" s="2"/>
      <c r="J597" s="2"/>
      <c r="L597" s="2"/>
      <c r="M597" s="2"/>
      <c r="N597" s="2"/>
    </row>
    <row r="598" spans="4:14" ht="12.75" x14ac:dyDescent="0.35">
      <c r="D598" s="2"/>
      <c r="E598" s="2"/>
      <c r="F598" s="2"/>
      <c r="G598" s="2"/>
      <c r="J598" s="2"/>
      <c r="L598" s="2"/>
      <c r="M598" s="2"/>
      <c r="N598" s="2"/>
    </row>
    <row r="599" spans="4:14" ht="12.75" x14ac:dyDescent="0.35">
      <c r="D599" s="2"/>
      <c r="E599" s="2"/>
      <c r="F599" s="2"/>
      <c r="G599" s="2"/>
      <c r="J599" s="2"/>
      <c r="L599" s="2"/>
      <c r="M599" s="2"/>
      <c r="N599" s="2"/>
    </row>
    <row r="600" spans="4:14" ht="12.75" x14ac:dyDescent="0.35">
      <c r="D600" s="2"/>
      <c r="E600" s="2"/>
      <c r="F600" s="2"/>
      <c r="G600" s="2"/>
      <c r="J600" s="2"/>
      <c r="L600" s="2"/>
      <c r="M600" s="2"/>
      <c r="N600" s="2"/>
    </row>
    <row r="601" spans="4:14" ht="12.75" x14ac:dyDescent="0.35">
      <c r="D601" s="2"/>
      <c r="E601" s="2"/>
      <c r="F601" s="2"/>
      <c r="G601" s="2"/>
      <c r="J601" s="2"/>
      <c r="L601" s="2"/>
      <c r="M601" s="2"/>
      <c r="N601" s="2"/>
    </row>
    <row r="602" spans="4:14" ht="12.75" x14ac:dyDescent="0.35">
      <c r="D602" s="2"/>
      <c r="E602" s="2"/>
      <c r="F602" s="2"/>
      <c r="G602" s="2"/>
      <c r="J602" s="2"/>
      <c r="L602" s="2"/>
      <c r="M602" s="2"/>
      <c r="N602" s="2"/>
    </row>
    <row r="603" spans="4:14" ht="12.75" x14ac:dyDescent="0.35">
      <c r="D603" s="2"/>
      <c r="E603" s="2"/>
      <c r="F603" s="2"/>
      <c r="G603" s="2"/>
      <c r="J603" s="2"/>
      <c r="L603" s="2"/>
      <c r="M603" s="2"/>
      <c r="N603" s="2"/>
    </row>
    <row r="604" spans="4:14" ht="12.75" x14ac:dyDescent="0.35">
      <c r="D604" s="2"/>
      <c r="E604" s="2"/>
      <c r="F604" s="2"/>
      <c r="G604" s="2"/>
      <c r="J604" s="2"/>
      <c r="L604" s="2"/>
      <c r="M604" s="2"/>
      <c r="N604" s="2"/>
    </row>
    <row r="605" spans="4:14" ht="12.75" x14ac:dyDescent="0.35">
      <c r="D605" s="2"/>
      <c r="E605" s="2"/>
      <c r="F605" s="2"/>
      <c r="G605" s="2"/>
      <c r="J605" s="2"/>
      <c r="L605" s="2"/>
      <c r="M605" s="2"/>
      <c r="N605" s="2"/>
    </row>
    <row r="606" spans="4:14" ht="12.75" x14ac:dyDescent="0.35">
      <c r="D606" s="2"/>
      <c r="E606" s="2"/>
      <c r="F606" s="2"/>
      <c r="G606" s="2"/>
      <c r="J606" s="2"/>
      <c r="L606" s="2"/>
      <c r="M606" s="2"/>
      <c r="N606" s="2"/>
    </row>
    <row r="607" spans="4:14" ht="12.75" x14ac:dyDescent="0.35">
      <c r="D607" s="2"/>
      <c r="E607" s="2"/>
      <c r="F607" s="2"/>
      <c r="G607" s="2"/>
      <c r="J607" s="2"/>
      <c r="L607" s="2"/>
      <c r="M607" s="2"/>
      <c r="N607" s="2"/>
    </row>
    <row r="608" spans="4:14" ht="12.75" x14ac:dyDescent="0.35">
      <c r="D608" s="2"/>
      <c r="E608" s="2"/>
      <c r="F608" s="2"/>
      <c r="G608" s="2"/>
      <c r="J608" s="2"/>
      <c r="L608" s="2"/>
      <c r="M608" s="2"/>
      <c r="N608" s="2"/>
    </row>
    <row r="609" spans="4:14" ht="12.75" x14ac:dyDescent="0.35">
      <c r="D609" s="2"/>
      <c r="E609" s="2"/>
      <c r="F609" s="2"/>
      <c r="G609" s="2"/>
      <c r="J609" s="2"/>
      <c r="L609" s="2"/>
      <c r="M609" s="2"/>
      <c r="N609" s="2"/>
    </row>
    <row r="610" spans="4:14" ht="12.75" x14ac:dyDescent="0.35">
      <c r="D610" s="2"/>
      <c r="E610" s="2"/>
      <c r="F610" s="2"/>
      <c r="G610" s="2"/>
      <c r="J610" s="2"/>
      <c r="L610" s="2"/>
      <c r="M610" s="2"/>
      <c r="N610" s="2"/>
    </row>
    <row r="611" spans="4:14" ht="12.75" x14ac:dyDescent="0.35">
      <c r="D611" s="2"/>
      <c r="E611" s="2"/>
      <c r="F611" s="2"/>
      <c r="G611" s="2"/>
      <c r="J611" s="2"/>
      <c r="L611" s="2"/>
      <c r="M611" s="2"/>
      <c r="N611" s="2"/>
    </row>
    <row r="612" spans="4:14" ht="12.75" x14ac:dyDescent="0.35">
      <c r="D612" s="2"/>
      <c r="E612" s="2"/>
      <c r="F612" s="2"/>
      <c r="G612" s="2"/>
      <c r="J612" s="2"/>
      <c r="L612" s="2"/>
      <c r="M612" s="2"/>
      <c r="N612" s="2"/>
    </row>
    <row r="613" spans="4:14" ht="12.75" x14ac:dyDescent="0.35">
      <c r="D613" s="2"/>
      <c r="E613" s="2"/>
      <c r="F613" s="2"/>
      <c r="G613" s="2"/>
      <c r="J613" s="2"/>
      <c r="L613" s="2"/>
      <c r="M613" s="2"/>
      <c r="N613" s="2"/>
    </row>
    <row r="614" spans="4:14" ht="12.75" x14ac:dyDescent="0.35">
      <c r="D614" s="2"/>
      <c r="E614" s="2"/>
      <c r="F614" s="2"/>
      <c r="G614" s="2"/>
      <c r="J614" s="2"/>
      <c r="L614" s="2"/>
      <c r="M614" s="2"/>
      <c r="N614" s="2"/>
    </row>
    <row r="615" spans="4:14" ht="12.75" x14ac:dyDescent="0.35">
      <c r="D615" s="2"/>
      <c r="E615" s="2"/>
      <c r="F615" s="2"/>
      <c r="G615" s="2"/>
      <c r="J615" s="2"/>
      <c r="L615" s="2"/>
      <c r="M615" s="2"/>
      <c r="N615" s="2"/>
    </row>
    <row r="616" spans="4:14" ht="12.75" x14ac:dyDescent="0.35">
      <c r="D616" s="2"/>
      <c r="E616" s="2"/>
      <c r="F616" s="2"/>
      <c r="G616" s="2"/>
      <c r="J616" s="2"/>
      <c r="L616" s="2"/>
      <c r="M616" s="2"/>
      <c r="N616" s="2"/>
    </row>
    <row r="617" spans="4:14" ht="12.75" x14ac:dyDescent="0.35">
      <c r="D617" s="2"/>
      <c r="E617" s="2"/>
      <c r="F617" s="2"/>
      <c r="G617" s="2"/>
      <c r="J617" s="2"/>
      <c r="L617" s="2"/>
      <c r="M617" s="2"/>
      <c r="N617" s="2"/>
    </row>
    <row r="618" spans="4:14" ht="12.75" x14ac:dyDescent="0.35">
      <c r="D618" s="2"/>
      <c r="E618" s="2"/>
      <c r="F618" s="2"/>
      <c r="G618" s="2"/>
      <c r="J618" s="2"/>
      <c r="L618" s="2"/>
      <c r="M618" s="2"/>
      <c r="N618" s="2"/>
    </row>
    <row r="619" spans="4:14" ht="12.75" x14ac:dyDescent="0.35">
      <c r="D619" s="2"/>
      <c r="E619" s="2"/>
      <c r="F619" s="2"/>
      <c r="G619" s="2"/>
      <c r="J619" s="2"/>
      <c r="L619" s="2"/>
      <c r="M619" s="2"/>
      <c r="N619" s="2"/>
    </row>
    <row r="620" spans="4:14" ht="12.75" x14ac:dyDescent="0.35">
      <c r="D620" s="2"/>
      <c r="E620" s="2"/>
      <c r="F620" s="2"/>
      <c r="G620" s="2"/>
      <c r="J620" s="2"/>
      <c r="L620" s="2"/>
      <c r="M620" s="2"/>
      <c r="N620" s="2"/>
    </row>
    <row r="621" spans="4:14" ht="12.75" x14ac:dyDescent="0.35">
      <c r="D621" s="2"/>
      <c r="E621" s="2"/>
      <c r="F621" s="2"/>
      <c r="G621" s="2"/>
      <c r="J621" s="2"/>
      <c r="L621" s="2"/>
      <c r="M621" s="2"/>
      <c r="N621" s="2"/>
    </row>
    <row r="622" spans="4:14" ht="12.75" x14ac:dyDescent="0.35">
      <c r="D622" s="2"/>
      <c r="E622" s="2"/>
      <c r="F622" s="2"/>
      <c r="G622" s="2"/>
      <c r="J622" s="2"/>
      <c r="L622" s="2"/>
      <c r="M622" s="2"/>
      <c r="N622" s="2"/>
    </row>
    <row r="623" spans="4:14" ht="12.75" x14ac:dyDescent="0.35">
      <c r="D623" s="2"/>
      <c r="E623" s="2"/>
      <c r="F623" s="2"/>
      <c r="G623" s="2"/>
      <c r="J623" s="2"/>
      <c r="L623" s="2"/>
      <c r="M623" s="2"/>
      <c r="N623" s="2"/>
    </row>
    <row r="624" spans="4:14" ht="12.75" x14ac:dyDescent="0.35">
      <c r="D624" s="2"/>
      <c r="E624" s="2"/>
      <c r="F624" s="2"/>
      <c r="G624" s="2"/>
      <c r="J624" s="2"/>
      <c r="L624" s="2"/>
      <c r="M624" s="2"/>
      <c r="N624" s="2"/>
    </row>
    <row r="625" spans="4:14" ht="12.75" x14ac:dyDescent="0.35">
      <c r="D625" s="2"/>
      <c r="E625" s="2"/>
      <c r="F625" s="2"/>
      <c r="G625" s="2"/>
      <c r="J625" s="2"/>
      <c r="L625" s="2"/>
      <c r="M625" s="2"/>
      <c r="N625" s="2"/>
    </row>
    <row r="626" spans="4:14" ht="12.75" x14ac:dyDescent="0.35">
      <c r="D626" s="2"/>
      <c r="E626" s="2"/>
      <c r="F626" s="2"/>
      <c r="G626" s="2"/>
      <c r="J626" s="2"/>
      <c r="L626" s="2"/>
      <c r="M626" s="2"/>
      <c r="N626" s="2"/>
    </row>
    <row r="627" spans="4:14" ht="12.75" x14ac:dyDescent="0.35">
      <c r="D627" s="2"/>
      <c r="E627" s="2"/>
      <c r="F627" s="2"/>
      <c r="G627" s="2"/>
      <c r="J627" s="2"/>
      <c r="L627" s="2"/>
      <c r="M627" s="2"/>
      <c r="N627" s="2"/>
    </row>
    <row r="628" spans="4:14" ht="12.75" x14ac:dyDescent="0.35">
      <c r="D628" s="2"/>
      <c r="E628" s="2"/>
      <c r="F628" s="2"/>
      <c r="G628" s="2"/>
      <c r="J628" s="2"/>
      <c r="L628" s="2"/>
      <c r="M628" s="2"/>
      <c r="N628" s="2"/>
    </row>
    <row r="629" spans="4:14" ht="12.75" x14ac:dyDescent="0.35">
      <c r="D629" s="2"/>
      <c r="E629" s="2"/>
      <c r="F629" s="2"/>
      <c r="G629" s="2"/>
      <c r="J629" s="2"/>
      <c r="L629" s="2"/>
      <c r="M629" s="2"/>
      <c r="N629" s="2"/>
    </row>
    <row r="630" spans="4:14" ht="12.75" x14ac:dyDescent="0.35">
      <c r="D630" s="2"/>
      <c r="E630" s="2"/>
      <c r="F630" s="2"/>
      <c r="G630" s="2"/>
      <c r="J630" s="2"/>
      <c r="L630" s="2"/>
      <c r="M630" s="2"/>
      <c r="N630" s="2"/>
    </row>
    <row r="631" spans="4:14" ht="12.75" x14ac:dyDescent="0.35">
      <c r="D631" s="2"/>
      <c r="E631" s="2"/>
      <c r="F631" s="2"/>
      <c r="G631" s="2"/>
      <c r="J631" s="2"/>
      <c r="L631" s="2"/>
      <c r="M631" s="2"/>
      <c r="N631" s="2"/>
    </row>
    <row r="632" spans="4:14" ht="12.75" x14ac:dyDescent="0.35">
      <c r="D632" s="2"/>
      <c r="E632" s="2"/>
      <c r="F632" s="2"/>
      <c r="G632" s="2"/>
      <c r="J632" s="2"/>
      <c r="L632" s="2"/>
      <c r="M632" s="2"/>
      <c r="N632" s="2"/>
    </row>
    <row r="633" spans="4:14" ht="12.75" x14ac:dyDescent="0.35">
      <c r="D633" s="2"/>
      <c r="E633" s="2"/>
      <c r="F633" s="2"/>
      <c r="G633" s="2"/>
      <c r="J633" s="2"/>
      <c r="L633" s="2"/>
      <c r="M633" s="2"/>
      <c r="N633" s="2"/>
    </row>
    <row r="634" spans="4:14" ht="12.75" x14ac:dyDescent="0.35">
      <c r="D634" s="2"/>
      <c r="E634" s="2"/>
      <c r="F634" s="2"/>
      <c r="G634" s="2"/>
      <c r="J634" s="2"/>
      <c r="L634" s="2"/>
      <c r="M634" s="2"/>
      <c r="N634" s="2"/>
    </row>
    <row r="635" spans="4:14" ht="12.75" x14ac:dyDescent="0.35">
      <c r="D635" s="2"/>
      <c r="E635" s="2"/>
      <c r="F635" s="2"/>
      <c r="G635" s="2"/>
      <c r="J635" s="2"/>
      <c r="L635" s="2"/>
      <c r="M635" s="2"/>
      <c r="N635" s="2"/>
    </row>
    <row r="636" spans="4:14" ht="12.75" x14ac:dyDescent="0.35">
      <c r="D636" s="2"/>
      <c r="E636" s="2"/>
      <c r="F636" s="2"/>
      <c r="G636" s="2"/>
      <c r="J636" s="2"/>
      <c r="L636" s="2"/>
      <c r="M636" s="2"/>
      <c r="N636" s="2"/>
    </row>
    <row r="637" spans="4:14" ht="12.75" x14ac:dyDescent="0.35">
      <c r="D637" s="2"/>
      <c r="E637" s="2"/>
      <c r="F637" s="2"/>
      <c r="G637" s="2"/>
      <c r="J637" s="2"/>
      <c r="L637" s="2"/>
      <c r="M637" s="2"/>
      <c r="N637" s="2"/>
    </row>
    <row r="638" spans="4:14" ht="12.75" x14ac:dyDescent="0.35">
      <c r="D638" s="2"/>
      <c r="E638" s="2"/>
      <c r="F638" s="2"/>
      <c r="G638" s="2"/>
      <c r="J638" s="2"/>
      <c r="L638" s="2"/>
      <c r="M638" s="2"/>
      <c r="N638" s="2"/>
    </row>
    <row r="639" spans="4:14" ht="12.75" x14ac:dyDescent="0.35">
      <c r="D639" s="2"/>
      <c r="E639" s="2"/>
      <c r="F639" s="2"/>
      <c r="G639" s="2"/>
      <c r="J639" s="2"/>
      <c r="L639" s="2"/>
      <c r="M639" s="2"/>
      <c r="N639" s="2"/>
    </row>
    <row r="640" spans="4:14" ht="12.75" x14ac:dyDescent="0.35">
      <c r="D640" s="2"/>
      <c r="E640" s="2"/>
      <c r="F640" s="2"/>
      <c r="G640" s="2"/>
      <c r="J640" s="2"/>
      <c r="L640" s="2"/>
      <c r="M640" s="2"/>
      <c r="N640" s="2"/>
    </row>
    <row r="641" spans="4:14" ht="12.75" x14ac:dyDescent="0.35">
      <c r="D641" s="2"/>
      <c r="E641" s="2"/>
      <c r="F641" s="2"/>
      <c r="G641" s="2"/>
      <c r="J641" s="2"/>
      <c r="L641" s="2"/>
      <c r="M641" s="2"/>
      <c r="N641" s="2"/>
    </row>
    <row r="642" spans="4:14" ht="12.75" x14ac:dyDescent="0.35">
      <c r="D642" s="2"/>
      <c r="E642" s="2"/>
      <c r="F642" s="2"/>
      <c r="G642" s="2"/>
      <c r="J642" s="2"/>
      <c r="L642" s="2"/>
      <c r="M642" s="2"/>
      <c r="N642" s="2"/>
    </row>
    <row r="643" spans="4:14" ht="12.75" x14ac:dyDescent="0.35">
      <c r="D643" s="2"/>
      <c r="E643" s="2"/>
      <c r="F643" s="2"/>
      <c r="G643" s="2"/>
      <c r="J643" s="2"/>
      <c r="L643" s="2"/>
      <c r="M643" s="2"/>
      <c r="N643" s="2"/>
    </row>
    <row r="644" spans="4:14" ht="12.75" x14ac:dyDescent="0.35">
      <c r="D644" s="2"/>
      <c r="E644" s="2"/>
      <c r="F644" s="2"/>
      <c r="G644" s="2"/>
      <c r="J644" s="2"/>
      <c r="L644" s="2"/>
      <c r="M644" s="2"/>
      <c r="N644" s="2"/>
    </row>
    <row r="645" spans="4:14" ht="12.75" x14ac:dyDescent="0.35">
      <c r="D645" s="2"/>
      <c r="E645" s="2"/>
      <c r="F645" s="2"/>
      <c r="G645" s="2"/>
      <c r="J645" s="2"/>
      <c r="L645" s="2"/>
      <c r="M645" s="2"/>
      <c r="N645" s="2"/>
    </row>
    <row r="646" spans="4:14" ht="12.75" x14ac:dyDescent="0.35">
      <c r="D646" s="2"/>
      <c r="E646" s="2"/>
      <c r="F646" s="2"/>
      <c r="G646" s="2"/>
      <c r="J646" s="2"/>
      <c r="L646" s="2"/>
      <c r="M646" s="2"/>
      <c r="N646" s="2"/>
    </row>
    <row r="647" spans="4:14" ht="12.75" x14ac:dyDescent="0.35">
      <c r="D647" s="2"/>
      <c r="E647" s="2"/>
      <c r="F647" s="2"/>
      <c r="G647" s="2"/>
      <c r="J647" s="2"/>
      <c r="L647" s="2"/>
      <c r="M647" s="2"/>
      <c r="N647" s="2"/>
    </row>
    <row r="648" spans="4:14" ht="12.75" x14ac:dyDescent="0.35">
      <c r="D648" s="2"/>
      <c r="E648" s="2"/>
      <c r="F648" s="2"/>
      <c r="G648" s="2"/>
      <c r="J648" s="2"/>
      <c r="L648" s="2"/>
      <c r="M648" s="2"/>
      <c r="N648" s="2"/>
    </row>
    <row r="649" spans="4:14" ht="12.75" x14ac:dyDescent="0.35">
      <c r="D649" s="2"/>
      <c r="E649" s="2"/>
      <c r="F649" s="2"/>
      <c r="G649" s="2"/>
      <c r="J649" s="2"/>
      <c r="L649" s="2"/>
      <c r="M649" s="2"/>
      <c r="N649" s="2"/>
    </row>
    <row r="650" spans="4:14" ht="12.75" x14ac:dyDescent="0.35">
      <c r="D650" s="2"/>
      <c r="E650" s="2"/>
      <c r="F650" s="2"/>
      <c r="G650" s="2"/>
      <c r="J650" s="2"/>
      <c r="L650" s="2"/>
      <c r="M650" s="2"/>
      <c r="N650" s="2"/>
    </row>
    <row r="651" spans="4:14" ht="12.75" x14ac:dyDescent="0.35">
      <c r="D651" s="2"/>
      <c r="E651" s="2"/>
      <c r="F651" s="2"/>
      <c r="G651" s="2"/>
      <c r="J651" s="2"/>
      <c r="L651" s="2"/>
      <c r="M651" s="2"/>
      <c r="N651" s="2"/>
    </row>
    <row r="652" spans="4:14" ht="12.75" x14ac:dyDescent="0.35">
      <c r="D652" s="2"/>
      <c r="E652" s="2"/>
      <c r="F652" s="2"/>
      <c r="G652" s="2"/>
      <c r="J652" s="2"/>
      <c r="L652" s="2"/>
      <c r="M652" s="2"/>
      <c r="N652" s="2"/>
    </row>
    <row r="653" spans="4:14" ht="12.75" x14ac:dyDescent="0.35">
      <c r="D653" s="2"/>
      <c r="E653" s="2"/>
      <c r="F653" s="2"/>
      <c r="G653" s="2"/>
      <c r="J653" s="2"/>
      <c r="L653" s="2"/>
      <c r="M653" s="2"/>
      <c r="N653" s="2"/>
    </row>
    <row r="654" spans="4:14" ht="12.75" x14ac:dyDescent="0.35">
      <c r="D654" s="2"/>
      <c r="E654" s="2"/>
      <c r="F654" s="2"/>
      <c r="G654" s="2"/>
      <c r="J654" s="2"/>
      <c r="L654" s="2"/>
      <c r="M654" s="2"/>
      <c r="N654" s="2"/>
    </row>
    <row r="655" spans="4:14" ht="12.75" x14ac:dyDescent="0.35">
      <c r="D655" s="2"/>
      <c r="E655" s="2"/>
      <c r="F655" s="2"/>
      <c r="G655" s="2"/>
      <c r="J655" s="2"/>
      <c r="L655" s="2"/>
      <c r="M655" s="2"/>
      <c r="N655" s="2"/>
    </row>
    <row r="656" spans="4:14" ht="12.75" x14ac:dyDescent="0.35">
      <c r="D656" s="2"/>
      <c r="E656" s="2"/>
      <c r="F656" s="2"/>
      <c r="G656" s="2"/>
      <c r="J656" s="2"/>
      <c r="L656" s="2"/>
      <c r="M656" s="2"/>
      <c r="N656" s="2"/>
    </row>
    <row r="657" spans="4:14" ht="12.75" x14ac:dyDescent="0.35">
      <c r="D657" s="2"/>
      <c r="E657" s="2"/>
      <c r="F657" s="2"/>
      <c r="G657" s="2"/>
      <c r="J657" s="2"/>
      <c r="L657" s="2"/>
      <c r="M657" s="2"/>
      <c r="N657" s="2"/>
    </row>
    <row r="658" spans="4:14" ht="12.75" x14ac:dyDescent="0.35">
      <c r="D658" s="2"/>
      <c r="E658" s="2"/>
      <c r="F658" s="2"/>
      <c r="G658" s="2"/>
      <c r="J658" s="2"/>
      <c r="L658" s="2"/>
      <c r="M658" s="2"/>
      <c r="N658" s="2"/>
    </row>
    <row r="659" spans="4:14" ht="12.75" x14ac:dyDescent="0.35">
      <c r="D659" s="2"/>
      <c r="E659" s="2"/>
      <c r="F659" s="2"/>
      <c r="G659" s="2"/>
      <c r="J659" s="2"/>
      <c r="L659" s="2"/>
      <c r="M659" s="2"/>
      <c r="N659" s="2"/>
    </row>
    <row r="660" spans="4:14" ht="12.75" x14ac:dyDescent="0.35">
      <c r="D660" s="2"/>
      <c r="E660" s="2"/>
      <c r="F660" s="2"/>
      <c r="G660" s="2"/>
      <c r="J660" s="2"/>
      <c r="L660" s="2"/>
      <c r="M660" s="2"/>
      <c r="N660" s="2"/>
    </row>
    <row r="661" spans="4:14" ht="12.75" x14ac:dyDescent="0.35">
      <c r="D661" s="2"/>
      <c r="E661" s="2"/>
      <c r="F661" s="2"/>
      <c r="G661" s="2"/>
      <c r="J661" s="2"/>
      <c r="L661" s="2"/>
      <c r="M661" s="2"/>
      <c r="N661" s="2"/>
    </row>
    <row r="662" spans="4:14" ht="12.75" x14ac:dyDescent="0.35">
      <c r="D662" s="2"/>
      <c r="E662" s="2"/>
      <c r="F662" s="2"/>
      <c r="G662" s="2"/>
      <c r="J662" s="2"/>
      <c r="L662" s="2"/>
      <c r="M662" s="2"/>
      <c r="N662" s="2"/>
    </row>
    <row r="663" spans="4:14" ht="12.75" x14ac:dyDescent="0.35">
      <c r="D663" s="2"/>
      <c r="E663" s="2"/>
      <c r="F663" s="2"/>
      <c r="G663" s="2"/>
      <c r="J663" s="2"/>
      <c r="L663" s="2"/>
      <c r="M663" s="2"/>
      <c r="N663" s="2"/>
    </row>
    <row r="664" spans="4:14" ht="12.75" x14ac:dyDescent="0.35">
      <c r="D664" s="2"/>
      <c r="E664" s="2"/>
      <c r="F664" s="2"/>
      <c r="G664" s="2"/>
      <c r="J664" s="2"/>
      <c r="L664" s="2"/>
      <c r="M664" s="2"/>
      <c r="N664" s="2"/>
    </row>
    <row r="665" spans="4:14" ht="12.75" x14ac:dyDescent="0.35">
      <c r="D665" s="2"/>
      <c r="E665" s="2"/>
      <c r="F665" s="2"/>
      <c r="G665" s="2"/>
      <c r="J665" s="2"/>
      <c r="L665" s="2"/>
      <c r="M665" s="2"/>
      <c r="N665" s="2"/>
    </row>
    <row r="666" spans="4:14" ht="12.75" x14ac:dyDescent="0.35">
      <c r="D666" s="2"/>
      <c r="E666" s="2"/>
      <c r="F666" s="2"/>
      <c r="G666" s="2"/>
      <c r="J666" s="2"/>
      <c r="L666" s="2"/>
      <c r="M666" s="2"/>
      <c r="N666" s="2"/>
    </row>
    <row r="667" spans="4:14" ht="12.75" x14ac:dyDescent="0.35">
      <c r="D667" s="2"/>
      <c r="E667" s="2"/>
      <c r="F667" s="2"/>
      <c r="G667" s="2"/>
      <c r="J667" s="2"/>
      <c r="L667" s="2"/>
      <c r="M667" s="2"/>
      <c r="N667" s="2"/>
    </row>
    <row r="668" spans="4:14" ht="12.75" x14ac:dyDescent="0.35">
      <c r="D668" s="2"/>
      <c r="E668" s="2"/>
      <c r="F668" s="2"/>
      <c r="G668" s="2"/>
      <c r="J668" s="2"/>
      <c r="L668" s="2"/>
      <c r="M668" s="2"/>
      <c r="N668" s="2"/>
    </row>
    <row r="669" spans="4:14" ht="12.75" x14ac:dyDescent="0.35">
      <c r="D669" s="2"/>
      <c r="E669" s="2"/>
      <c r="F669" s="2"/>
      <c r="G669" s="2"/>
      <c r="J669" s="2"/>
      <c r="L669" s="2"/>
      <c r="M669" s="2"/>
      <c r="N669" s="2"/>
    </row>
    <row r="670" spans="4:14" ht="12.75" x14ac:dyDescent="0.35">
      <c r="D670" s="2"/>
      <c r="E670" s="2"/>
      <c r="F670" s="2"/>
      <c r="G670" s="2"/>
      <c r="J670" s="2"/>
      <c r="L670" s="2"/>
      <c r="M670" s="2"/>
      <c r="N670" s="2"/>
    </row>
    <row r="671" spans="4:14" ht="12.75" x14ac:dyDescent="0.35">
      <c r="D671" s="2"/>
      <c r="E671" s="2"/>
      <c r="F671" s="2"/>
      <c r="G671" s="2"/>
      <c r="J671" s="2"/>
      <c r="L671" s="2"/>
      <c r="M671" s="2"/>
      <c r="N671" s="2"/>
    </row>
    <row r="672" spans="4:14" ht="12.75" x14ac:dyDescent="0.35">
      <c r="D672" s="2"/>
      <c r="E672" s="2"/>
      <c r="F672" s="2"/>
      <c r="G672" s="2"/>
      <c r="J672" s="2"/>
      <c r="L672" s="2"/>
      <c r="M672" s="2"/>
      <c r="N672" s="2"/>
    </row>
    <row r="673" spans="4:14" ht="12.75" x14ac:dyDescent="0.35">
      <c r="D673" s="2"/>
      <c r="E673" s="2"/>
      <c r="F673" s="2"/>
      <c r="G673" s="2"/>
      <c r="J673" s="2"/>
      <c r="L673" s="2"/>
      <c r="M673" s="2"/>
      <c r="N673" s="2"/>
    </row>
    <row r="674" spans="4:14" ht="12.75" x14ac:dyDescent="0.35">
      <c r="D674" s="2"/>
      <c r="E674" s="2"/>
      <c r="F674" s="2"/>
      <c r="G674" s="2"/>
      <c r="J674" s="2"/>
      <c r="L674" s="2"/>
      <c r="M674" s="2"/>
      <c r="N674" s="2"/>
    </row>
    <row r="675" spans="4:14" ht="12.75" x14ac:dyDescent="0.35">
      <c r="D675" s="2"/>
      <c r="E675" s="2"/>
      <c r="F675" s="2"/>
      <c r="G675" s="2"/>
      <c r="J675" s="2"/>
      <c r="L675" s="2"/>
      <c r="M675" s="2"/>
      <c r="N675" s="2"/>
    </row>
    <row r="676" spans="4:14" ht="12.75" x14ac:dyDescent="0.35">
      <c r="D676" s="2"/>
      <c r="E676" s="2"/>
      <c r="F676" s="2"/>
      <c r="G676" s="2"/>
      <c r="J676" s="2"/>
      <c r="L676" s="2"/>
      <c r="M676" s="2"/>
      <c r="N676" s="2"/>
    </row>
    <row r="677" spans="4:14" ht="12.75" x14ac:dyDescent="0.35">
      <c r="D677" s="2"/>
      <c r="E677" s="2"/>
      <c r="F677" s="2"/>
      <c r="G677" s="2"/>
      <c r="J677" s="2"/>
      <c r="L677" s="2"/>
      <c r="M677" s="2"/>
      <c r="N677" s="2"/>
    </row>
    <row r="678" spans="4:14" ht="12.75" x14ac:dyDescent="0.35">
      <c r="D678" s="2"/>
      <c r="E678" s="2"/>
      <c r="F678" s="2"/>
      <c r="G678" s="2"/>
      <c r="J678" s="2"/>
      <c r="L678" s="2"/>
      <c r="M678" s="2"/>
      <c r="N678" s="2"/>
    </row>
    <row r="679" spans="4:14" ht="12.75" x14ac:dyDescent="0.35">
      <c r="D679" s="2"/>
      <c r="E679" s="2"/>
      <c r="F679" s="2"/>
      <c r="G679" s="2"/>
      <c r="J679" s="2"/>
      <c r="L679" s="2"/>
      <c r="M679" s="2"/>
      <c r="N679" s="2"/>
    </row>
    <row r="680" spans="4:14" ht="12.75" x14ac:dyDescent="0.35">
      <c r="D680" s="2"/>
      <c r="E680" s="2"/>
      <c r="F680" s="2"/>
      <c r="G680" s="2"/>
      <c r="J680" s="2"/>
      <c r="L680" s="2"/>
      <c r="M680" s="2"/>
      <c r="N680" s="2"/>
    </row>
    <row r="681" spans="4:14" ht="12.75" x14ac:dyDescent="0.35">
      <c r="D681" s="2"/>
      <c r="E681" s="2"/>
      <c r="F681" s="2"/>
      <c r="G681" s="2"/>
      <c r="J681" s="2"/>
      <c r="L681" s="2"/>
      <c r="M681" s="2"/>
      <c r="N681" s="2"/>
    </row>
    <row r="682" spans="4:14" ht="12.75" x14ac:dyDescent="0.35">
      <c r="D682" s="2"/>
      <c r="E682" s="2"/>
      <c r="F682" s="2"/>
      <c r="G682" s="2"/>
      <c r="J682" s="2"/>
      <c r="L682" s="2"/>
      <c r="M682" s="2"/>
      <c r="N682" s="2"/>
    </row>
    <row r="683" spans="4:14" ht="12.75" x14ac:dyDescent="0.35">
      <c r="D683" s="2"/>
      <c r="E683" s="2"/>
      <c r="F683" s="2"/>
      <c r="G683" s="2"/>
      <c r="J683" s="2"/>
      <c r="L683" s="2"/>
      <c r="M683" s="2"/>
      <c r="N683" s="2"/>
    </row>
    <row r="684" spans="4:14" ht="12.75" x14ac:dyDescent="0.35">
      <c r="D684" s="2"/>
      <c r="E684" s="2"/>
      <c r="F684" s="2"/>
      <c r="G684" s="2"/>
      <c r="J684" s="2"/>
      <c r="L684" s="2"/>
      <c r="M684" s="2"/>
      <c r="N684" s="2"/>
    </row>
    <row r="685" spans="4:14" ht="12.75" x14ac:dyDescent="0.35">
      <c r="D685" s="2"/>
      <c r="E685" s="2"/>
      <c r="F685" s="2"/>
      <c r="G685" s="2"/>
      <c r="J685" s="2"/>
      <c r="L685" s="2"/>
      <c r="M685" s="2"/>
      <c r="N685" s="2"/>
    </row>
    <row r="686" spans="4:14" ht="12.75" x14ac:dyDescent="0.35">
      <c r="D686" s="2"/>
      <c r="E686" s="2"/>
      <c r="F686" s="2"/>
      <c r="G686" s="2"/>
      <c r="J686" s="2"/>
      <c r="L686" s="2"/>
      <c r="M686" s="2"/>
      <c r="N686" s="2"/>
    </row>
    <row r="687" spans="4:14" ht="12.75" x14ac:dyDescent="0.35">
      <c r="D687" s="2"/>
      <c r="E687" s="2"/>
      <c r="F687" s="2"/>
      <c r="G687" s="2"/>
      <c r="J687" s="2"/>
      <c r="L687" s="2"/>
      <c r="M687" s="2"/>
      <c r="N687" s="2"/>
    </row>
    <row r="688" spans="4:14" ht="12.75" x14ac:dyDescent="0.35">
      <c r="D688" s="2"/>
      <c r="E688" s="2"/>
      <c r="F688" s="2"/>
      <c r="G688" s="2"/>
      <c r="J688" s="2"/>
      <c r="L688" s="2"/>
      <c r="M688" s="2"/>
      <c r="N688" s="2"/>
    </row>
    <row r="689" spans="4:14" ht="12.75" x14ac:dyDescent="0.35">
      <c r="D689" s="2"/>
      <c r="E689" s="2"/>
      <c r="F689" s="2"/>
      <c r="G689" s="2"/>
      <c r="J689" s="2"/>
      <c r="L689" s="2"/>
      <c r="M689" s="2"/>
      <c r="N689" s="2"/>
    </row>
    <row r="690" spans="4:14" ht="12.75" x14ac:dyDescent="0.35">
      <c r="D690" s="2"/>
      <c r="E690" s="2"/>
      <c r="F690" s="2"/>
      <c r="G690" s="2"/>
      <c r="J690" s="2"/>
      <c r="L690" s="2"/>
      <c r="M690" s="2"/>
      <c r="N690" s="2"/>
    </row>
    <row r="691" spans="4:14" ht="12.75" x14ac:dyDescent="0.35">
      <c r="D691" s="2"/>
      <c r="E691" s="2"/>
      <c r="F691" s="2"/>
      <c r="G691" s="2"/>
      <c r="J691" s="2"/>
      <c r="L691" s="2"/>
      <c r="M691" s="2"/>
      <c r="N691" s="2"/>
    </row>
    <row r="692" spans="4:14" ht="12.75" x14ac:dyDescent="0.35">
      <c r="D692" s="2"/>
      <c r="E692" s="2"/>
      <c r="F692" s="2"/>
      <c r="G692" s="2"/>
      <c r="J692" s="2"/>
      <c r="L692" s="2"/>
      <c r="M692" s="2"/>
      <c r="N692" s="2"/>
    </row>
    <row r="693" spans="4:14" ht="12.75" x14ac:dyDescent="0.35">
      <c r="D693" s="2"/>
      <c r="E693" s="2"/>
      <c r="F693" s="2"/>
      <c r="G693" s="2"/>
      <c r="J693" s="2"/>
      <c r="L693" s="2"/>
      <c r="M693" s="2"/>
      <c r="N693" s="2"/>
    </row>
    <row r="694" spans="4:14" ht="12.75" x14ac:dyDescent="0.35">
      <c r="D694" s="2"/>
      <c r="E694" s="2"/>
      <c r="F694" s="2"/>
      <c r="G694" s="2"/>
      <c r="J694" s="2"/>
      <c r="L694" s="2"/>
      <c r="M694" s="2"/>
      <c r="N694" s="2"/>
    </row>
    <row r="695" spans="4:14" ht="12.75" x14ac:dyDescent="0.35">
      <c r="D695" s="2"/>
      <c r="E695" s="2"/>
      <c r="F695" s="2"/>
      <c r="G695" s="2"/>
      <c r="J695" s="2"/>
      <c r="L695" s="2"/>
      <c r="M695" s="2"/>
      <c r="N695" s="2"/>
    </row>
    <row r="696" spans="4:14" ht="12.75" x14ac:dyDescent="0.35">
      <c r="D696" s="2"/>
      <c r="E696" s="2"/>
      <c r="F696" s="2"/>
      <c r="G696" s="2"/>
      <c r="J696" s="2"/>
      <c r="L696" s="2"/>
      <c r="M696" s="2"/>
      <c r="N696" s="2"/>
    </row>
    <row r="697" spans="4:14" ht="12.75" x14ac:dyDescent="0.35">
      <c r="D697" s="2"/>
      <c r="E697" s="2"/>
      <c r="F697" s="2"/>
      <c r="G697" s="2"/>
      <c r="J697" s="2"/>
      <c r="L697" s="2"/>
      <c r="M697" s="2"/>
      <c r="N697" s="2"/>
    </row>
    <row r="698" spans="4:14" ht="12.75" x14ac:dyDescent="0.35">
      <c r="D698" s="2"/>
      <c r="E698" s="2"/>
      <c r="F698" s="2"/>
      <c r="G698" s="2"/>
      <c r="J698" s="2"/>
      <c r="L698" s="2"/>
      <c r="M698" s="2"/>
      <c r="N698" s="2"/>
    </row>
    <row r="699" spans="4:14" ht="12.75" x14ac:dyDescent="0.35">
      <c r="D699" s="2"/>
      <c r="E699" s="2"/>
      <c r="F699" s="2"/>
      <c r="G699" s="2"/>
      <c r="J699" s="2"/>
      <c r="L699" s="2"/>
      <c r="M699" s="2"/>
      <c r="N699" s="2"/>
    </row>
    <row r="700" spans="4:14" ht="12.75" x14ac:dyDescent="0.35">
      <c r="D700" s="2"/>
      <c r="E700" s="2"/>
      <c r="F700" s="2"/>
      <c r="G700" s="2"/>
      <c r="J700" s="2"/>
      <c r="L700" s="2"/>
      <c r="M700" s="2"/>
      <c r="N700" s="2"/>
    </row>
    <row r="701" spans="4:14" ht="12.75" x14ac:dyDescent="0.35">
      <c r="D701" s="2"/>
      <c r="E701" s="2"/>
      <c r="F701" s="2"/>
      <c r="G701" s="2"/>
      <c r="J701" s="2"/>
      <c r="L701" s="2"/>
      <c r="M701" s="2"/>
      <c r="N701" s="2"/>
    </row>
    <row r="702" spans="4:14" ht="12.75" x14ac:dyDescent="0.35">
      <c r="D702" s="2"/>
      <c r="E702" s="2"/>
      <c r="F702" s="2"/>
      <c r="G702" s="2"/>
      <c r="J702" s="2"/>
      <c r="L702" s="2"/>
      <c r="M702" s="2"/>
      <c r="N702" s="2"/>
    </row>
    <row r="703" spans="4:14" ht="12.75" x14ac:dyDescent="0.35">
      <c r="D703" s="2"/>
      <c r="E703" s="2"/>
      <c r="F703" s="2"/>
      <c r="G703" s="2"/>
      <c r="J703" s="2"/>
      <c r="L703" s="2"/>
      <c r="M703" s="2"/>
      <c r="N703" s="2"/>
    </row>
    <row r="704" spans="4:14" ht="12.75" x14ac:dyDescent="0.35">
      <c r="D704" s="2"/>
      <c r="E704" s="2"/>
      <c r="F704" s="2"/>
      <c r="G704" s="2"/>
      <c r="J704" s="2"/>
      <c r="L704" s="2"/>
      <c r="M704" s="2"/>
      <c r="N704" s="2"/>
    </row>
    <row r="705" spans="4:14" ht="12.75" x14ac:dyDescent="0.35">
      <c r="D705" s="2"/>
      <c r="E705" s="2"/>
      <c r="F705" s="2"/>
      <c r="G705" s="2"/>
      <c r="J705" s="2"/>
      <c r="L705" s="2"/>
      <c r="M705" s="2"/>
      <c r="N705" s="2"/>
    </row>
    <row r="706" spans="4:14" ht="12.75" x14ac:dyDescent="0.35">
      <c r="D706" s="2"/>
      <c r="E706" s="2"/>
      <c r="F706" s="2"/>
      <c r="G706" s="2"/>
      <c r="J706" s="2"/>
      <c r="L706" s="2"/>
      <c r="M706" s="2"/>
      <c r="N706" s="2"/>
    </row>
    <row r="707" spans="4:14" ht="12.75" x14ac:dyDescent="0.35">
      <c r="D707" s="2"/>
      <c r="E707" s="2"/>
      <c r="F707" s="2"/>
      <c r="G707" s="2"/>
      <c r="J707" s="2"/>
      <c r="L707" s="2"/>
      <c r="M707" s="2"/>
      <c r="N707" s="2"/>
    </row>
    <row r="708" spans="4:14" ht="12.75" x14ac:dyDescent="0.35">
      <c r="D708" s="2"/>
      <c r="E708" s="2"/>
      <c r="F708" s="2"/>
      <c r="G708" s="2"/>
      <c r="J708" s="2"/>
      <c r="L708" s="2"/>
      <c r="M708" s="2"/>
      <c r="N708" s="2"/>
    </row>
    <row r="709" spans="4:14" ht="12.75" x14ac:dyDescent="0.35">
      <c r="D709" s="2"/>
      <c r="E709" s="2"/>
      <c r="F709" s="2"/>
      <c r="G709" s="2"/>
      <c r="J709" s="2"/>
      <c r="L709" s="2"/>
      <c r="M709" s="2"/>
      <c r="N709" s="2"/>
    </row>
    <row r="710" spans="4:14" ht="12.75" x14ac:dyDescent="0.35">
      <c r="D710" s="2"/>
      <c r="E710" s="2"/>
      <c r="F710" s="2"/>
      <c r="G710" s="2"/>
      <c r="J710" s="2"/>
      <c r="L710" s="2"/>
      <c r="M710" s="2"/>
      <c r="N710" s="2"/>
    </row>
    <row r="711" spans="4:14" ht="12.75" x14ac:dyDescent="0.35">
      <c r="D711" s="2"/>
      <c r="E711" s="2"/>
      <c r="F711" s="2"/>
      <c r="G711" s="2"/>
      <c r="J711" s="2"/>
      <c r="L711" s="2"/>
      <c r="M711" s="2"/>
      <c r="N711" s="2"/>
    </row>
    <row r="712" spans="4:14" ht="12.75" x14ac:dyDescent="0.35">
      <c r="D712" s="2"/>
      <c r="E712" s="2"/>
      <c r="F712" s="2"/>
      <c r="G712" s="2"/>
      <c r="J712" s="2"/>
      <c r="L712" s="2"/>
      <c r="M712" s="2"/>
      <c r="N712" s="2"/>
    </row>
    <row r="713" spans="4:14" ht="12.75" x14ac:dyDescent="0.35">
      <c r="D713" s="2"/>
      <c r="E713" s="2"/>
      <c r="F713" s="2"/>
      <c r="G713" s="2"/>
      <c r="J713" s="2"/>
      <c r="L713" s="2"/>
      <c r="M713" s="2"/>
      <c r="N713" s="2"/>
    </row>
    <row r="714" spans="4:14" ht="12.75" x14ac:dyDescent="0.35">
      <c r="D714" s="2"/>
      <c r="E714" s="2"/>
      <c r="F714" s="2"/>
      <c r="G714" s="2"/>
      <c r="J714" s="2"/>
      <c r="L714" s="2"/>
      <c r="M714" s="2"/>
      <c r="N714" s="2"/>
    </row>
    <row r="715" spans="4:14" ht="12.75" x14ac:dyDescent="0.35">
      <c r="D715" s="2"/>
      <c r="E715" s="2"/>
      <c r="F715" s="2"/>
      <c r="G715" s="2"/>
      <c r="J715" s="2"/>
      <c r="L715" s="2"/>
      <c r="M715" s="2"/>
      <c r="N715" s="2"/>
    </row>
    <row r="716" spans="4:14" ht="12.75" x14ac:dyDescent="0.35">
      <c r="D716" s="2"/>
      <c r="E716" s="2"/>
      <c r="F716" s="2"/>
      <c r="G716" s="2"/>
      <c r="J716" s="2"/>
      <c r="L716" s="2"/>
      <c r="M716" s="2"/>
      <c r="N716" s="2"/>
    </row>
    <row r="717" spans="4:14" ht="12.75" x14ac:dyDescent="0.35">
      <c r="D717" s="2"/>
      <c r="E717" s="2"/>
      <c r="F717" s="2"/>
      <c r="G717" s="2"/>
      <c r="J717" s="2"/>
      <c r="L717" s="2"/>
      <c r="M717" s="2"/>
      <c r="N717" s="2"/>
    </row>
    <row r="718" spans="4:14" ht="12.75" x14ac:dyDescent="0.35">
      <c r="D718" s="2"/>
      <c r="E718" s="2"/>
      <c r="F718" s="2"/>
      <c r="G718" s="2"/>
      <c r="J718" s="2"/>
      <c r="L718" s="2"/>
      <c r="M718" s="2"/>
      <c r="N718" s="2"/>
    </row>
    <row r="719" spans="4:14" ht="12.75" x14ac:dyDescent="0.35">
      <c r="D719" s="2"/>
      <c r="E719" s="2"/>
      <c r="F719" s="2"/>
      <c r="G719" s="2"/>
      <c r="J719" s="2"/>
      <c r="L719" s="2"/>
      <c r="M719" s="2"/>
      <c r="N719" s="2"/>
    </row>
    <row r="720" spans="4:14" ht="12.75" x14ac:dyDescent="0.35">
      <c r="D720" s="2"/>
      <c r="E720" s="2"/>
      <c r="F720" s="2"/>
      <c r="G720" s="2"/>
      <c r="J720" s="2"/>
      <c r="L720" s="2"/>
      <c r="M720" s="2"/>
      <c r="N720" s="2"/>
    </row>
    <row r="721" spans="4:14" ht="12.75" x14ac:dyDescent="0.35">
      <c r="D721" s="2"/>
      <c r="E721" s="2"/>
      <c r="F721" s="2"/>
      <c r="G721" s="2"/>
      <c r="J721" s="2"/>
      <c r="L721" s="2"/>
      <c r="M721" s="2"/>
      <c r="N721" s="2"/>
    </row>
    <row r="722" spans="4:14" ht="12.75" x14ac:dyDescent="0.35">
      <c r="D722" s="2"/>
      <c r="E722" s="2"/>
      <c r="F722" s="2"/>
      <c r="G722" s="2"/>
      <c r="J722" s="2"/>
      <c r="L722" s="2"/>
      <c r="M722" s="2"/>
      <c r="N722" s="2"/>
    </row>
    <row r="723" spans="4:14" ht="12.75" x14ac:dyDescent="0.35">
      <c r="D723" s="2"/>
      <c r="E723" s="2"/>
      <c r="F723" s="2"/>
      <c r="G723" s="2"/>
      <c r="J723" s="2"/>
      <c r="L723" s="2"/>
      <c r="M723" s="2"/>
      <c r="N723" s="2"/>
    </row>
    <row r="724" spans="4:14" ht="12.75" x14ac:dyDescent="0.35">
      <c r="D724" s="2"/>
      <c r="E724" s="2"/>
      <c r="F724" s="2"/>
      <c r="G724" s="2"/>
      <c r="J724" s="2"/>
      <c r="L724" s="2"/>
      <c r="M724" s="2"/>
      <c r="N724" s="2"/>
    </row>
    <row r="725" spans="4:14" ht="12.75" x14ac:dyDescent="0.35">
      <c r="D725" s="2"/>
      <c r="E725" s="2"/>
      <c r="F725" s="2"/>
      <c r="G725" s="2"/>
      <c r="J725" s="2"/>
      <c r="L725" s="2"/>
      <c r="M725" s="2"/>
      <c r="N725" s="2"/>
    </row>
    <row r="726" spans="4:14" ht="12.75" x14ac:dyDescent="0.35">
      <c r="D726" s="2"/>
      <c r="E726" s="2"/>
      <c r="F726" s="2"/>
      <c r="G726" s="2"/>
      <c r="J726" s="2"/>
      <c r="L726" s="2"/>
      <c r="M726" s="2"/>
      <c r="N726" s="2"/>
    </row>
    <row r="727" spans="4:14" ht="12.75" x14ac:dyDescent="0.35">
      <c r="D727" s="2"/>
      <c r="E727" s="2"/>
      <c r="F727" s="2"/>
      <c r="G727" s="2"/>
      <c r="J727" s="2"/>
      <c r="L727" s="2"/>
      <c r="M727" s="2"/>
      <c r="N727" s="2"/>
    </row>
    <row r="728" spans="4:14" ht="12.75" x14ac:dyDescent="0.35">
      <c r="D728" s="2"/>
      <c r="E728" s="2"/>
      <c r="F728" s="2"/>
      <c r="G728" s="2"/>
      <c r="J728" s="2"/>
      <c r="L728" s="2"/>
      <c r="M728" s="2"/>
      <c r="N728" s="2"/>
    </row>
    <row r="729" spans="4:14" ht="12.75" x14ac:dyDescent="0.35">
      <c r="D729" s="2"/>
      <c r="E729" s="2"/>
      <c r="F729" s="2"/>
      <c r="G729" s="2"/>
      <c r="J729" s="2"/>
      <c r="L729" s="2"/>
      <c r="M729" s="2"/>
      <c r="N729" s="2"/>
    </row>
    <row r="730" spans="4:14" ht="12.75" x14ac:dyDescent="0.35">
      <c r="D730" s="2"/>
      <c r="E730" s="2"/>
      <c r="F730" s="2"/>
      <c r="G730" s="2"/>
      <c r="J730" s="2"/>
      <c r="L730" s="2"/>
      <c r="M730" s="2"/>
      <c r="N730" s="2"/>
    </row>
    <row r="731" spans="4:14" ht="12.75" x14ac:dyDescent="0.35">
      <c r="D731" s="2"/>
      <c r="E731" s="2"/>
      <c r="F731" s="2"/>
      <c r="G731" s="2"/>
      <c r="J731" s="2"/>
      <c r="L731" s="2"/>
      <c r="M731" s="2"/>
      <c r="N731" s="2"/>
    </row>
    <row r="732" spans="4:14" ht="12.75" x14ac:dyDescent="0.35">
      <c r="D732" s="2"/>
      <c r="E732" s="2"/>
      <c r="F732" s="2"/>
      <c r="G732" s="2"/>
      <c r="J732" s="2"/>
      <c r="L732" s="2"/>
      <c r="M732" s="2"/>
      <c r="N732" s="2"/>
    </row>
    <row r="733" spans="4:14" ht="12.75" x14ac:dyDescent="0.35">
      <c r="D733" s="2"/>
      <c r="E733" s="2"/>
      <c r="F733" s="2"/>
      <c r="G733" s="2"/>
      <c r="J733" s="2"/>
      <c r="L733" s="2"/>
      <c r="M733" s="2"/>
      <c r="N733" s="2"/>
    </row>
    <row r="734" spans="4:14" ht="12.75" x14ac:dyDescent="0.35">
      <c r="D734" s="2"/>
      <c r="E734" s="2"/>
      <c r="F734" s="2"/>
      <c r="G734" s="2"/>
      <c r="J734" s="2"/>
      <c r="L734" s="2"/>
      <c r="M734" s="2"/>
      <c r="N734" s="2"/>
    </row>
    <row r="735" spans="4:14" ht="12.75" x14ac:dyDescent="0.35">
      <c r="D735" s="2"/>
      <c r="E735" s="2"/>
      <c r="F735" s="2"/>
      <c r="G735" s="2"/>
      <c r="J735" s="2"/>
      <c r="L735" s="2"/>
      <c r="M735" s="2"/>
      <c r="N735" s="2"/>
    </row>
    <row r="736" spans="4:14" ht="12.75" x14ac:dyDescent="0.35">
      <c r="D736" s="2"/>
      <c r="E736" s="2"/>
      <c r="F736" s="2"/>
      <c r="G736" s="2"/>
      <c r="J736" s="2"/>
      <c r="L736" s="2"/>
      <c r="M736" s="2"/>
      <c r="N736" s="2"/>
    </row>
    <row r="737" spans="4:14" ht="12.75" x14ac:dyDescent="0.35">
      <c r="D737" s="2"/>
      <c r="E737" s="2"/>
      <c r="F737" s="2"/>
      <c r="G737" s="2"/>
      <c r="J737" s="2"/>
      <c r="L737" s="2"/>
      <c r="M737" s="2"/>
      <c r="N737" s="2"/>
    </row>
    <row r="738" spans="4:14" ht="12.75" x14ac:dyDescent="0.35">
      <c r="D738" s="2"/>
      <c r="E738" s="2"/>
      <c r="F738" s="2"/>
      <c r="G738" s="2"/>
      <c r="J738" s="2"/>
      <c r="L738" s="2"/>
      <c r="M738" s="2"/>
      <c r="N738" s="2"/>
    </row>
    <row r="739" spans="4:14" ht="12.75" x14ac:dyDescent="0.35">
      <c r="D739" s="2"/>
      <c r="E739" s="2"/>
      <c r="F739" s="2"/>
      <c r="G739" s="2"/>
      <c r="J739" s="2"/>
      <c r="L739" s="2"/>
      <c r="M739" s="2"/>
      <c r="N739" s="2"/>
    </row>
    <row r="740" spans="4:14" ht="12.75" x14ac:dyDescent="0.35">
      <c r="D740" s="2"/>
      <c r="E740" s="2"/>
      <c r="F740" s="2"/>
      <c r="G740" s="2"/>
      <c r="J740" s="2"/>
      <c r="L740" s="2"/>
      <c r="M740" s="2"/>
      <c r="N740" s="2"/>
    </row>
    <row r="741" spans="4:14" ht="12.75" x14ac:dyDescent="0.35">
      <c r="D741" s="2"/>
      <c r="E741" s="2"/>
      <c r="F741" s="2"/>
      <c r="G741" s="2"/>
      <c r="J741" s="2"/>
      <c r="L741" s="2"/>
      <c r="M741" s="2"/>
      <c r="N741" s="2"/>
    </row>
    <row r="742" spans="4:14" ht="12.75" x14ac:dyDescent="0.35">
      <c r="D742" s="2"/>
      <c r="E742" s="2"/>
      <c r="F742" s="2"/>
      <c r="G742" s="2"/>
      <c r="J742" s="2"/>
      <c r="L742" s="2"/>
      <c r="M742" s="2"/>
      <c r="N742" s="2"/>
    </row>
    <row r="743" spans="4:14" ht="12.75" x14ac:dyDescent="0.35">
      <c r="D743" s="2"/>
      <c r="E743" s="2"/>
      <c r="F743" s="2"/>
      <c r="G743" s="2"/>
      <c r="J743" s="2"/>
      <c r="L743" s="2"/>
      <c r="M743" s="2"/>
      <c r="N743" s="2"/>
    </row>
    <row r="744" spans="4:14" ht="12.75" x14ac:dyDescent="0.35">
      <c r="D744" s="2"/>
      <c r="E744" s="2"/>
      <c r="F744" s="2"/>
      <c r="G744" s="2"/>
      <c r="J744" s="2"/>
      <c r="L744" s="2"/>
      <c r="M744" s="2"/>
      <c r="N744" s="2"/>
    </row>
    <row r="745" spans="4:14" ht="12.75" x14ac:dyDescent="0.35">
      <c r="D745" s="2"/>
      <c r="E745" s="2"/>
      <c r="F745" s="2"/>
      <c r="G745" s="2"/>
      <c r="J745" s="2"/>
      <c r="L745" s="2"/>
      <c r="M745" s="2"/>
      <c r="N745" s="2"/>
    </row>
    <row r="746" spans="4:14" ht="12.75" x14ac:dyDescent="0.35">
      <c r="D746" s="2"/>
      <c r="E746" s="2"/>
      <c r="F746" s="2"/>
      <c r="G746" s="2"/>
      <c r="J746" s="2"/>
      <c r="L746" s="2"/>
      <c r="M746" s="2"/>
      <c r="N746" s="2"/>
    </row>
    <row r="747" spans="4:14" ht="12.75" x14ac:dyDescent="0.35">
      <c r="D747" s="2"/>
      <c r="E747" s="2"/>
      <c r="F747" s="2"/>
      <c r="G747" s="2"/>
      <c r="J747" s="2"/>
      <c r="L747" s="2"/>
      <c r="M747" s="2"/>
      <c r="N747" s="2"/>
    </row>
    <row r="748" spans="4:14" ht="12.75" x14ac:dyDescent="0.35">
      <c r="D748" s="2"/>
      <c r="E748" s="2"/>
      <c r="F748" s="2"/>
      <c r="G748" s="2"/>
      <c r="J748" s="2"/>
      <c r="L748" s="2"/>
      <c r="M748" s="2"/>
      <c r="N748" s="2"/>
    </row>
    <row r="749" spans="4:14" ht="12.75" x14ac:dyDescent="0.35">
      <c r="D749" s="2"/>
      <c r="E749" s="2"/>
      <c r="F749" s="2"/>
      <c r="G749" s="2"/>
      <c r="J749" s="2"/>
      <c r="L749" s="2"/>
      <c r="M749" s="2"/>
      <c r="N749" s="2"/>
    </row>
    <row r="750" spans="4:14" ht="12.75" x14ac:dyDescent="0.35">
      <c r="D750" s="2"/>
      <c r="E750" s="2"/>
      <c r="F750" s="2"/>
      <c r="G750" s="2"/>
      <c r="J750" s="2"/>
      <c r="L750" s="2"/>
      <c r="M750" s="2"/>
      <c r="N750" s="2"/>
    </row>
    <row r="751" spans="4:14" ht="12.75" x14ac:dyDescent="0.35">
      <c r="D751" s="2"/>
      <c r="E751" s="2"/>
      <c r="F751" s="2"/>
      <c r="G751" s="2"/>
      <c r="J751" s="2"/>
      <c r="L751" s="2"/>
      <c r="M751" s="2"/>
      <c r="N751" s="2"/>
    </row>
    <row r="752" spans="4:14" ht="12.75" x14ac:dyDescent="0.35">
      <c r="D752" s="2"/>
      <c r="E752" s="2"/>
      <c r="F752" s="2"/>
      <c r="G752" s="2"/>
      <c r="J752" s="2"/>
      <c r="L752" s="2"/>
      <c r="M752" s="2"/>
      <c r="N752" s="2"/>
    </row>
    <row r="753" spans="4:14" ht="12.75" x14ac:dyDescent="0.35">
      <c r="D753" s="2"/>
      <c r="E753" s="2"/>
      <c r="F753" s="2"/>
      <c r="G753" s="2"/>
      <c r="J753" s="2"/>
      <c r="L753" s="2"/>
      <c r="M753" s="2"/>
      <c r="N753" s="2"/>
    </row>
    <row r="754" spans="4:14" ht="12.75" x14ac:dyDescent="0.35">
      <c r="D754" s="2"/>
      <c r="E754" s="2"/>
      <c r="F754" s="2"/>
      <c r="G754" s="2"/>
      <c r="J754" s="2"/>
      <c r="L754" s="2"/>
      <c r="M754" s="2"/>
      <c r="N754" s="2"/>
    </row>
    <row r="755" spans="4:14" ht="12.75" x14ac:dyDescent="0.35">
      <c r="D755" s="2"/>
      <c r="E755" s="2"/>
      <c r="F755" s="2"/>
      <c r="G755" s="2"/>
      <c r="J755" s="2"/>
      <c r="L755" s="2"/>
      <c r="M755" s="2"/>
      <c r="N755" s="2"/>
    </row>
    <row r="756" spans="4:14" ht="12.75" x14ac:dyDescent="0.35">
      <c r="D756" s="2"/>
      <c r="E756" s="2"/>
      <c r="F756" s="2"/>
      <c r="G756" s="2"/>
      <c r="J756" s="2"/>
      <c r="L756" s="2"/>
      <c r="M756" s="2"/>
      <c r="N756" s="2"/>
    </row>
    <row r="757" spans="4:14" ht="12.75" x14ac:dyDescent="0.35">
      <c r="D757" s="2"/>
      <c r="E757" s="2"/>
      <c r="F757" s="2"/>
      <c r="G757" s="2"/>
      <c r="J757" s="2"/>
      <c r="L757" s="2"/>
      <c r="M757" s="2"/>
      <c r="N757" s="2"/>
    </row>
    <row r="758" spans="4:14" ht="12.75" x14ac:dyDescent="0.35">
      <c r="D758" s="2"/>
      <c r="E758" s="2"/>
      <c r="F758" s="2"/>
      <c r="G758" s="2"/>
      <c r="J758" s="2"/>
      <c r="L758" s="2"/>
      <c r="M758" s="2"/>
      <c r="N758" s="2"/>
    </row>
    <row r="759" spans="4:14" ht="12.75" x14ac:dyDescent="0.35">
      <c r="D759" s="2"/>
      <c r="E759" s="2"/>
      <c r="F759" s="2"/>
      <c r="G759" s="2"/>
      <c r="J759" s="2"/>
      <c r="L759" s="2"/>
      <c r="M759" s="2"/>
      <c r="N759" s="2"/>
    </row>
    <row r="760" spans="4:14" ht="12.75" x14ac:dyDescent="0.35">
      <c r="D760" s="2"/>
      <c r="E760" s="2"/>
      <c r="F760" s="2"/>
      <c r="G760" s="2"/>
      <c r="J760" s="2"/>
      <c r="L760" s="2"/>
      <c r="M760" s="2"/>
      <c r="N760" s="2"/>
    </row>
    <row r="761" spans="4:14" ht="12.75" x14ac:dyDescent="0.35">
      <c r="D761" s="2"/>
      <c r="E761" s="2"/>
      <c r="F761" s="2"/>
      <c r="G761" s="2"/>
      <c r="J761" s="2"/>
      <c r="L761" s="2"/>
      <c r="M761" s="2"/>
      <c r="N761" s="2"/>
    </row>
    <row r="762" spans="4:14" ht="12.75" x14ac:dyDescent="0.35">
      <c r="D762" s="2"/>
      <c r="E762" s="2"/>
      <c r="F762" s="2"/>
      <c r="G762" s="2"/>
      <c r="J762" s="2"/>
      <c r="L762" s="2"/>
      <c r="M762" s="2"/>
      <c r="N762" s="2"/>
    </row>
    <row r="763" spans="4:14" ht="12.75" x14ac:dyDescent="0.35">
      <c r="D763" s="2"/>
      <c r="E763" s="2"/>
      <c r="F763" s="2"/>
      <c r="G763" s="2"/>
      <c r="J763" s="2"/>
      <c r="L763" s="2"/>
      <c r="M763" s="2"/>
      <c r="N763" s="2"/>
    </row>
    <row r="764" spans="4:14" ht="12.75" x14ac:dyDescent="0.35">
      <c r="D764" s="2"/>
      <c r="E764" s="2"/>
      <c r="F764" s="2"/>
      <c r="G764" s="2"/>
      <c r="J764" s="2"/>
      <c r="L764" s="2"/>
      <c r="M764" s="2"/>
      <c r="N764" s="2"/>
    </row>
    <row r="765" spans="4:14" ht="12.75" x14ac:dyDescent="0.35">
      <c r="D765" s="2"/>
      <c r="E765" s="2"/>
      <c r="F765" s="2"/>
      <c r="G765" s="2"/>
      <c r="J765" s="2"/>
      <c r="L765" s="2"/>
      <c r="M765" s="2"/>
      <c r="N765" s="2"/>
    </row>
    <row r="766" spans="4:14" ht="12.75" x14ac:dyDescent="0.35">
      <c r="D766" s="2"/>
      <c r="E766" s="2"/>
      <c r="F766" s="2"/>
      <c r="G766" s="2"/>
      <c r="J766" s="2"/>
      <c r="L766" s="2"/>
      <c r="M766" s="2"/>
      <c r="N766" s="2"/>
    </row>
    <row r="767" spans="4:14" ht="12.75" x14ac:dyDescent="0.35">
      <c r="D767" s="2"/>
      <c r="E767" s="2"/>
      <c r="F767" s="2"/>
      <c r="G767" s="2"/>
      <c r="J767" s="2"/>
      <c r="L767" s="2"/>
      <c r="M767" s="2"/>
      <c r="N767" s="2"/>
    </row>
    <row r="768" spans="4:14" ht="12.75" x14ac:dyDescent="0.35">
      <c r="D768" s="2"/>
      <c r="E768" s="2"/>
      <c r="F768" s="2"/>
      <c r="G768" s="2"/>
      <c r="J768" s="2"/>
      <c r="L768" s="2"/>
      <c r="M768" s="2"/>
      <c r="N768" s="2"/>
    </row>
    <row r="769" spans="4:14" ht="12.75" x14ac:dyDescent="0.35">
      <c r="D769" s="2"/>
      <c r="E769" s="2"/>
      <c r="F769" s="2"/>
      <c r="G769" s="2"/>
      <c r="J769" s="2"/>
      <c r="L769" s="2"/>
      <c r="M769" s="2"/>
      <c r="N769" s="2"/>
    </row>
    <row r="770" spans="4:14" ht="12.75" x14ac:dyDescent="0.35">
      <c r="D770" s="2"/>
      <c r="E770" s="2"/>
      <c r="F770" s="2"/>
      <c r="G770" s="2"/>
      <c r="J770" s="2"/>
      <c r="L770" s="2"/>
      <c r="M770" s="2"/>
      <c r="N770" s="2"/>
    </row>
    <row r="771" spans="4:14" ht="12.75" x14ac:dyDescent="0.35">
      <c r="D771" s="2"/>
      <c r="E771" s="2"/>
      <c r="F771" s="2"/>
      <c r="G771" s="2"/>
      <c r="J771" s="2"/>
      <c r="L771" s="2"/>
      <c r="M771" s="2"/>
      <c r="N771" s="2"/>
    </row>
    <row r="772" spans="4:14" ht="12.75" x14ac:dyDescent="0.35">
      <c r="D772" s="2"/>
      <c r="E772" s="2"/>
      <c r="F772" s="2"/>
      <c r="G772" s="2"/>
      <c r="J772" s="2"/>
      <c r="L772" s="2"/>
      <c r="M772" s="2"/>
      <c r="N772" s="2"/>
    </row>
    <row r="773" spans="4:14" ht="12.75" x14ac:dyDescent="0.35">
      <c r="D773" s="2"/>
      <c r="E773" s="2"/>
      <c r="F773" s="2"/>
      <c r="G773" s="2"/>
      <c r="J773" s="2"/>
      <c r="L773" s="2"/>
      <c r="M773" s="2"/>
      <c r="N773" s="2"/>
    </row>
    <row r="774" spans="4:14" ht="12.75" x14ac:dyDescent="0.35">
      <c r="D774" s="2"/>
      <c r="E774" s="2"/>
      <c r="F774" s="2"/>
      <c r="G774" s="2"/>
      <c r="J774" s="2"/>
      <c r="L774" s="2"/>
      <c r="M774" s="2"/>
      <c r="N774" s="2"/>
    </row>
    <row r="775" spans="4:14" ht="12.75" x14ac:dyDescent="0.35">
      <c r="D775" s="2"/>
      <c r="E775" s="2"/>
      <c r="F775" s="2"/>
      <c r="G775" s="2"/>
      <c r="J775" s="2"/>
      <c r="L775" s="2"/>
      <c r="M775" s="2"/>
      <c r="N775" s="2"/>
    </row>
    <row r="776" spans="4:14" ht="12.75" x14ac:dyDescent="0.35">
      <c r="D776" s="2"/>
      <c r="E776" s="2"/>
      <c r="F776" s="2"/>
      <c r="G776" s="2"/>
      <c r="J776" s="2"/>
      <c r="L776" s="2"/>
      <c r="M776" s="2"/>
      <c r="N776" s="2"/>
    </row>
    <row r="777" spans="4:14" ht="12.75" x14ac:dyDescent="0.35">
      <c r="D777" s="2"/>
      <c r="E777" s="2"/>
      <c r="F777" s="2"/>
      <c r="G777" s="2"/>
      <c r="J777" s="2"/>
      <c r="L777" s="2"/>
      <c r="M777" s="2"/>
      <c r="N777" s="2"/>
    </row>
    <row r="778" spans="4:14" ht="12.75" x14ac:dyDescent="0.35">
      <c r="D778" s="2"/>
      <c r="E778" s="2"/>
      <c r="F778" s="2"/>
      <c r="G778" s="2"/>
      <c r="J778" s="2"/>
      <c r="L778" s="2"/>
      <c r="M778" s="2"/>
      <c r="N778" s="2"/>
    </row>
    <row r="779" spans="4:14" ht="12.75" x14ac:dyDescent="0.35">
      <c r="D779" s="2"/>
      <c r="E779" s="2"/>
      <c r="F779" s="2"/>
      <c r="G779" s="2"/>
      <c r="J779" s="2"/>
      <c r="L779" s="2"/>
      <c r="M779" s="2"/>
      <c r="N779" s="2"/>
    </row>
    <row r="780" spans="4:14" ht="12.75" x14ac:dyDescent="0.35">
      <c r="D780" s="2"/>
      <c r="E780" s="2"/>
      <c r="F780" s="2"/>
      <c r="G780" s="2"/>
      <c r="J780" s="2"/>
      <c r="L780" s="2"/>
      <c r="M780" s="2"/>
      <c r="N780" s="2"/>
    </row>
    <row r="781" spans="4:14" ht="12.75" x14ac:dyDescent="0.35">
      <c r="D781" s="2"/>
      <c r="E781" s="2"/>
      <c r="F781" s="2"/>
      <c r="G781" s="2"/>
      <c r="J781" s="2"/>
      <c r="L781" s="2"/>
      <c r="M781" s="2"/>
      <c r="N781" s="2"/>
    </row>
    <row r="782" spans="4:14" ht="12.75" x14ac:dyDescent="0.35">
      <c r="D782" s="2"/>
      <c r="E782" s="2"/>
      <c r="F782" s="2"/>
      <c r="G782" s="2"/>
      <c r="J782" s="2"/>
      <c r="L782" s="2"/>
      <c r="M782" s="2"/>
      <c r="N782" s="2"/>
    </row>
    <row r="783" spans="4:14" ht="12.75" x14ac:dyDescent="0.35">
      <c r="D783" s="2"/>
      <c r="E783" s="2"/>
      <c r="F783" s="2"/>
      <c r="G783" s="2"/>
      <c r="J783" s="2"/>
      <c r="L783" s="2"/>
      <c r="M783" s="2"/>
      <c r="N783" s="2"/>
    </row>
    <row r="784" spans="4:14" ht="12.75" x14ac:dyDescent="0.35">
      <c r="D784" s="2"/>
      <c r="E784" s="2"/>
      <c r="F784" s="2"/>
      <c r="G784" s="2"/>
      <c r="J784" s="2"/>
      <c r="L784" s="2"/>
      <c r="M784" s="2"/>
      <c r="N784" s="2"/>
    </row>
    <row r="785" spans="4:14" ht="12.75" x14ac:dyDescent="0.35">
      <c r="D785" s="2"/>
      <c r="E785" s="2"/>
      <c r="F785" s="2"/>
      <c r="G785" s="2"/>
      <c r="J785" s="2"/>
      <c r="L785" s="2"/>
      <c r="M785" s="2"/>
      <c r="N785" s="2"/>
    </row>
    <row r="786" spans="4:14" ht="12.75" x14ac:dyDescent="0.35">
      <c r="D786" s="2"/>
      <c r="E786" s="2"/>
      <c r="F786" s="2"/>
      <c r="G786" s="2"/>
      <c r="J786" s="2"/>
      <c r="L786" s="2"/>
      <c r="M786" s="2"/>
      <c r="N786" s="2"/>
    </row>
    <row r="787" spans="4:14" ht="12.75" x14ac:dyDescent="0.35">
      <c r="D787" s="2"/>
      <c r="E787" s="2"/>
      <c r="F787" s="2"/>
      <c r="G787" s="2"/>
      <c r="J787" s="2"/>
      <c r="L787" s="2"/>
      <c r="M787" s="2"/>
      <c r="N787" s="2"/>
    </row>
    <row r="788" spans="4:14" ht="12.75" x14ac:dyDescent="0.35">
      <c r="D788" s="2"/>
      <c r="E788" s="2"/>
      <c r="F788" s="2"/>
      <c r="G788" s="2"/>
      <c r="J788" s="2"/>
      <c r="L788" s="2"/>
      <c r="M788" s="2"/>
      <c r="N788" s="2"/>
    </row>
    <row r="789" spans="4:14" ht="12.75" x14ac:dyDescent="0.35">
      <c r="D789" s="2"/>
      <c r="E789" s="2"/>
      <c r="F789" s="2"/>
      <c r="G789" s="2"/>
      <c r="J789" s="2"/>
      <c r="L789" s="2"/>
      <c r="M789" s="2"/>
      <c r="N789" s="2"/>
    </row>
    <row r="790" spans="4:14" ht="12.75" x14ac:dyDescent="0.35">
      <c r="D790" s="2"/>
      <c r="E790" s="2"/>
      <c r="F790" s="2"/>
      <c r="G790" s="2"/>
      <c r="J790" s="2"/>
      <c r="L790" s="2"/>
      <c r="M790" s="2"/>
      <c r="N790" s="2"/>
    </row>
    <row r="791" spans="4:14" ht="12.75" x14ac:dyDescent="0.35">
      <c r="D791" s="2"/>
      <c r="E791" s="2"/>
      <c r="F791" s="2"/>
      <c r="G791" s="2"/>
      <c r="J791" s="2"/>
      <c r="L791" s="2"/>
      <c r="M791" s="2"/>
      <c r="N791" s="2"/>
    </row>
    <row r="792" spans="4:14" ht="12.75" x14ac:dyDescent="0.35">
      <c r="D792" s="2"/>
      <c r="E792" s="2"/>
      <c r="F792" s="2"/>
      <c r="G792" s="2"/>
      <c r="J792" s="2"/>
      <c r="L792" s="2"/>
      <c r="M792" s="2"/>
      <c r="N792" s="2"/>
    </row>
    <row r="793" spans="4:14" ht="12.75" x14ac:dyDescent="0.35">
      <c r="D793" s="2"/>
      <c r="E793" s="2"/>
      <c r="F793" s="2"/>
      <c r="G793" s="2"/>
      <c r="J793" s="2"/>
      <c r="L793" s="2"/>
      <c r="M793" s="2"/>
      <c r="N793" s="2"/>
    </row>
    <row r="794" spans="4:14" ht="12.75" x14ac:dyDescent="0.35">
      <c r="D794" s="2"/>
      <c r="E794" s="2"/>
      <c r="F794" s="2"/>
      <c r="G794" s="2"/>
      <c r="J794" s="2"/>
      <c r="L794" s="2"/>
      <c r="M794" s="2"/>
      <c r="N794" s="2"/>
    </row>
    <row r="795" spans="4:14" ht="12.75" x14ac:dyDescent="0.35">
      <c r="D795" s="2"/>
      <c r="E795" s="2"/>
      <c r="F795" s="2"/>
      <c r="G795" s="2"/>
      <c r="J795" s="2"/>
      <c r="L795" s="2"/>
      <c r="M795" s="2"/>
      <c r="N795" s="2"/>
    </row>
    <row r="796" spans="4:14" ht="12.75" x14ac:dyDescent="0.35">
      <c r="D796" s="2"/>
      <c r="E796" s="2"/>
      <c r="F796" s="2"/>
      <c r="G796" s="2"/>
      <c r="J796" s="2"/>
      <c r="L796" s="2"/>
      <c r="M796" s="2"/>
      <c r="N796" s="2"/>
    </row>
    <row r="797" spans="4:14" ht="12.75" x14ac:dyDescent="0.35">
      <c r="D797" s="2"/>
      <c r="E797" s="2"/>
      <c r="F797" s="2"/>
      <c r="G797" s="2"/>
      <c r="J797" s="2"/>
      <c r="L797" s="2"/>
      <c r="M797" s="2"/>
      <c r="N797" s="2"/>
    </row>
    <row r="798" spans="4:14" ht="12.75" x14ac:dyDescent="0.35">
      <c r="D798" s="2"/>
      <c r="E798" s="2"/>
      <c r="F798" s="2"/>
      <c r="G798" s="2"/>
      <c r="J798" s="2"/>
      <c r="L798" s="2"/>
      <c r="M798" s="2"/>
      <c r="N798" s="2"/>
    </row>
    <row r="799" spans="4:14" ht="12.75" x14ac:dyDescent="0.35">
      <c r="D799" s="2"/>
      <c r="E799" s="2"/>
      <c r="F799" s="2"/>
      <c r="G799" s="2"/>
      <c r="J799" s="2"/>
      <c r="L799" s="2"/>
      <c r="M799" s="2"/>
      <c r="N799" s="2"/>
    </row>
    <row r="800" spans="4:14" ht="12.75" x14ac:dyDescent="0.35">
      <c r="D800" s="2"/>
      <c r="E800" s="2"/>
      <c r="F800" s="2"/>
      <c r="G800" s="2"/>
      <c r="J800" s="2"/>
      <c r="L800" s="2"/>
      <c r="M800" s="2"/>
      <c r="N800" s="2"/>
    </row>
    <row r="801" spans="4:14" ht="12.75" x14ac:dyDescent="0.35">
      <c r="D801" s="2"/>
      <c r="E801" s="2"/>
      <c r="F801" s="2"/>
      <c r="G801" s="2"/>
      <c r="J801" s="2"/>
      <c r="L801" s="2"/>
      <c r="M801" s="2"/>
      <c r="N801" s="2"/>
    </row>
    <row r="802" spans="4:14" ht="12.75" x14ac:dyDescent="0.35">
      <c r="D802" s="2"/>
      <c r="E802" s="2"/>
      <c r="F802" s="2"/>
      <c r="G802" s="2"/>
      <c r="J802" s="2"/>
      <c r="L802" s="2"/>
      <c r="M802" s="2"/>
      <c r="N802" s="2"/>
    </row>
    <row r="803" spans="4:14" ht="12.75" x14ac:dyDescent="0.35">
      <c r="D803" s="2"/>
      <c r="E803" s="2"/>
      <c r="F803" s="2"/>
      <c r="G803" s="2"/>
      <c r="J803" s="2"/>
      <c r="L803" s="2"/>
      <c r="M803" s="2"/>
      <c r="N803" s="2"/>
    </row>
    <row r="804" spans="4:14" ht="12.75" x14ac:dyDescent="0.35">
      <c r="D804" s="2"/>
      <c r="E804" s="2"/>
      <c r="F804" s="2"/>
      <c r="G804" s="2"/>
      <c r="J804" s="2"/>
      <c r="L804" s="2"/>
      <c r="M804" s="2"/>
      <c r="N804" s="2"/>
    </row>
    <row r="805" spans="4:14" ht="12.75" x14ac:dyDescent="0.35">
      <c r="D805" s="2"/>
      <c r="E805" s="2"/>
      <c r="F805" s="2"/>
      <c r="G805" s="2"/>
      <c r="J805" s="2"/>
      <c r="L805" s="2"/>
      <c r="M805" s="2"/>
      <c r="N805" s="2"/>
    </row>
    <row r="806" spans="4:14" ht="12.75" x14ac:dyDescent="0.35">
      <c r="D806" s="2"/>
      <c r="E806" s="2"/>
      <c r="F806" s="2"/>
      <c r="G806" s="2"/>
      <c r="J806" s="2"/>
      <c r="L806" s="2"/>
      <c r="M806" s="2"/>
      <c r="N806" s="2"/>
    </row>
    <row r="807" spans="4:14" ht="12.75" x14ac:dyDescent="0.35">
      <c r="D807" s="2"/>
      <c r="E807" s="2"/>
      <c r="F807" s="2"/>
      <c r="G807" s="2"/>
      <c r="J807" s="2"/>
      <c r="L807" s="2"/>
      <c r="M807" s="2"/>
      <c r="N807" s="2"/>
    </row>
    <row r="808" spans="4:14" ht="12.75" x14ac:dyDescent="0.35">
      <c r="D808" s="2"/>
      <c r="E808" s="2"/>
      <c r="F808" s="2"/>
      <c r="G808" s="2"/>
      <c r="J808" s="2"/>
      <c r="L808" s="2"/>
      <c r="M808" s="2"/>
      <c r="N808" s="2"/>
    </row>
    <row r="809" spans="4:14" ht="12.75" x14ac:dyDescent="0.35">
      <c r="D809" s="2"/>
      <c r="E809" s="2"/>
      <c r="F809" s="2"/>
      <c r="G809" s="2"/>
      <c r="J809" s="2"/>
      <c r="L809" s="2"/>
      <c r="M809" s="2"/>
      <c r="N809" s="2"/>
    </row>
    <row r="810" spans="4:14" ht="12.75" x14ac:dyDescent="0.35">
      <c r="D810" s="2"/>
      <c r="E810" s="2"/>
      <c r="F810" s="2"/>
      <c r="G810" s="2"/>
      <c r="J810" s="2"/>
      <c r="L810" s="2"/>
      <c r="M810" s="2"/>
      <c r="N810" s="2"/>
    </row>
    <row r="811" spans="4:14" ht="12.75" x14ac:dyDescent="0.35">
      <c r="D811" s="2"/>
      <c r="E811" s="2"/>
      <c r="F811" s="2"/>
      <c r="G811" s="2"/>
      <c r="J811" s="2"/>
      <c r="L811" s="2"/>
      <c r="M811" s="2"/>
      <c r="N811" s="2"/>
    </row>
    <row r="812" spans="4:14" ht="12.75" x14ac:dyDescent="0.35">
      <c r="D812" s="2"/>
      <c r="E812" s="2"/>
      <c r="F812" s="2"/>
      <c r="G812" s="2"/>
      <c r="J812" s="2"/>
      <c r="L812" s="2"/>
      <c r="M812" s="2"/>
      <c r="N812" s="2"/>
    </row>
    <row r="813" spans="4:14" ht="12.75" x14ac:dyDescent="0.35">
      <c r="D813" s="2"/>
      <c r="E813" s="2"/>
      <c r="F813" s="2"/>
      <c r="G813" s="2"/>
      <c r="J813" s="2"/>
      <c r="L813" s="2"/>
      <c r="M813" s="2"/>
      <c r="N813" s="2"/>
    </row>
    <row r="814" spans="4:14" ht="12.75" x14ac:dyDescent="0.35">
      <c r="D814" s="2"/>
      <c r="E814" s="2"/>
      <c r="F814" s="2"/>
      <c r="G814" s="2"/>
      <c r="J814" s="2"/>
      <c r="L814" s="2"/>
      <c r="M814" s="2"/>
      <c r="N814" s="2"/>
    </row>
    <row r="815" spans="4:14" ht="12.75" x14ac:dyDescent="0.35">
      <c r="D815" s="2"/>
      <c r="E815" s="2"/>
      <c r="F815" s="2"/>
      <c r="G815" s="2"/>
      <c r="J815" s="2"/>
      <c r="L815" s="2"/>
      <c r="M815" s="2"/>
      <c r="N815" s="2"/>
    </row>
    <row r="816" spans="4:14" ht="12.75" x14ac:dyDescent="0.35">
      <c r="D816" s="2"/>
      <c r="E816" s="2"/>
      <c r="F816" s="2"/>
      <c r="G816" s="2"/>
      <c r="J816" s="2"/>
      <c r="L816" s="2"/>
      <c r="M816" s="2"/>
      <c r="N816" s="2"/>
    </row>
    <row r="817" spans="4:14" ht="12.75" x14ac:dyDescent="0.35">
      <c r="D817" s="2"/>
      <c r="E817" s="2"/>
      <c r="F817" s="2"/>
      <c r="G817" s="2"/>
      <c r="J817" s="2"/>
      <c r="L817" s="2"/>
      <c r="M817" s="2"/>
      <c r="N817" s="2"/>
    </row>
    <row r="818" spans="4:14" ht="12.75" x14ac:dyDescent="0.35">
      <c r="D818" s="2"/>
      <c r="E818" s="2"/>
      <c r="F818" s="2"/>
      <c r="G818" s="2"/>
      <c r="J818" s="2"/>
      <c r="L818" s="2"/>
      <c r="M818" s="2"/>
      <c r="N818" s="2"/>
    </row>
    <row r="819" spans="4:14" ht="12.75" x14ac:dyDescent="0.35">
      <c r="D819" s="2"/>
      <c r="E819" s="2"/>
      <c r="F819" s="2"/>
      <c r="G819" s="2"/>
      <c r="J819" s="2"/>
      <c r="L819" s="2"/>
      <c r="M819" s="2"/>
      <c r="N819" s="2"/>
    </row>
    <row r="820" spans="4:14" ht="12.75" x14ac:dyDescent="0.35">
      <c r="D820" s="2"/>
      <c r="E820" s="2"/>
      <c r="F820" s="2"/>
      <c r="G820" s="2"/>
      <c r="J820" s="2"/>
      <c r="L820" s="2"/>
      <c r="M820" s="2"/>
      <c r="N820" s="2"/>
    </row>
    <row r="821" spans="4:14" ht="12.75" x14ac:dyDescent="0.35">
      <c r="D821" s="2"/>
      <c r="E821" s="2"/>
      <c r="F821" s="2"/>
      <c r="G821" s="2"/>
      <c r="J821" s="2"/>
      <c r="L821" s="2"/>
      <c r="M821" s="2"/>
      <c r="N821" s="2"/>
    </row>
    <row r="822" spans="4:14" ht="12.75" x14ac:dyDescent="0.35">
      <c r="D822" s="2"/>
      <c r="E822" s="2"/>
      <c r="F822" s="2"/>
      <c r="G822" s="2"/>
      <c r="J822" s="2"/>
      <c r="L822" s="2"/>
      <c r="M822" s="2"/>
      <c r="N822" s="2"/>
    </row>
    <row r="823" spans="4:14" ht="12.75" x14ac:dyDescent="0.35">
      <c r="D823" s="2"/>
      <c r="E823" s="2"/>
      <c r="F823" s="2"/>
      <c r="G823" s="2"/>
      <c r="J823" s="2"/>
      <c r="L823" s="2"/>
      <c r="M823" s="2"/>
      <c r="N823" s="2"/>
    </row>
    <row r="824" spans="4:14" ht="12.75" x14ac:dyDescent="0.35">
      <c r="D824" s="2"/>
      <c r="E824" s="2"/>
      <c r="F824" s="2"/>
      <c r="G824" s="2"/>
      <c r="J824" s="2"/>
      <c r="L824" s="2"/>
      <c r="M824" s="2"/>
      <c r="N824" s="2"/>
    </row>
    <row r="825" spans="4:14" ht="12.75" x14ac:dyDescent="0.35">
      <c r="D825" s="2"/>
      <c r="E825" s="2"/>
      <c r="F825" s="2"/>
      <c r="G825" s="2"/>
      <c r="J825" s="2"/>
      <c r="L825" s="2"/>
      <c r="M825" s="2"/>
      <c r="N825" s="2"/>
    </row>
    <row r="826" spans="4:14" ht="12.75" x14ac:dyDescent="0.35">
      <c r="D826" s="2"/>
      <c r="E826" s="2"/>
      <c r="F826" s="2"/>
      <c r="G826" s="2"/>
      <c r="J826" s="2"/>
      <c r="L826" s="2"/>
      <c r="M826" s="2"/>
      <c r="N826" s="2"/>
    </row>
    <row r="827" spans="4:14" ht="12.75" x14ac:dyDescent="0.35">
      <c r="D827" s="2"/>
      <c r="E827" s="2"/>
      <c r="F827" s="2"/>
      <c r="G827" s="2"/>
      <c r="J827" s="2"/>
      <c r="L827" s="2"/>
      <c r="M827" s="2"/>
      <c r="N827" s="2"/>
    </row>
    <row r="828" spans="4:14" ht="12.75" x14ac:dyDescent="0.35">
      <c r="D828" s="2"/>
      <c r="E828" s="2"/>
      <c r="F828" s="2"/>
      <c r="G828" s="2"/>
      <c r="J828" s="2"/>
      <c r="L828" s="2"/>
      <c r="M828" s="2"/>
      <c r="N828" s="2"/>
    </row>
    <row r="829" spans="4:14" ht="12.75" x14ac:dyDescent="0.35">
      <c r="D829" s="2"/>
      <c r="E829" s="2"/>
      <c r="F829" s="2"/>
      <c r="G829" s="2"/>
      <c r="J829" s="2"/>
      <c r="L829" s="2"/>
      <c r="M829" s="2"/>
      <c r="N829" s="2"/>
    </row>
    <row r="830" spans="4:14" ht="12.75" x14ac:dyDescent="0.35">
      <c r="D830" s="2"/>
      <c r="E830" s="2"/>
      <c r="F830" s="2"/>
      <c r="G830" s="2"/>
      <c r="J830" s="2"/>
      <c r="L830" s="2"/>
      <c r="M830" s="2"/>
      <c r="N830" s="2"/>
    </row>
    <row r="831" spans="4:14" ht="12.75" x14ac:dyDescent="0.35">
      <c r="D831" s="2"/>
      <c r="E831" s="2"/>
      <c r="F831" s="2"/>
      <c r="G831" s="2"/>
      <c r="J831" s="2"/>
      <c r="L831" s="2"/>
      <c r="M831" s="2"/>
      <c r="N831" s="2"/>
    </row>
    <row r="832" spans="4:14" ht="12.75" x14ac:dyDescent="0.35">
      <c r="D832" s="2"/>
      <c r="E832" s="2"/>
      <c r="F832" s="2"/>
      <c r="G832" s="2"/>
      <c r="J832" s="2"/>
      <c r="L832" s="2"/>
      <c r="M832" s="2"/>
      <c r="N832" s="2"/>
    </row>
    <row r="833" spans="4:14" ht="12.75" x14ac:dyDescent="0.35">
      <c r="D833" s="2"/>
      <c r="E833" s="2"/>
      <c r="F833" s="2"/>
      <c r="G833" s="2"/>
      <c r="J833" s="2"/>
      <c r="L833" s="2"/>
      <c r="M833" s="2"/>
      <c r="N833" s="2"/>
    </row>
    <row r="834" spans="4:14" ht="12.75" x14ac:dyDescent="0.35">
      <c r="D834" s="2"/>
      <c r="E834" s="2"/>
      <c r="F834" s="2"/>
      <c r="G834" s="2"/>
      <c r="J834" s="2"/>
      <c r="L834" s="2"/>
      <c r="M834" s="2"/>
      <c r="N834" s="2"/>
    </row>
    <row r="835" spans="4:14" ht="12.75" x14ac:dyDescent="0.35">
      <c r="D835" s="2"/>
      <c r="E835" s="2"/>
      <c r="F835" s="2"/>
      <c r="G835" s="2"/>
      <c r="J835" s="2"/>
      <c r="L835" s="2"/>
      <c r="M835" s="2"/>
      <c r="N835" s="2"/>
    </row>
    <row r="836" spans="4:14" ht="12.75" x14ac:dyDescent="0.35">
      <c r="D836" s="2"/>
      <c r="E836" s="2"/>
      <c r="F836" s="2"/>
      <c r="G836" s="2"/>
      <c r="J836" s="2"/>
      <c r="L836" s="2"/>
      <c r="M836" s="2"/>
      <c r="N836" s="2"/>
    </row>
    <row r="837" spans="4:14" ht="12.75" x14ac:dyDescent="0.35">
      <c r="D837" s="2"/>
      <c r="E837" s="2"/>
      <c r="F837" s="2"/>
      <c r="G837" s="2"/>
      <c r="J837" s="2"/>
      <c r="L837" s="2"/>
      <c r="M837" s="2"/>
      <c r="N837" s="2"/>
    </row>
    <row r="838" spans="4:14" ht="12.75" x14ac:dyDescent="0.35">
      <c r="D838" s="2"/>
      <c r="E838" s="2"/>
      <c r="F838" s="2"/>
      <c r="G838" s="2"/>
      <c r="J838" s="2"/>
      <c r="L838" s="2"/>
      <c r="M838" s="2"/>
      <c r="N838" s="2"/>
    </row>
    <row r="839" spans="4:14" ht="12.75" x14ac:dyDescent="0.35">
      <c r="D839" s="2"/>
      <c r="E839" s="2"/>
      <c r="F839" s="2"/>
      <c r="G839" s="2"/>
      <c r="J839" s="2"/>
      <c r="L839" s="2"/>
      <c r="M839" s="2"/>
      <c r="N839" s="2"/>
    </row>
    <row r="840" spans="4:14" ht="12.75" x14ac:dyDescent="0.35">
      <c r="D840" s="2"/>
      <c r="E840" s="2"/>
      <c r="F840" s="2"/>
      <c r="G840" s="2"/>
      <c r="J840" s="2"/>
      <c r="L840" s="2"/>
      <c r="M840" s="2"/>
      <c r="N840" s="2"/>
    </row>
    <row r="841" spans="4:14" ht="12.75" x14ac:dyDescent="0.35">
      <c r="D841" s="2"/>
      <c r="E841" s="2"/>
      <c r="F841" s="2"/>
      <c r="G841" s="2"/>
      <c r="J841" s="2"/>
      <c r="L841" s="2"/>
      <c r="M841" s="2"/>
      <c r="N841" s="2"/>
    </row>
    <row r="842" spans="4:14" ht="12.75" x14ac:dyDescent="0.35">
      <c r="D842" s="2"/>
      <c r="E842" s="2"/>
      <c r="F842" s="2"/>
      <c r="G842" s="2"/>
      <c r="J842" s="2"/>
      <c r="L842" s="2"/>
      <c r="M842" s="2"/>
      <c r="N842" s="2"/>
    </row>
    <row r="843" spans="4:14" ht="12.75" x14ac:dyDescent="0.35">
      <c r="D843" s="2"/>
      <c r="E843" s="2"/>
      <c r="F843" s="2"/>
      <c r="G843" s="2"/>
      <c r="J843" s="2"/>
      <c r="L843" s="2"/>
      <c r="M843" s="2"/>
      <c r="N843" s="2"/>
    </row>
    <row r="844" spans="4:14" ht="12.75" x14ac:dyDescent="0.35">
      <c r="D844" s="2"/>
      <c r="E844" s="2"/>
      <c r="F844" s="2"/>
      <c r="G844" s="2"/>
      <c r="J844" s="2"/>
      <c r="L844" s="2"/>
      <c r="M844" s="2"/>
      <c r="N844" s="2"/>
    </row>
    <row r="845" spans="4:14" ht="12.75" x14ac:dyDescent="0.35">
      <c r="D845" s="2"/>
      <c r="E845" s="2"/>
      <c r="F845" s="2"/>
      <c r="G845" s="2"/>
      <c r="J845" s="2"/>
      <c r="L845" s="2"/>
      <c r="M845" s="2"/>
      <c r="N845" s="2"/>
    </row>
    <row r="846" spans="4:14" ht="12.75" x14ac:dyDescent="0.35">
      <c r="D846" s="2"/>
      <c r="E846" s="2"/>
      <c r="F846" s="2"/>
      <c r="G846" s="2"/>
      <c r="J846" s="2"/>
      <c r="L846" s="2"/>
      <c r="M846" s="2"/>
      <c r="N846" s="2"/>
    </row>
    <row r="847" spans="4:14" ht="12.75" x14ac:dyDescent="0.35">
      <c r="D847" s="2"/>
      <c r="E847" s="2"/>
      <c r="F847" s="2"/>
      <c r="G847" s="2"/>
      <c r="J847" s="2"/>
      <c r="L847" s="2"/>
      <c r="M847" s="2"/>
      <c r="N847" s="2"/>
    </row>
    <row r="848" spans="4:14" ht="12.75" x14ac:dyDescent="0.35">
      <c r="D848" s="2"/>
      <c r="E848" s="2"/>
      <c r="F848" s="2"/>
      <c r="G848" s="2"/>
      <c r="J848" s="2"/>
      <c r="L848" s="2"/>
      <c r="M848" s="2"/>
      <c r="N848" s="2"/>
    </row>
    <row r="849" spans="4:14" ht="12.75" x14ac:dyDescent="0.35">
      <c r="D849" s="2"/>
      <c r="E849" s="2"/>
      <c r="F849" s="2"/>
      <c r="G849" s="2"/>
      <c r="J849" s="2"/>
      <c r="L849" s="2"/>
      <c r="M849" s="2"/>
      <c r="N849" s="2"/>
    </row>
    <row r="850" spans="4:14" ht="12.75" x14ac:dyDescent="0.35">
      <c r="D850" s="2"/>
      <c r="E850" s="2"/>
      <c r="F850" s="2"/>
      <c r="G850" s="2"/>
      <c r="J850" s="2"/>
      <c r="L850" s="2"/>
      <c r="M850" s="2"/>
      <c r="N850" s="2"/>
    </row>
    <row r="851" spans="4:14" ht="12.75" x14ac:dyDescent="0.35">
      <c r="D851" s="2"/>
      <c r="E851" s="2"/>
      <c r="F851" s="2"/>
      <c r="G851" s="2"/>
      <c r="J851" s="2"/>
      <c r="L851" s="2"/>
      <c r="M851" s="2"/>
      <c r="N851" s="2"/>
    </row>
    <row r="852" spans="4:14" ht="12.75" x14ac:dyDescent="0.35">
      <c r="D852" s="2"/>
      <c r="E852" s="2"/>
      <c r="F852" s="2"/>
      <c r="G852" s="2"/>
      <c r="J852" s="2"/>
      <c r="L852" s="2"/>
      <c r="M852" s="2"/>
      <c r="N852" s="2"/>
    </row>
    <row r="853" spans="4:14" ht="12.75" x14ac:dyDescent="0.35">
      <c r="D853" s="2"/>
      <c r="E853" s="2"/>
      <c r="F853" s="2"/>
      <c r="G853" s="2"/>
      <c r="J853" s="2"/>
      <c r="L853" s="2"/>
      <c r="M853" s="2"/>
      <c r="N853" s="2"/>
    </row>
    <row r="854" spans="4:14" ht="12.75" x14ac:dyDescent="0.35">
      <c r="D854" s="2"/>
      <c r="E854" s="2"/>
      <c r="F854" s="2"/>
      <c r="G854" s="2"/>
      <c r="J854" s="2"/>
      <c r="L854" s="2"/>
      <c r="M854" s="2"/>
      <c r="N854" s="2"/>
    </row>
    <row r="855" spans="4:14" ht="12.75" x14ac:dyDescent="0.35">
      <c r="D855" s="2"/>
      <c r="E855" s="2"/>
      <c r="F855" s="2"/>
      <c r="G855" s="2"/>
      <c r="J855" s="2"/>
      <c r="L855" s="2"/>
      <c r="M855" s="2"/>
      <c r="N855" s="2"/>
    </row>
    <row r="856" spans="4:14" ht="12.75" x14ac:dyDescent="0.35">
      <c r="D856" s="2"/>
      <c r="E856" s="2"/>
      <c r="F856" s="2"/>
      <c r="G856" s="2"/>
      <c r="J856" s="2"/>
      <c r="L856" s="2"/>
      <c r="M856" s="2"/>
      <c r="N856" s="2"/>
    </row>
    <row r="857" spans="4:14" ht="12.75" x14ac:dyDescent="0.35">
      <c r="D857" s="2"/>
      <c r="E857" s="2"/>
      <c r="F857" s="2"/>
      <c r="G857" s="2"/>
      <c r="J857" s="2"/>
      <c r="L857" s="2"/>
      <c r="M857" s="2"/>
      <c r="N857" s="2"/>
    </row>
    <row r="858" spans="4:14" ht="12.75" x14ac:dyDescent="0.35">
      <c r="D858" s="2"/>
      <c r="E858" s="2"/>
      <c r="F858" s="2"/>
      <c r="G858" s="2"/>
      <c r="J858" s="2"/>
      <c r="L858" s="2"/>
      <c r="M858" s="2"/>
      <c r="N858" s="2"/>
    </row>
    <row r="859" spans="4:14" ht="12.75" x14ac:dyDescent="0.35">
      <c r="D859" s="2"/>
      <c r="E859" s="2"/>
      <c r="F859" s="2"/>
      <c r="G859" s="2"/>
      <c r="J859" s="2"/>
      <c r="L859" s="2"/>
      <c r="M859" s="2"/>
      <c r="N859" s="2"/>
    </row>
    <row r="860" spans="4:14" ht="12.75" x14ac:dyDescent="0.35">
      <c r="D860" s="2"/>
      <c r="E860" s="2"/>
      <c r="F860" s="2"/>
      <c r="G860" s="2"/>
      <c r="J860" s="2"/>
      <c r="L860" s="2"/>
      <c r="M860" s="2"/>
      <c r="N860" s="2"/>
    </row>
    <row r="861" spans="4:14" ht="12.75" x14ac:dyDescent="0.35">
      <c r="D861" s="2"/>
      <c r="E861" s="2"/>
      <c r="F861" s="2"/>
      <c r="G861" s="2"/>
      <c r="J861" s="2"/>
      <c r="L861" s="2"/>
      <c r="M861" s="2"/>
      <c r="N861" s="2"/>
    </row>
    <row r="862" spans="4:14" ht="12.75" x14ac:dyDescent="0.35">
      <c r="D862" s="2"/>
      <c r="E862" s="2"/>
      <c r="F862" s="2"/>
      <c r="G862" s="2"/>
      <c r="J862" s="2"/>
      <c r="L862" s="2"/>
      <c r="M862" s="2"/>
      <c r="N862" s="2"/>
    </row>
    <row r="863" spans="4:14" ht="12.75" x14ac:dyDescent="0.35">
      <c r="D863" s="2"/>
      <c r="E863" s="2"/>
      <c r="F863" s="2"/>
      <c r="G863" s="2"/>
      <c r="J863" s="2"/>
      <c r="L863" s="2"/>
      <c r="M863" s="2"/>
      <c r="N863" s="2"/>
    </row>
    <row r="864" spans="4:14" ht="12.75" x14ac:dyDescent="0.35">
      <c r="D864" s="2"/>
      <c r="E864" s="2"/>
      <c r="F864" s="2"/>
      <c r="G864" s="2"/>
      <c r="J864" s="2"/>
      <c r="L864" s="2"/>
      <c r="M864" s="2"/>
      <c r="N864" s="2"/>
    </row>
    <row r="865" spans="4:14" ht="12.75" x14ac:dyDescent="0.35">
      <c r="D865" s="2"/>
      <c r="E865" s="2"/>
      <c r="F865" s="2"/>
      <c r="G865" s="2"/>
      <c r="J865" s="2"/>
      <c r="L865" s="2"/>
      <c r="M865" s="2"/>
      <c r="N865" s="2"/>
    </row>
    <row r="866" spans="4:14" ht="12.75" x14ac:dyDescent="0.35">
      <c r="D866" s="2"/>
      <c r="E866" s="2"/>
      <c r="F866" s="2"/>
      <c r="G866" s="2"/>
      <c r="J866" s="2"/>
      <c r="L866" s="2"/>
      <c r="M866" s="2"/>
      <c r="N866" s="2"/>
    </row>
    <row r="867" spans="4:14" ht="12.75" x14ac:dyDescent="0.35">
      <c r="D867" s="2"/>
      <c r="E867" s="2"/>
      <c r="F867" s="2"/>
      <c r="G867" s="2"/>
      <c r="J867" s="2"/>
      <c r="L867" s="2"/>
      <c r="M867" s="2"/>
      <c r="N867" s="2"/>
    </row>
    <row r="868" spans="4:14" ht="12.75" x14ac:dyDescent="0.35">
      <c r="D868" s="2"/>
      <c r="E868" s="2"/>
      <c r="F868" s="2"/>
      <c r="G868" s="2"/>
      <c r="J868" s="2"/>
      <c r="L868" s="2"/>
      <c r="M868" s="2"/>
      <c r="N868" s="2"/>
    </row>
    <row r="869" spans="4:14" ht="12.75" x14ac:dyDescent="0.35">
      <c r="D869" s="2"/>
      <c r="E869" s="2"/>
      <c r="F869" s="2"/>
      <c r="G869" s="2"/>
      <c r="J869" s="2"/>
      <c r="L869" s="2"/>
      <c r="M869" s="2"/>
      <c r="N869" s="2"/>
    </row>
    <row r="870" spans="4:14" ht="12.75" x14ac:dyDescent="0.35">
      <c r="D870" s="2"/>
      <c r="E870" s="2"/>
      <c r="F870" s="2"/>
      <c r="G870" s="2"/>
      <c r="J870" s="2"/>
      <c r="L870" s="2"/>
      <c r="M870" s="2"/>
      <c r="N870" s="2"/>
    </row>
    <row r="871" spans="4:14" ht="12.75" x14ac:dyDescent="0.35">
      <c r="D871" s="2"/>
      <c r="E871" s="2"/>
      <c r="F871" s="2"/>
      <c r="G871" s="2"/>
      <c r="J871" s="2"/>
      <c r="L871" s="2"/>
      <c r="M871" s="2"/>
      <c r="N871" s="2"/>
    </row>
    <row r="872" spans="4:14" ht="12.75" x14ac:dyDescent="0.35">
      <c r="D872" s="2"/>
      <c r="E872" s="2"/>
      <c r="F872" s="2"/>
      <c r="G872" s="2"/>
      <c r="J872" s="2"/>
      <c r="L872" s="2"/>
      <c r="M872" s="2"/>
      <c r="N872" s="2"/>
    </row>
    <row r="873" spans="4:14" ht="12.75" x14ac:dyDescent="0.35">
      <c r="D873" s="2"/>
      <c r="E873" s="2"/>
      <c r="F873" s="2"/>
      <c r="G873" s="2"/>
      <c r="J873" s="2"/>
      <c r="L873" s="2"/>
      <c r="M873" s="2"/>
      <c r="N873" s="2"/>
    </row>
    <row r="874" spans="4:14" ht="12.75" x14ac:dyDescent="0.35">
      <c r="D874" s="2"/>
      <c r="E874" s="2"/>
      <c r="F874" s="2"/>
      <c r="G874" s="2"/>
      <c r="J874" s="2"/>
      <c r="L874" s="2"/>
      <c r="M874" s="2"/>
      <c r="N874" s="2"/>
    </row>
    <row r="875" spans="4:14" ht="12.75" x14ac:dyDescent="0.35">
      <c r="D875" s="2"/>
      <c r="E875" s="2"/>
      <c r="F875" s="2"/>
      <c r="G875" s="2"/>
      <c r="J875" s="2"/>
      <c r="L875" s="2"/>
      <c r="M875" s="2"/>
      <c r="N875" s="2"/>
    </row>
    <row r="876" spans="4:14" ht="12.75" x14ac:dyDescent="0.35">
      <c r="D876" s="2"/>
      <c r="E876" s="2"/>
      <c r="F876" s="2"/>
      <c r="G876" s="2"/>
      <c r="J876" s="2"/>
      <c r="L876" s="2"/>
      <c r="M876" s="2"/>
      <c r="N876" s="2"/>
    </row>
    <row r="877" spans="4:14" ht="12.75" x14ac:dyDescent="0.35">
      <c r="D877" s="2"/>
      <c r="E877" s="2"/>
      <c r="F877" s="2"/>
      <c r="G877" s="2"/>
      <c r="J877" s="2"/>
      <c r="L877" s="2"/>
      <c r="M877" s="2"/>
      <c r="N877" s="2"/>
    </row>
    <row r="878" spans="4:14" ht="12.75" x14ac:dyDescent="0.35">
      <c r="D878" s="2"/>
      <c r="E878" s="2"/>
      <c r="F878" s="2"/>
      <c r="G878" s="2"/>
      <c r="J878" s="2"/>
      <c r="L878" s="2"/>
      <c r="M878" s="2"/>
      <c r="N878" s="2"/>
    </row>
    <row r="879" spans="4:14" ht="12.75" x14ac:dyDescent="0.35">
      <c r="D879" s="2"/>
      <c r="E879" s="2"/>
      <c r="F879" s="2"/>
      <c r="G879" s="2"/>
      <c r="J879" s="2"/>
      <c r="L879" s="2"/>
      <c r="M879" s="2"/>
      <c r="N879" s="2"/>
    </row>
    <row r="880" spans="4:14" ht="12.75" x14ac:dyDescent="0.35">
      <c r="D880" s="2"/>
      <c r="E880" s="2"/>
      <c r="F880" s="2"/>
      <c r="G880" s="2"/>
      <c r="J880" s="2"/>
      <c r="L880" s="2"/>
      <c r="M880" s="2"/>
      <c r="N880" s="2"/>
    </row>
    <row r="881" spans="4:14" ht="12.75" x14ac:dyDescent="0.35">
      <c r="D881" s="2"/>
      <c r="E881" s="2"/>
      <c r="F881" s="2"/>
      <c r="G881" s="2"/>
      <c r="J881" s="2"/>
      <c r="L881" s="2"/>
      <c r="M881" s="2"/>
      <c r="N881" s="2"/>
    </row>
    <row r="882" spans="4:14" ht="12.75" x14ac:dyDescent="0.35">
      <c r="D882" s="2"/>
      <c r="E882" s="2"/>
      <c r="F882" s="2"/>
      <c r="G882" s="2"/>
      <c r="J882" s="2"/>
      <c r="L882" s="2"/>
      <c r="M882" s="2"/>
      <c r="N882" s="2"/>
    </row>
    <row r="883" spans="4:14" ht="12.75" x14ac:dyDescent="0.35">
      <c r="D883" s="2"/>
      <c r="E883" s="2"/>
      <c r="F883" s="2"/>
      <c r="G883" s="2"/>
      <c r="J883" s="2"/>
      <c r="L883" s="2"/>
      <c r="M883" s="2"/>
      <c r="N883" s="2"/>
    </row>
    <row r="884" spans="4:14" ht="12.75" x14ac:dyDescent="0.35">
      <c r="D884" s="2"/>
      <c r="E884" s="2"/>
      <c r="F884" s="2"/>
      <c r="G884" s="2"/>
      <c r="J884" s="2"/>
      <c r="L884" s="2"/>
      <c r="M884" s="2"/>
      <c r="N884" s="2"/>
    </row>
    <row r="885" spans="4:14" ht="12.75" x14ac:dyDescent="0.35">
      <c r="D885" s="2"/>
      <c r="E885" s="2"/>
      <c r="F885" s="2"/>
      <c r="G885" s="2"/>
      <c r="J885" s="2"/>
      <c r="L885" s="2"/>
      <c r="M885" s="2"/>
      <c r="N885" s="2"/>
    </row>
    <row r="886" spans="4:14" ht="12.75" x14ac:dyDescent="0.35">
      <c r="D886" s="2"/>
      <c r="E886" s="2"/>
      <c r="F886" s="2"/>
      <c r="G886" s="2"/>
      <c r="J886" s="2"/>
      <c r="L886" s="2"/>
      <c r="M886" s="2"/>
      <c r="N886" s="2"/>
    </row>
    <row r="887" spans="4:14" ht="12.75" x14ac:dyDescent="0.35">
      <c r="D887" s="2"/>
      <c r="E887" s="2"/>
      <c r="F887" s="2"/>
      <c r="G887" s="2"/>
      <c r="J887" s="2"/>
      <c r="L887" s="2"/>
      <c r="M887" s="2"/>
      <c r="N887" s="2"/>
    </row>
    <row r="888" spans="4:14" ht="12.75" x14ac:dyDescent="0.35">
      <c r="D888" s="2"/>
      <c r="E888" s="2"/>
      <c r="F888" s="2"/>
      <c r="G888" s="2"/>
      <c r="J888" s="2"/>
      <c r="L888" s="2"/>
      <c r="M888" s="2"/>
      <c r="N888" s="2"/>
    </row>
    <row r="889" spans="4:14" ht="12.75" x14ac:dyDescent="0.35">
      <c r="D889" s="2"/>
      <c r="E889" s="2"/>
      <c r="F889" s="2"/>
      <c r="G889" s="2"/>
      <c r="J889" s="2"/>
      <c r="L889" s="2"/>
      <c r="M889" s="2"/>
      <c r="N889" s="2"/>
    </row>
    <row r="890" spans="4:14" ht="12.75" x14ac:dyDescent="0.35">
      <c r="D890" s="2"/>
      <c r="E890" s="2"/>
      <c r="F890" s="2"/>
      <c r="G890" s="2"/>
      <c r="J890" s="2"/>
      <c r="L890" s="2"/>
      <c r="M890" s="2"/>
      <c r="N890" s="2"/>
    </row>
    <row r="891" spans="4:14" ht="12.75" x14ac:dyDescent="0.35">
      <c r="D891" s="2"/>
      <c r="E891" s="2"/>
      <c r="F891" s="2"/>
      <c r="G891" s="2"/>
      <c r="J891" s="2"/>
      <c r="L891" s="2"/>
      <c r="M891" s="2"/>
      <c r="N891" s="2"/>
    </row>
    <row r="892" spans="4:14" ht="12.75" x14ac:dyDescent="0.35">
      <c r="D892" s="2"/>
      <c r="E892" s="2"/>
      <c r="F892" s="2"/>
      <c r="G892" s="2"/>
      <c r="J892" s="2"/>
      <c r="L892" s="2"/>
      <c r="M892" s="2"/>
      <c r="N892" s="2"/>
    </row>
    <row r="893" spans="4:14" ht="12.75" x14ac:dyDescent="0.35">
      <c r="D893" s="2"/>
      <c r="E893" s="2"/>
      <c r="F893" s="2"/>
      <c r="G893" s="2"/>
      <c r="J893" s="2"/>
      <c r="L893" s="2"/>
      <c r="M893" s="2"/>
      <c r="N893" s="2"/>
    </row>
    <row r="894" spans="4:14" ht="12.75" x14ac:dyDescent="0.35">
      <c r="D894" s="2"/>
      <c r="E894" s="2"/>
      <c r="F894" s="2"/>
      <c r="G894" s="2"/>
      <c r="J894" s="2"/>
      <c r="L894" s="2"/>
      <c r="M894" s="2"/>
      <c r="N894" s="2"/>
    </row>
    <row r="895" spans="4:14" ht="12.75" x14ac:dyDescent="0.35">
      <c r="D895" s="2"/>
      <c r="E895" s="2"/>
      <c r="F895" s="2"/>
      <c r="G895" s="2"/>
      <c r="J895" s="2"/>
      <c r="L895" s="2"/>
      <c r="M895" s="2"/>
      <c r="N895" s="2"/>
    </row>
    <row r="896" spans="4:14" ht="12.75" x14ac:dyDescent="0.35">
      <c r="D896" s="2"/>
      <c r="E896" s="2"/>
      <c r="F896" s="2"/>
      <c r="G896" s="2"/>
      <c r="J896" s="2"/>
      <c r="L896" s="2"/>
      <c r="M896" s="2"/>
      <c r="N896" s="2"/>
    </row>
    <row r="897" spans="4:14" ht="12.75" x14ac:dyDescent="0.35">
      <c r="D897" s="2"/>
      <c r="E897" s="2"/>
      <c r="F897" s="2"/>
      <c r="G897" s="2"/>
      <c r="J897" s="2"/>
      <c r="L897" s="2"/>
      <c r="M897" s="2"/>
      <c r="N897" s="2"/>
    </row>
    <row r="898" spans="4:14" ht="12.75" x14ac:dyDescent="0.35">
      <c r="D898" s="2"/>
      <c r="E898" s="2"/>
      <c r="F898" s="2"/>
      <c r="G898" s="2"/>
      <c r="J898" s="2"/>
      <c r="L898" s="2"/>
      <c r="M898" s="2"/>
      <c r="N898" s="2"/>
    </row>
    <row r="899" spans="4:14" ht="12.75" x14ac:dyDescent="0.35">
      <c r="D899" s="2"/>
      <c r="E899" s="2"/>
      <c r="F899" s="2"/>
      <c r="G899" s="2"/>
      <c r="J899" s="2"/>
      <c r="L899" s="2"/>
      <c r="M899" s="2"/>
      <c r="N899" s="2"/>
    </row>
    <row r="900" spans="4:14" ht="12.75" x14ac:dyDescent="0.35">
      <c r="D900" s="2"/>
      <c r="E900" s="2"/>
      <c r="F900" s="2"/>
      <c r="G900" s="2"/>
      <c r="J900" s="2"/>
      <c r="L900" s="2"/>
      <c r="M900" s="2"/>
      <c r="N900" s="2"/>
    </row>
    <row r="901" spans="4:14" ht="12.75" x14ac:dyDescent="0.35">
      <c r="D901" s="2"/>
      <c r="E901" s="2"/>
      <c r="F901" s="2"/>
      <c r="G901" s="2"/>
      <c r="J901" s="2"/>
      <c r="L901" s="2"/>
      <c r="M901" s="2"/>
      <c r="N901" s="2"/>
    </row>
    <row r="902" spans="4:14" ht="12.75" x14ac:dyDescent="0.35">
      <c r="D902" s="2"/>
      <c r="E902" s="2"/>
      <c r="F902" s="2"/>
      <c r="G902" s="2"/>
      <c r="J902" s="2"/>
      <c r="L902" s="2"/>
      <c r="M902" s="2"/>
      <c r="N902" s="2"/>
    </row>
    <row r="903" spans="4:14" ht="12.75" x14ac:dyDescent="0.35">
      <c r="D903" s="2"/>
      <c r="E903" s="2"/>
      <c r="F903" s="2"/>
      <c r="G903" s="2"/>
      <c r="J903" s="2"/>
      <c r="L903" s="2"/>
      <c r="M903" s="2"/>
      <c r="N903" s="2"/>
    </row>
    <row r="904" spans="4:14" ht="12.75" x14ac:dyDescent="0.35">
      <c r="D904" s="2"/>
      <c r="E904" s="2"/>
      <c r="F904" s="2"/>
      <c r="G904" s="2"/>
      <c r="J904" s="2"/>
      <c r="L904" s="2"/>
      <c r="M904" s="2"/>
      <c r="N904" s="2"/>
    </row>
    <row r="905" spans="4:14" ht="12.75" x14ac:dyDescent="0.35">
      <c r="D905" s="2"/>
      <c r="E905" s="2"/>
      <c r="F905" s="2"/>
      <c r="G905" s="2"/>
      <c r="J905" s="2"/>
      <c r="L905" s="2"/>
      <c r="M905" s="2"/>
      <c r="N905" s="2"/>
    </row>
    <row r="906" spans="4:14" ht="12.75" x14ac:dyDescent="0.35">
      <c r="D906" s="2"/>
      <c r="E906" s="2"/>
      <c r="F906" s="2"/>
      <c r="G906" s="2"/>
      <c r="J906" s="2"/>
      <c r="L906" s="2"/>
      <c r="M906" s="2"/>
      <c r="N906" s="2"/>
    </row>
    <row r="907" spans="4:14" ht="12.75" x14ac:dyDescent="0.35">
      <c r="D907" s="2"/>
      <c r="E907" s="2"/>
      <c r="F907" s="2"/>
      <c r="G907" s="2"/>
      <c r="J907" s="2"/>
      <c r="L907" s="2"/>
      <c r="M907" s="2"/>
      <c r="N907" s="2"/>
    </row>
    <row r="908" spans="4:14" ht="12.75" x14ac:dyDescent="0.35">
      <c r="D908" s="2"/>
      <c r="E908" s="2"/>
      <c r="F908" s="2"/>
      <c r="G908" s="2"/>
      <c r="J908" s="2"/>
      <c r="L908" s="2"/>
      <c r="M908" s="2"/>
      <c r="N908" s="2"/>
    </row>
    <row r="909" spans="4:14" ht="12.75" x14ac:dyDescent="0.35">
      <c r="D909" s="2"/>
      <c r="E909" s="2"/>
      <c r="F909" s="2"/>
      <c r="G909" s="2"/>
      <c r="J909" s="2"/>
      <c r="L909" s="2"/>
      <c r="M909" s="2"/>
      <c r="N909" s="2"/>
    </row>
    <row r="910" spans="4:14" ht="12.75" x14ac:dyDescent="0.35">
      <c r="D910" s="2"/>
      <c r="E910" s="2"/>
      <c r="F910" s="2"/>
      <c r="G910" s="2"/>
      <c r="J910" s="2"/>
      <c r="L910" s="2"/>
      <c r="M910" s="2"/>
      <c r="N910" s="2"/>
    </row>
    <row r="911" spans="4:14" ht="12.75" x14ac:dyDescent="0.35">
      <c r="D911" s="2"/>
      <c r="E911" s="2"/>
      <c r="F911" s="2"/>
      <c r="G911" s="2"/>
      <c r="J911" s="2"/>
      <c r="L911" s="2"/>
      <c r="M911" s="2"/>
      <c r="N911" s="2"/>
    </row>
    <row r="912" spans="4:14" ht="12.75" x14ac:dyDescent="0.35">
      <c r="D912" s="2"/>
      <c r="E912" s="2"/>
      <c r="F912" s="2"/>
      <c r="G912" s="2"/>
      <c r="J912" s="2"/>
      <c r="L912" s="2"/>
      <c r="M912" s="2"/>
      <c r="N912" s="2"/>
    </row>
    <row r="913" spans="4:14" ht="12.75" x14ac:dyDescent="0.35">
      <c r="D913" s="2"/>
      <c r="E913" s="2"/>
      <c r="F913" s="2"/>
      <c r="G913" s="2"/>
      <c r="J913" s="2"/>
      <c r="L913" s="2"/>
      <c r="M913" s="2"/>
      <c r="N913" s="2"/>
    </row>
    <row r="914" spans="4:14" ht="12.75" x14ac:dyDescent="0.35">
      <c r="D914" s="2"/>
      <c r="E914" s="2"/>
      <c r="F914" s="2"/>
      <c r="G914" s="2"/>
      <c r="J914" s="2"/>
      <c r="L914" s="2"/>
      <c r="M914" s="2"/>
      <c r="N914" s="2"/>
    </row>
    <row r="915" spans="4:14" ht="12.75" x14ac:dyDescent="0.35">
      <c r="D915" s="2"/>
      <c r="E915" s="2"/>
      <c r="F915" s="2"/>
      <c r="G915" s="2"/>
      <c r="J915" s="2"/>
      <c r="L915" s="2"/>
      <c r="M915" s="2"/>
      <c r="N915" s="2"/>
    </row>
    <row r="916" spans="4:14" ht="12.75" x14ac:dyDescent="0.35">
      <c r="D916" s="2"/>
      <c r="E916" s="2"/>
      <c r="F916" s="2"/>
      <c r="G916" s="2"/>
      <c r="J916" s="2"/>
      <c r="L916" s="2"/>
      <c r="M916" s="2"/>
      <c r="N916" s="2"/>
    </row>
    <row r="917" spans="4:14" ht="12.75" x14ac:dyDescent="0.35">
      <c r="D917" s="2"/>
      <c r="E917" s="2"/>
      <c r="F917" s="2"/>
      <c r="G917" s="2"/>
      <c r="J917" s="2"/>
      <c r="L917" s="2"/>
      <c r="M917" s="2"/>
      <c r="N917" s="2"/>
    </row>
    <row r="918" spans="4:14" ht="12.75" x14ac:dyDescent="0.35">
      <c r="D918" s="2"/>
      <c r="E918" s="2"/>
      <c r="F918" s="2"/>
      <c r="G918" s="2"/>
      <c r="J918" s="2"/>
      <c r="L918" s="2"/>
      <c r="M918" s="2"/>
      <c r="N918" s="2"/>
    </row>
    <row r="919" spans="4:14" ht="12.75" x14ac:dyDescent="0.35">
      <c r="D919" s="2"/>
      <c r="E919" s="2"/>
      <c r="F919" s="2"/>
      <c r="G919" s="2"/>
      <c r="J919" s="2"/>
      <c r="L919" s="2"/>
      <c r="M919" s="2"/>
      <c r="N919" s="2"/>
    </row>
    <row r="920" spans="4:14" ht="12.75" x14ac:dyDescent="0.35">
      <c r="D920" s="2"/>
      <c r="E920" s="2"/>
      <c r="F920" s="2"/>
      <c r="G920" s="2"/>
      <c r="J920" s="2"/>
      <c r="L920" s="2"/>
      <c r="M920" s="2"/>
      <c r="N920" s="2"/>
    </row>
    <row r="921" spans="4:14" ht="12.75" x14ac:dyDescent="0.35">
      <c r="D921" s="2"/>
      <c r="E921" s="2"/>
      <c r="F921" s="2"/>
      <c r="G921" s="2"/>
      <c r="J921" s="2"/>
      <c r="L921" s="2"/>
      <c r="M921" s="2"/>
      <c r="N921" s="2"/>
    </row>
    <row r="922" spans="4:14" ht="12.75" x14ac:dyDescent="0.35">
      <c r="D922" s="2"/>
      <c r="E922" s="2"/>
      <c r="F922" s="2"/>
      <c r="G922" s="2"/>
      <c r="J922" s="2"/>
      <c r="L922" s="2"/>
      <c r="M922" s="2"/>
      <c r="N922" s="2"/>
    </row>
    <row r="923" spans="4:14" ht="12.75" x14ac:dyDescent="0.35">
      <c r="D923" s="2"/>
      <c r="E923" s="2"/>
      <c r="F923" s="2"/>
      <c r="G923" s="2"/>
      <c r="J923" s="2"/>
      <c r="L923" s="2"/>
      <c r="M923" s="2"/>
      <c r="N923" s="2"/>
    </row>
    <row r="924" spans="4:14" ht="12.75" x14ac:dyDescent="0.35">
      <c r="D924" s="2"/>
      <c r="E924" s="2"/>
      <c r="F924" s="2"/>
      <c r="G924" s="2"/>
      <c r="J924" s="2"/>
      <c r="L924" s="2"/>
      <c r="M924" s="2"/>
      <c r="N924" s="2"/>
    </row>
    <row r="925" spans="4:14" ht="12.75" x14ac:dyDescent="0.35">
      <c r="D925" s="2"/>
      <c r="E925" s="2"/>
      <c r="F925" s="2"/>
      <c r="G925" s="2"/>
      <c r="J925" s="2"/>
      <c r="L925" s="2"/>
      <c r="M925" s="2"/>
      <c r="N925" s="2"/>
    </row>
    <row r="926" spans="4:14" ht="12.75" x14ac:dyDescent="0.35">
      <c r="D926" s="2"/>
      <c r="E926" s="2"/>
      <c r="F926" s="2"/>
      <c r="G926" s="2"/>
      <c r="J926" s="2"/>
      <c r="L926" s="2"/>
      <c r="M926" s="2"/>
      <c r="N926" s="2"/>
    </row>
    <row r="927" spans="4:14" ht="12.75" x14ac:dyDescent="0.35">
      <c r="D927" s="2"/>
      <c r="E927" s="2"/>
      <c r="F927" s="2"/>
      <c r="G927" s="2"/>
      <c r="J927" s="2"/>
      <c r="L927" s="2"/>
      <c r="M927" s="2"/>
      <c r="N927" s="2"/>
    </row>
    <row r="928" spans="4:14" ht="12.75" x14ac:dyDescent="0.35">
      <c r="D928" s="2"/>
      <c r="E928" s="2"/>
      <c r="F928" s="2"/>
      <c r="G928" s="2"/>
      <c r="J928" s="2"/>
      <c r="L928" s="2"/>
      <c r="M928" s="2"/>
      <c r="N928" s="2"/>
    </row>
    <row r="929" spans="4:14" ht="12.75" x14ac:dyDescent="0.35">
      <c r="D929" s="2"/>
      <c r="E929" s="2"/>
      <c r="F929" s="2"/>
      <c r="G929" s="2"/>
      <c r="J929" s="2"/>
      <c r="L929" s="2"/>
      <c r="M929" s="2"/>
      <c r="N929" s="2"/>
    </row>
    <row r="930" spans="4:14" ht="12.75" x14ac:dyDescent="0.35">
      <c r="D930" s="2"/>
      <c r="E930" s="2"/>
      <c r="F930" s="2"/>
      <c r="G930" s="2"/>
      <c r="J930" s="2"/>
      <c r="L930" s="2"/>
      <c r="M930" s="2"/>
      <c r="N930" s="2"/>
    </row>
    <row r="931" spans="4:14" ht="12.75" x14ac:dyDescent="0.35">
      <c r="D931" s="2"/>
      <c r="E931" s="2"/>
      <c r="F931" s="2"/>
      <c r="G931" s="2"/>
      <c r="J931" s="2"/>
      <c r="L931" s="2"/>
      <c r="M931" s="2"/>
      <c r="N931" s="2"/>
    </row>
    <row r="932" spans="4:14" ht="12.75" x14ac:dyDescent="0.35">
      <c r="D932" s="2"/>
      <c r="E932" s="2"/>
      <c r="F932" s="2"/>
      <c r="G932" s="2"/>
      <c r="J932" s="2"/>
      <c r="L932" s="2"/>
      <c r="M932" s="2"/>
      <c r="N932" s="2"/>
    </row>
    <row r="933" spans="4:14" ht="12.75" x14ac:dyDescent="0.35">
      <c r="D933" s="2"/>
      <c r="E933" s="2"/>
      <c r="F933" s="2"/>
      <c r="G933" s="2"/>
      <c r="J933" s="2"/>
      <c r="L933" s="2"/>
      <c r="M933" s="2"/>
      <c r="N933" s="2"/>
    </row>
    <row r="934" spans="4:14" ht="12.75" x14ac:dyDescent="0.35">
      <c r="D934" s="2"/>
      <c r="E934" s="2"/>
      <c r="F934" s="2"/>
      <c r="G934" s="2"/>
      <c r="J934" s="2"/>
      <c r="L934" s="2"/>
      <c r="M934" s="2"/>
      <c r="N934" s="2"/>
    </row>
    <row r="935" spans="4:14" ht="12.75" x14ac:dyDescent="0.35">
      <c r="D935" s="2"/>
      <c r="E935" s="2"/>
      <c r="F935" s="2"/>
      <c r="G935" s="2"/>
      <c r="J935" s="2"/>
      <c r="L935" s="2"/>
      <c r="M935" s="2"/>
      <c r="N935" s="2"/>
    </row>
    <row r="936" spans="4:14" ht="12.75" x14ac:dyDescent="0.35">
      <c r="D936" s="2"/>
      <c r="E936" s="2"/>
      <c r="F936" s="2"/>
      <c r="G936" s="2"/>
      <c r="J936" s="2"/>
      <c r="L936" s="2"/>
      <c r="M936" s="2"/>
      <c r="N936" s="2"/>
    </row>
    <row r="937" spans="4:14" ht="12.75" x14ac:dyDescent="0.35">
      <c r="D937" s="2"/>
      <c r="E937" s="2"/>
      <c r="F937" s="2"/>
      <c r="G937" s="2"/>
      <c r="J937" s="2"/>
      <c r="L937" s="2"/>
      <c r="M937" s="2"/>
      <c r="N937" s="2"/>
    </row>
    <row r="938" spans="4:14" ht="12.75" x14ac:dyDescent="0.35">
      <c r="D938" s="2"/>
      <c r="E938" s="2"/>
      <c r="F938" s="2"/>
      <c r="G938" s="2"/>
      <c r="J938" s="2"/>
      <c r="L938" s="2"/>
      <c r="M938" s="2"/>
      <c r="N938" s="2"/>
    </row>
    <row r="939" spans="4:14" ht="12.75" x14ac:dyDescent="0.35">
      <c r="D939" s="2"/>
      <c r="E939" s="2"/>
      <c r="F939" s="2"/>
      <c r="G939" s="2"/>
      <c r="J939" s="2"/>
      <c r="L939" s="2"/>
      <c r="M939" s="2"/>
      <c r="N939" s="2"/>
    </row>
    <row r="940" spans="4:14" ht="12.75" x14ac:dyDescent="0.35">
      <c r="D940" s="2"/>
      <c r="E940" s="2"/>
      <c r="F940" s="2"/>
      <c r="G940" s="2"/>
      <c r="J940" s="2"/>
      <c r="L940" s="2"/>
      <c r="M940" s="2"/>
      <c r="N940" s="2"/>
    </row>
    <row r="941" spans="4:14" ht="12.75" x14ac:dyDescent="0.35">
      <c r="D941" s="2"/>
      <c r="E941" s="2"/>
      <c r="F941" s="2"/>
      <c r="G941" s="2"/>
      <c r="J941" s="2"/>
      <c r="L941" s="2"/>
      <c r="M941" s="2"/>
      <c r="N941" s="2"/>
    </row>
    <row r="942" spans="4:14" ht="12.75" x14ac:dyDescent="0.35">
      <c r="D942" s="2"/>
      <c r="E942" s="2"/>
      <c r="F942" s="2"/>
      <c r="G942" s="2"/>
      <c r="J942" s="2"/>
      <c r="L942" s="2"/>
      <c r="M942" s="2"/>
      <c r="N942" s="2"/>
    </row>
    <row r="943" spans="4:14" ht="12.75" x14ac:dyDescent="0.35">
      <c r="D943" s="2"/>
      <c r="E943" s="2"/>
      <c r="F943" s="2"/>
      <c r="G943" s="2"/>
      <c r="J943" s="2"/>
      <c r="L943" s="2"/>
      <c r="M943" s="2"/>
      <c r="N943" s="2"/>
    </row>
    <row r="944" spans="4:14" ht="12.75" x14ac:dyDescent="0.35">
      <c r="D944" s="2"/>
      <c r="E944" s="2"/>
      <c r="F944" s="2"/>
      <c r="G944" s="2"/>
      <c r="J944" s="2"/>
      <c r="L944" s="2"/>
      <c r="M944" s="2"/>
      <c r="N944" s="2"/>
    </row>
    <row r="945" spans="4:14" ht="12.75" x14ac:dyDescent="0.35">
      <c r="D945" s="2"/>
      <c r="E945" s="2"/>
      <c r="F945" s="2"/>
      <c r="G945" s="2"/>
      <c r="J945" s="2"/>
      <c r="L945" s="2"/>
      <c r="M945" s="2"/>
      <c r="N945" s="2"/>
    </row>
    <row r="946" spans="4:14" ht="12.75" x14ac:dyDescent="0.35">
      <c r="D946" s="2"/>
      <c r="E946" s="2"/>
      <c r="F946" s="2"/>
      <c r="G946" s="2"/>
      <c r="J946" s="2"/>
      <c r="L946" s="2"/>
      <c r="M946" s="2"/>
      <c r="N946" s="2"/>
    </row>
    <row r="947" spans="4:14" ht="12.75" x14ac:dyDescent="0.35">
      <c r="D947" s="2"/>
      <c r="E947" s="2"/>
      <c r="F947" s="2"/>
      <c r="G947" s="2"/>
      <c r="J947" s="2"/>
      <c r="L947" s="2"/>
      <c r="M947" s="2"/>
      <c r="N947" s="2"/>
    </row>
    <row r="948" spans="4:14" ht="12.75" x14ac:dyDescent="0.35">
      <c r="D948" s="2"/>
      <c r="E948" s="2"/>
      <c r="F948" s="2"/>
      <c r="G948" s="2"/>
      <c r="J948" s="2"/>
      <c r="L948" s="2"/>
      <c r="M948" s="2"/>
      <c r="N948" s="2"/>
    </row>
    <row r="949" spans="4:14" ht="12.75" x14ac:dyDescent="0.35">
      <c r="D949" s="2"/>
      <c r="E949" s="2"/>
      <c r="F949" s="2"/>
      <c r="G949" s="2"/>
      <c r="J949" s="2"/>
      <c r="L949" s="2"/>
      <c r="M949" s="2"/>
      <c r="N949" s="2"/>
    </row>
    <row r="950" spans="4:14" ht="12.75" x14ac:dyDescent="0.35">
      <c r="D950" s="2"/>
      <c r="E950" s="2"/>
      <c r="F950" s="2"/>
      <c r="G950" s="2"/>
      <c r="J950" s="2"/>
      <c r="L950" s="2"/>
      <c r="M950" s="2"/>
      <c r="N950" s="2"/>
    </row>
    <row r="951" spans="4:14" ht="12.75" x14ac:dyDescent="0.35">
      <c r="D951" s="2"/>
      <c r="E951" s="2"/>
      <c r="F951" s="2"/>
      <c r="G951" s="2"/>
      <c r="J951" s="2"/>
      <c r="L951" s="2"/>
      <c r="M951" s="2"/>
      <c r="N951" s="2"/>
    </row>
    <row r="952" spans="4:14" ht="12.75" x14ac:dyDescent="0.35">
      <c r="D952" s="2"/>
      <c r="E952" s="2"/>
      <c r="F952" s="2"/>
      <c r="G952" s="2"/>
      <c r="J952" s="2"/>
      <c r="L952" s="2"/>
      <c r="M952" s="2"/>
      <c r="N952" s="2"/>
    </row>
    <row r="953" spans="4:14" ht="12.75" x14ac:dyDescent="0.35">
      <c r="D953" s="2"/>
      <c r="E953" s="2"/>
      <c r="F953" s="2"/>
      <c r="G953" s="2"/>
      <c r="J953" s="2"/>
      <c r="L953" s="2"/>
      <c r="M953" s="2"/>
      <c r="N953" s="2"/>
    </row>
    <row r="954" spans="4:14" ht="12.75" x14ac:dyDescent="0.35">
      <c r="D954" s="2"/>
      <c r="E954" s="2"/>
      <c r="F954" s="2"/>
      <c r="G954" s="2"/>
      <c r="J954" s="2"/>
      <c r="L954" s="2"/>
      <c r="M954" s="2"/>
      <c r="N954" s="2"/>
    </row>
    <row r="955" spans="4:14" ht="12.75" x14ac:dyDescent="0.35">
      <c r="D955" s="2"/>
      <c r="E955" s="2"/>
      <c r="F955" s="2"/>
      <c r="G955" s="2"/>
      <c r="J955" s="2"/>
      <c r="L955" s="2"/>
      <c r="M955" s="2"/>
      <c r="N955" s="2"/>
    </row>
    <row r="956" spans="4:14" ht="12.75" x14ac:dyDescent="0.35">
      <c r="D956" s="2"/>
      <c r="E956" s="2"/>
      <c r="F956" s="2"/>
      <c r="G956" s="2"/>
      <c r="J956" s="2"/>
      <c r="L956" s="2"/>
      <c r="M956" s="2"/>
      <c r="N956" s="2"/>
    </row>
    <row r="957" spans="4:14" ht="12.75" x14ac:dyDescent="0.35">
      <c r="D957" s="2"/>
      <c r="E957" s="2"/>
      <c r="F957" s="2"/>
      <c r="G957" s="2"/>
      <c r="J957" s="2"/>
      <c r="L957" s="2"/>
      <c r="M957" s="2"/>
      <c r="N957" s="2"/>
    </row>
    <row r="958" spans="4:14" ht="12.75" x14ac:dyDescent="0.35">
      <c r="D958" s="2"/>
      <c r="E958" s="2"/>
      <c r="F958" s="2"/>
      <c r="G958" s="2"/>
      <c r="J958" s="2"/>
      <c r="L958" s="2"/>
      <c r="M958" s="2"/>
      <c r="N958" s="2"/>
    </row>
    <row r="959" spans="4:14" ht="12.75" x14ac:dyDescent="0.35">
      <c r="D959" s="2"/>
      <c r="E959" s="2"/>
      <c r="F959" s="2"/>
      <c r="G959" s="2"/>
      <c r="J959" s="2"/>
      <c r="L959" s="2"/>
      <c r="M959" s="2"/>
      <c r="N959" s="2"/>
    </row>
    <row r="960" spans="4:14" ht="12.75" x14ac:dyDescent="0.35">
      <c r="D960" s="2"/>
      <c r="E960" s="2"/>
      <c r="F960" s="2"/>
      <c r="G960" s="2"/>
      <c r="J960" s="2"/>
      <c r="L960" s="2"/>
      <c r="M960" s="2"/>
      <c r="N960" s="2"/>
    </row>
    <row r="961" spans="4:14" ht="12.75" x14ac:dyDescent="0.35">
      <c r="D961" s="2"/>
      <c r="E961" s="2"/>
      <c r="F961" s="2"/>
      <c r="G961" s="2"/>
      <c r="J961" s="2"/>
      <c r="L961" s="2"/>
      <c r="M961" s="2"/>
      <c r="N961" s="2"/>
    </row>
    <row r="962" spans="4:14" ht="12.75" x14ac:dyDescent="0.35">
      <c r="D962" s="2"/>
      <c r="E962" s="2"/>
      <c r="F962" s="2"/>
      <c r="G962" s="2"/>
      <c r="J962" s="2"/>
      <c r="L962" s="2"/>
      <c r="M962" s="2"/>
      <c r="N962" s="2"/>
    </row>
    <row r="963" spans="4:14" ht="12.75" x14ac:dyDescent="0.35">
      <c r="D963" s="2"/>
      <c r="E963" s="2"/>
      <c r="F963" s="2"/>
      <c r="G963" s="2"/>
      <c r="J963" s="2"/>
      <c r="L963" s="2"/>
      <c r="M963" s="2"/>
      <c r="N963" s="2"/>
    </row>
    <row r="964" spans="4:14" ht="12.75" x14ac:dyDescent="0.35">
      <c r="D964" s="2"/>
      <c r="E964" s="2"/>
      <c r="F964" s="2"/>
      <c r="G964" s="2"/>
      <c r="J964" s="2"/>
      <c r="L964" s="2"/>
      <c r="M964" s="2"/>
      <c r="N964" s="2"/>
    </row>
    <row r="965" spans="4:14" ht="12.75" x14ac:dyDescent="0.35">
      <c r="D965" s="2"/>
      <c r="E965" s="2"/>
      <c r="F965" s="2"/>
      <c r="G965" s="2"/>
      <c r="J965" s="2"/>
      <c r="L965" s="2"/>
      <c r="M965" s="2"/>
      <c r="N965" s="2"/>
    </row>
    <row r="966" spans="4:14" ht="12.75" x14ac:dyDescent="0.35">
      <c r="D966" s="2"/>
      <c r="E966" s="2"/>
      <c r="F966" s="2"/>
      <c r="G966" s="2"/>
      <c r="J966" s="2"/>
      <c r="L966" s="2"/>
      <c r="M966" s="2"/>
      <c r="N966" s="2"/>
    </row>
    <row r="967" spans="4:14" ht="12.75" x14ac:dyDescent="0.35">
      <c r="D967" s="2"/>
      <c r="E967" s="2"/>
      <c r="F967" s="2"/>
      <c r="G967" s="2"/>
      <c r="J967" s="2"/>
      <c r="L967" s="2"/>
      <c r="M967" s="2"/>
      <c r="N967" s="2"/>
    </row>
    <row r="968" spans="4:14" ht="12.75" x14ac:dyDescent="0.35">
      <c r="D968" s="2"/>
      <c r="E968" s="2"/>
      <c r="F968" s="2"/>
      <c r="G968" s="2"/>
      <c r="J968" s="2"/>
      <c r="L968" s="2"/>
      <c r="M968" s="2"/>
      <c r="N968" s="2"/>
    </row>
    <row r="969" spans="4:14" ht="12.75" x14ac:dyDescent="0.35">
      <c r="D969" s="2"/>
      <c r="E969" s="2"/>
      <c r="F969" s="2"/>
      <c r="G969" s="2"/>
      <c r="J969" s="2"/>
      <c r="L969" s="2"/>
      <c r="M969" s="2"/>
      <c r="N969" s="2"/>
    </row>
    <row r="970" spans="4:14" ht="12.75" x14ac:dyDescent="0.35">
      <c r="D970" s="2"/>
      <c r="E970" s="2"/>
      <c r="F970" s="2"/>
      <c r="G970" s="2"/>
      <c r="J970" s="2"/>
      <c r="L970" s="2"/>
      <c r="M970" s="2"/>
      <c r="N970" s="2"/>
    </row>
    <row r="971" spans="4:14" ht="12.75" x14ac:dyDescent="0.35">
      <c r="D971" s="2"/>
      <c r="E971" s="2"/>
      <c r="F971" s="2"/>
      <c r="G971" s="2"/>
      <c r="J971" s="2"/>
      <c r="L971" s="2"/>
      <c r="M971" s="2"/>
      <c r="N971" s="2"/>
    </row>
    <row r="972" spans="4:14" ht="12.75" x14ac:dyDescent="0.35">
      <c r="D972" s="2"/>
      <c r="E972" s="2"/>
      <c r="F972" s="2"/>
      <c r="G972" s="2"/>
      <c r="J972" s="2"/>
      <c r="L972" s="2"/>
      <c r="M972" s="2"/>
      <c r="N972" s="2"/>
    </row>
    <row r="973" spans="4:14" ht="12.75" x14ac:dyDescent="0.35">
      <c r="D973" s="2"/>
      <c r="E973" s="2"/>
      <c r="F973" s="2"/>
      <c r="G973" s="2"/>
      <c r="J973" s="2"/>
      <c r="L973" s="2"/>
      <c r="M973" s="2"/>
      <c r="N973" s="2"/>
    </row>
    <row r="974" spans="4:14" ht="12.75" x14ac:dyDescent="0.35">
      <c r="D974" s="2"/>
      <c r="E974" s="2"/>
      <c r="F974" s="2"/>
      <c r="G974" s="2"/>
      <c r="J974" s="2"/>
      <c r="L974" s="2"/>
      <c r="M974" s="2"/>
      <c r="N974" s="2"/>
    </row>
    <row r="975" spans="4:14" ht="12.75" x14ac:dyDescent="0.35">
      <c r="D975" s="2"/>
      <c r="E975" s="2"/>
      <c r="F975" s="2"/>
      <c r="G975" s="2"/>
      <c r="J975" s="2"/>
      <c r="L975" s="2"/>
      <c r="M975" s="2"/>
      <c r="N975" s="2"/>
    </row>
    <row r="976" spans="4:14" ht="12.75" x14ac:dyDescent="0.35">
      <c r="D976" s="2"/>
      <c r="E976" s="2"/>
      <c r="F976" s="2"/>
      <c r="G976" s="2"/>
      <c r="J976" s="2"/>
      <c r="L976" s="2"/>
      <c r="M976" s="2"/>
      <c r="N976" s="2"/>
    </row>
    <row r="977" spans="4:14" ht="12.75" x14ac:dyDescent="0.35">
      <c r="D977" s="2"/>
      <c r="E977" s="2"/>
      <c r="F977" s="2"/>
      <c r="G977" s="2"/>
      <c r="J977" s="2"/>
      <c r="L977" s="2"/>
      <c r="M977" s="2"/>
      <c r="N977" s="2"/>
    </row>
    <row r="978" spans="4:14" ht="12.75" x14ac:dyDescent="0.35">
      <c r="D978" s="2"/>
      <c r="E978" s="2"/>
      <c r="F978" s="2"/>
      <c r="G978" s="2"/>
      <c r="J978" s="2"/>
      <c r="L978" s="2"/>
      <c r="M978" s="2"/>
      <c r="N978" s="2"/>
    </row>
    <row r="979" spans="4:14" ht="12.75" x14ac:dyDescent="0.35">
      <c r="D979" s="2"/>
      <c r="E979" s="2"/>
      <c r="F979" s="2"/>
      <c r="G979" s="2"/>
      <c r="J979" s="2"/>
      <c r="L979" s="2"/>
      <c r="M979" s="2"/>
      <c r="N979" s="2"/>
    </row>
    <row r="980" spans="4:14" ht="12.75" x14ac:dyDescent="0.35">
      <c r="D980" s="2"/>
      <c r="E980" s="2"/>
      <c r="F980" s="2"/>
      <c r="G980" s="2"/>
      <c r="J980" s="2"/>
      <c r="L980" s="2"/>
      <c r="M980" s="2"/>
      <c r="N980" s="2"/>
    </row>
    <row r="981" spans="4:14" ht="12.75" x14ac:dyDescent="0.35">
      <c r="D981" s="2"/>
      <c r="E981" s="2"/>
      <c r="F981" s="2"/>
      <c r="G981" s="2"/>
      <c r="J981" s="2"/>
      <c r="L981" s="2"/>
      <c r="M981" s="2"/>
      <c r="N981" s="2"/>
    </row>
    <row r="982" spans="4:14" ht="12.75" x14ac:dyDescent="0.35">
      <c r="D982" s="2"/>
      <c r="E982" s="2"/>
      <c r="F982" s="2"/>
      <c r="G982" s="2"/>
      <c r="J982" s="2"/>
      <c r="L982" s="2"/>
      <c r="M982" s="2"/>
      <c r="N982" s="2"/>
    </row>
    <row r="983" spans="4:14" ht="12.75" x14ac:dyDescent="0.35">
      <c r="D983" s="2"/>
      <c r="E983" s="2"/>
      <c r="F983" s="2"/>
      <c r="G983" s="2"/>
      <c r="J983" s="2"/>
      <c r="L983" s="2"/>
      <c r="M983" s="2"/>
      <c r="N983" s="2"/>
    </row>
    <row r="984" spans="4:14" ht="12.75" x14ac:dyDescent="0.35">
      <c r="D984" s="2"/>
      <c r="E984" s="2"/>
      <c r="F984" s="2"/>
      <c r="G984" s="2"/>
      <c r="J984" s="2"/>
      <c r="L984" s="2"/>
      <c r="M984" s="2"/>
      <c r="N984" s="2"/>
    </row>
    <row r="985" spans="4:14" ht="12.75" x14ac:dyDescent="0.35">
      <c r="D985" s="2"/>
      <c r="E985" s="2"/>
      <c r="F985" s="2"/>
      <c r="G985" s="2"/>
      <c r="J985" s="2"/>
      <c r="L985" s="2"/>
      <c r="M985" s="2"/>
      <c r="N985" s="2"/>
    </row>
    <row r="986" spans="4:14" ht="12.75" x14ac:dyDescent="0.35">
      <c r="D986" s="2"/>
      <c r="E986" s="2"/>
      <c r="F986" s="2"/>
      <c r="G986" s="2"/>
      <c r="J986" s="2"/>
      <c r="L986" s="2"/>
      <c r="M986" s="2"/>
      <c r="N986" s="2"/>
    </row>
    <row r="987" spans="4:14" ht="12.75" x14ac:dyDescent="0.35">
      <c r="D987" s="2"/>
      <c r="E987" s="2"/>
      <c r="F987" s="2"/>
      <c r="G987" s="2"/>
      <c r="J987" s="2"/>
      <c r="L987" s="2"/>
      <c r="M987" s="2"/>
      <c r="N987" s="2"/>
    </row>
    <row r="988" spans="4:14" ht="12.75" x14ac:dyDescent="0.35">
      <c r="D988" s="2"/>
      <c r="E988" s="2"/>
      <c r="F988" s="2"/>
      <c r="G988" s="2"/>
      <c r="J988" s="2"/>
      <c r="L988" s="2"/>
      <c r="M988" s="2"/>
      <c r="N988" s="2"/>
    </row>
    <row r="989" spans="4:14" ht="12.75" x14ac:dyDescent="0.35">
      <c r="D989" s="2"/>
      <c r="E989" s="2"/>
      <c r="F989" s="2"/>
      <c r="G989" s="2"/>
      <c r="J989" s="2"/>
      <c r="L989" s="2"/>
      <c r="M989" s="2"/>
      <c r="N989" s="2"/>
    </row>
    <row r="990" spans="4:14" ht="12.75" x14ac:dyDescent="0.35">
      <c r="D990" s="2"/>
      <c r="E990" s="2"/>
      <c r="F990" s="2"/>
      <c r="G990" s="2"/>
      <c r="J990" s="2"/>
      <c r="L990" s="2"/>
      <c r="M990" s="2"/>
      <c r="N990" s="2"/>
    </row>
    <row r="991" spans="4:14" ht="12.75" x14ac:dyDescent="0.35">
      <c r="D991" s="2"/>
      <c r="E991" s="2"/>
      <c r="F991" s="2"/>
      <c r="G991" s="2"/>
      <c r="J991" s="2"/>
      <c r="L991" s="2"/>
      <c r="M991" s="2"/>
      <c r="N991" s="2"/>
    </row>
    <row r="992" spans="4:14" ht="12.75" x14ac:dyDescent="0.35">
      <c r="D992" s="2"/>
      <c r="E992" s="2"/>
      <c r="F992" s="2"/>
      <c r="G992" s="2"/>
      <c r="J992" s="2"/>
      <c r="L992" s="2"/>
      <c r="M992" s="2"/>
      <c r="N992" s="2"/>
    </row>
    <row r="993" spans="4:14" ht="12.75" x14ac:dyDescent="0.35">
      <c r="D993" s="2"/>
      <c r="E993" s="2"/>
      <c r="F993" s="2"/>
      <c r="G993" s="2"/>
      <c r="J993" s="2"/>
      <c r="L993" s="2"/>
      <c r="M993" s="2"/>
      <c r="N993" s="2"/>
    </row>
    <row r="994" spans="4:14" ht="12.75" x14ac:dyDescent="0.35">
      <c r="D994" s="2"/>
      <c r="E994" s="2"/>
      <c r="F994" s="2"/>
      <c r="G994" s="2"/>
      <c r="J994" s="2"/>
      <c r="L994" s="2"/>
      <c r="M994" s="2"/>
      <c r="N994" s="2"/>
    </row>
    <row r="995" spans="4:14" ht="12.75" x14ac:dyDescent="0.35">
      <c r="D995" s="2"/>
      <c r="E995" s="2"/>
      <c r="F995" s="2"/>
      <c r="G995" s="2"/>
      <c r="J995" s="2"/>
      <c r="L995" s="2"/>
      <c r="M995" s="2"/>
      <c r="N995" s="2"/>
    </row>
    <row r="996" spans="4:14" ht="12.75" x14ac:dyDescent="0.35">
      <c r="D996" s="2"/>
      <c r="E996" s="2"/>
      <c r="F996" s="2"/>
      <c r="G996" s="2"/>
      <c r="J996" s="2"/>
      <c r="L996" s="2"/>
      <c r="M996" s="2"/>
      <c r="N996" s="2"/>
    </row>
    <row r="997" spans="4:14" ht="12.75" x14ac:dyDescent="0.35">
      <c r="D997" s="2"/>
      <c r="E997" s="2"/>
      <c r="F997" s="2"/>
      <c r="G997" s="2"/>
      <c r="J997" s="2"/>
      <c r="L997" s="2"/>
      <c r="M997" s="2"/>
      <c r="N997" s="2"/>
    </row>
    <row r="998" spans="4:14" ht="12.75" x14ac:dyDescent="0.35">
      <c r="D998" s="2"/>
      <c r="E998" s="2"/>
      <c r="F998" s="2"/>
      <c r="G998" s="2"/>
      <c r="J998" s="2"/>
      <c r="L998" s="2"/>
      <c r="M998" s="2"/>
      <c r="N998" s="2"/>
    </row>
    <row r="999" spans="4:14" ht="12.75" x14ac:dyDescent="0.35">
      <c r="D999" s="2"/>
      <c r="E999" s="2"/>
      <c r="F999" s="2"/>
      <c r="G999" s="2"/>
      <c r="J999" s="2"/>
      <c r="L999" s="2"/>
      <c r="M999" s="2"/>
      <c r="N999" s="2"/>
    </row>
    <row r="1000" spans="4:14" ht="12.75" x14ac:dyDescent="0.35">
      <c r="D1000" s="2"/>
      <c r="E1000" s="2"/>
      <c r="F1000" s="2"/>
      <c r="G1000" s="2"/>
      <c r="J1000" s="2"/>
      <c r="L1000" s="2"/>
      <c r="M1000" s="2"/>
      <c r="N1000" s="2"/>
    </row>
    <row r="1001" spans="4:14" ht="12.75" x14ac:dyDescent="0.35">
      <c r="D1001" s="2"/>
      <c r="E1001" s="2"/>
      <c r="F1001" s="2"/>
      <c r="G1001" s="2"/>
      <c r="J1001" s="2"/>
      <c r="L1001" s="2"/>
      <c r="M1001" s="2"/>
      <c r="N1001" s="2"/>
    </row>
    <row r="1002" spans="4:14" ht="12.75" x14ac:dyDescent="0.35">
      <c r="D1002" s="2"/>
      <c r="E1002" s="2"/>
      <c r="F1002" s="2"/>
      <c r="G1002" s="2"/>
      <c r="J1002" s="2"/>
      <c r="L1002" s="2"/>
      <c r="M1002" s="2"/>
      <c r="N1002" s="2"/>
    </row>
    <row r="1003" spans="4:14" ht="12.75" x14ac:dyDescent="0.35">
      <c r="D1003" s="2"/>
      <c r="E1003" s="2"/>
      <c r="F1003" s="2"/>
      <c r="G1003" s="2"/>
      <c r="J1003" s="2"/>
      <c r="L1003" s="2"/>
      <c r="M1003" s="2"/>
      <c r="N1003" s="2"/>
    </row>
    <row r="1004" spans="4:14" ht="12.75" x14ac:dyDescent="0.35">
      <c r="D1004" s="2"/>
      <c r="E1004" s="2"/>
      <c r="F1004" s="2"/>
      <c r="G1004" s="2"/>
      <c r="J1004" s="2"/>
      <c r="L1004" s="2"/>
      <c r="M1004" s="2"/>
      <c r="N1004" s="2"/>
    </row>
    <row r="1005" spans="4:14" ht="12.75" x14ac:dyDescent="0.35">
      <c r="D1005" s="2"/>
      <c r="E1005" s="2"/>
      <c r="F1005" s="2"/>
      <c r="G1005" s="2"/>
      <c r="J1005" s="2"/>
      <c r="L1005" s="2"/>
      <c r="M1005" s="2"/>
      <c r="N1005" s="2"/>
    </row>
    <row r="1006" spans="4:14" ht="12.75" x14ac:dyDescent="0.35">
      <c r="D1006" s="2"/>
      <c r="E1006" s="2"/>
      <c r="F1006" s="2"/>
      <c r="G1006" s="2"/>
      <c r="J1006" s="2"/>
      <c r="L1006" s="2"/>
      <c r="M1006" s="2"/>
      <c r="N1006" s="2"/>
    </row>
    <row r="1007" spans="4:14" ht="12.75" x14ac:dyDescent="0.35">
      <c r="D1007" s="2"/>
      <c r="E1007" s="2"/>
      <c r="F1007" s="2"/>
      <c r="G1007" s="2"/>
      <c r="J1007" s="2"/>
      <c r="L1007" s="2"/>
      <c r="M1007" s="2"/>
      <c r="N1007" s="2"/>
    </row>
    <row r="1008" spans="4:14" ht="12.75" x14ac:dyDescent="0.35">
      <c r="D1008" s="2"/>
      <c r="E1008" s="2"/>
      <c r="F1008" s="2"/>
      <c r="G1008" s="2"/>
      <c r="J1008" s="2"/>
      <c r="L1008" s="2"/>
      <c r="M1008" s="2"/>
      <c r="N1008" s="2"/>
    </row>
    <row r="1009" spans="4:14" ht="12.75" x14ac:dyDescent="0.35">
      <c r="D1009" s="2"/>
      <c r="E1009" s="2"/>
      <c r="F1009" s="2"/>
      <c r="G1009" s="2"/>
      <c r="J1009" s="2"/>
      <c r="L1009" s="2"/>
      <c r="M1009" s="2"/>
      <c r="N1009" s="2"/>
    </row>
    <row r="1010" spans="4:14" ht="12.75" x14ac:dyDescent="0.35">
      <c r="D1010" s="2"/>
      <c r="E1010" s="2"/>
      <c r="F1010" s="2"/>
      <c r="G1010" s="2"/>
      <c r="J1010" s="2"/>
      <c r="L1010" s="2"/>
      <c r="M1010" s="2"/>
      <c r="N1010" s="2"/>
    </row>
    <row r="1011" spans="4:14" ht="12.75" x14ac:dyDescent="0.35">
      <c r="D1011" s="2"/>
      <c r="E1011" s="2"/>
      <c r="F1011" s="2"/>
      <c r="G1011" s="2"/>
      <c r="J1011" s="2"/>
      <c r="L1011" s="2"/>
      <c r="M1011" s="2"/>
      <c r="N1011" s="2"/>
    </row>
    <row r="1012" spans="4:14" ht="12.75" x14ac:dyDescent="0.35">
      <c r="D1012" s="2"/>
      <c r="E1012" s="2"/>
      <c r="F1012" s="2"/>
      <c r="G1012" s="2"/>
      <c r="J1012" s="2"/>
      <c r="L1012" s="2"/>
      <c r="M1012" s="2"/>
      <c r="N1012" s="2"/>
    </row>
    <row r="1013" spans="4:14" ht="12.75" x14ac:dyDescent="0.35">
      <c r="D1013" s="2"/>
      <c r="E1013" s="2"/>
      <c r="F1013" s="2"/>
      <c r="G1013" s="2"/>
      <c r="J1013" s="2"/>
      <c r="L1013" s="2"/>
      <c r="M1013" s="2"/>
      <c r="N1013" s="2"/>
    </row>
    <row r="1014" spans="4:14" ht="12.75" x14ac:dyDescent="0.35">
      <c r="D1014" s="2"/>
      <c r="E1014" s="2"/>
      <c r="F1014" s="2"/>
      <c r="G1014" s="2"/>
      <c r="J1014" s="2"/>
      <c r="L1014" s="2"/>
      <c r="M1014" s="2"/>
      <c r="N1014" s="2"/>
    </row>
    <row r="1015" spans="4:14" ht="12.75" x14ac:dyDescent="0.35">
      <c r="D1015" s="2"/>
      <c r="E1015" s="2"/>
      <c r="F1015" s="2"/>
      <c r="G1015" s="2"/>
      <c r="J1015" s="2"/>
      <c r="L1015" s="2"/>
      <c r="M1015" s="2"/>
      <c r="N1015" s="2"/>
    </row>
    <row r="1016" spans="4:14" ht="12.75" x14ac:dyDescent="0.35">
      <c r="D1016" s="2"/>
      <c r="E1016" s="2"/>
      <c r="F1016" s="2"/>
      <c r="G1016" s="2"/>
      <c r="J1016" s="2"/>
      <c r="L1016" s="2"/>
      <c r="M1016" s="2"/>
      <c r="N1016" s="2"/>
    </row>
    <row r="1017" spans="4:14" ht="12.75" x14ac:dyDescent="0.35">
      <c r="D1017" s="2"/>
      <c r="E1017" s="2"/>
      <c r="F1017" s="2"/>
      <c r="G1017" s="2"/>
      <c r="J1017" s="2"/>
      <c r="L1017" s="2"/>
      <c r="M1017" s="2"/>
      <c r="N1017" s="2"/>
    </row>
    <row r="1018" spans="4:14" ht="12.75" x14ac:dyDescent="0.35">
      <c r="D1018" s="2"/>
      <c r="E1018" s="2"/>
      <c r="F1018" s="2"/>
      <c r="G1018" s="2"/>
      <c r="J1018" s="2"/>
      <c r="L1018" s="2"/>
      <c r="M1018" s="2"/>
      <c r="N1018" s="2"/>
    </row>
    <row r="1019" spans="4:14" ht="12.75" x14ac:dyDescent="0.35">
      <c r="D1019" s="2"/>
      <c r="E1019" s="2"/>
      <c r="F1019" s="2"/>
      <c r="G1019" s="2"/>
      <c r="J1019" s="2"/>
      <c r="L1019" s="2"/>
      <c r="M1019" s="2"/>
      <c r="N1019" s="2"/>
    </row>
    <row r="1020" spans="4:14" ht="12.75" x14ac:dyDescent="0.35">
      <c r="D1020" s="2"/>
      <c r="E1020" s="2"/>
      <c r="F1020" s="2"/>
      <c r="G1020" s="2"/>
      <c r="J1020" s="2"/>
      <c r="L1020" s="2"/>
      <c r="M1020" s="2"/>
      <c r="N1020" s="2"/>
    </row>
    <row r="1021" spans="4:14" ht="12.75" x14ac:dyDescent="0.35">
      <c r="D1021" s="2"/>
      <c r="E1021" s="2"/>
      <c r="F1021" s="2"/>
      <c r="G1021" s="2"/>
      <c r="J1021" s="2"/>
      <c r="L1021" s="2"/>
      <c r="M1021" s="2"/>
      <c r="N1021" s="2"/>
    </row>
    <row r="1022" spans="4:14" ht="12.75" x14ac:dyDescent="0.35">
      <c r="D1022" s="2"/>
      <c r="E1022" s="2"/>
      <c r="F1022" s="2"/>
      <c r="G1022" s="2"/>
      <c r="J1022" s="2"/>
      <c r="L1022" s="2"/>
      <c r="M1022" s="2"/>
      <c r="N1022" s="2"/>
    </row>
    <row r="1023" spans="4:14" ht="12.75" x14ac:dyDescent="0.35">
      <c r="D1023" s="2"/>
      <c r="E1023" s="2"/>
      <c r="F1023" s="2"/>
      <c r="G1023" s="2"/>
      <c r="J1023" s="2"/>
      <c r="L1023" s="2"/>
      <c r="M1023" s="2"/>
      <c r="N1023" s="2"/>
    </row>
    <row r="1024" spans="4:14" ht="12.75" x14ac:dyDescent="0.35">
      <c r="D1024" s="2"/>
      <c r="E1024" s="2"/>
      <c r="F1024" s="2"/>
      <c r="G1024" s="2"/>
      <c r="J1024" s="2"/>
      <c r="L1024" s="2"/>
      <c r="M1024" s="2"/>
      <c r="N1024" s="2"/>
    </row>
    <row r="1025" spans="4:14" ht="12.75" x14ac:dyDescent="0.35">
      <c r="D1025" s="2"/>
      <c r="E1025" s="2"/>
      <c r="F1025" s="2"/>
      <c r="G1025" s="2"/>
      <c r="J1025" s="2"/>
      <c r="L1025" s="2"/>
      <c r="M1025" s="2"/>
      <c r="N1025" s="2"/>
    </row>
    <row r="1026" spans="4:14" ht="12.75" x14ac:dyDescent="0.35">
      <c r="D1026" s="2"/>
      <c r="E1026" s="2"/>
      <c r="F1026" s="2"/>
      <c r="G1026" s="2"/>
      <c r="J1026" s="2"/>
      <c r="L1026" s="2"/>
      <c r="M1026" s="2"/>
      <c r="N1026" s="2"/>
    </row>
    <row r="1027" spans="4:14" ht="12.75" x14ac:dyDescent="0.35">
      <c r="D1027" s="2"/>
      <c r="E1027" s="2"/>
      <c r="F1027" s="2"/>
      <c r="G1027" s="2"/>
      <c r="J1027" s="2"/>
      <c r="L1027" s="2"/>
      <c r="M1027" s="2"/>
      <c r="N1027" s="2"/>
    </row>
    <row r="1028" spans="4:14" ht="12.75" x14ac:dyDescent="0.35">
      <c r="D1028" s="2"/>
      <c r="E1028" s="2"/>
      <c r="F1028" s="2"/>
      <c r="G1028" s="2"/>
      <c r="J1028" s="2"/>
      <c r="L1028" s="2"/>
      <c r="M1028" s="2"/>
      <c r="N1028" s="2"/>
    </row>
    <row r="1029" spans="4:14" ht="12.75" x14ac:dyDescent="0.35">
      <c r="D1029" s="2"/>
      <c r="E1029" s="2"/>
      <c r="F1029" s="2"/>
      <c r="G1029" s="2"/>
      <c r="J1029" s="2"/>
      <c r="L1029" s="2"/>
      <c r="M1029" s="2"/>
      <c r="N1029" s="2"/>
    </row>
    <row r="1030" spans="4:14" ht="12.75" x14ac:dyDescent="0.35">
      <c r="D1030" s="2"/>
      <c r="E1030" s="2"/>
      <c r="F1030" s="2"/>
      <c r="G1030" s="2"/>
      <c r="J1030" s="2"/>
      <c r="L1030" s="2"/>
      <c r="M1030" s="2"/>
      <c r="N1030" s="2"/>
    </row>
    <row r="1031" spans="4:14" ht="12.75" x14ac:dyDescent="0.35">
      <c r="D1031" s="2"/>
      <c r="E1031" s="2"/>
      <c r="F1031" s="2"/>
      <c r="G1031" s="2"/>
      <c r="J1031" s="2"/>
      <c r="L1031" s="2"/>
      <c r="M1031" s="2"/>
      <c r="N1031" s="2"/>
    </row>
    <row r="1032" spans="4:14" ht="12.75" x14ac:dyDescent="0.35">
      <c r="D1032" s="2"/>
      <c r="E1032" s="2"/>
      <c r="F1032" s="2"/>
      <c r="G1032" s="2"/>
      <c r="J1032" s="2"/>
      <c r="L1032" s="2"/>
      <c r="M1032" s="2"/>
      <c r="N1032" s="2"/>
    </row>
    <row r="1033" spans="4:14" ht="12.75" x14ac:dyDescent="0.35">
      <c r="D1033" s="2"/>
      <c r="E1033" s="2"/>
      <c r="F1033" s="2"/>
      <c r="G1033" s="2"/>
      <c r="J1033" s="2"/>
      <c r="L1033" s="2"/>
      <c r="M1033" s="2"/>
      <c r="N1033" s="2"/>
    </row>
    <row r="1034" spans="4:14" ht="12.75" x14ac:dyDescent="0.35">
      <c r="D1034" s="2"/>
      <c r="E1034" s="2"/>
      <c r="F1034" s="2"/>
      <c r="G1034" s="2"/>
      <c r="J1034" s="2"/>
      <c r="L1034" s="2"/>
      <c r="M1034" s="2"/>
      <c r="N1034" s="2"/>
    </row>
    <row r="1035" spans="4:14" ht="12.75" x14ac:dyDescent="0.35">
      <c r="D1035" s="2"/>
      <c r="E1035" s="2"/>
      <c r="F1035" s="2"/>
      <c r="G1035" s="2"/>
      <c r="J1035" s="2"/>
      <c r="L1035" s="2"/>
      <c r="M1035" s="2"/>
      <c r="N1035" s="2"/>
    </row>
    <row r="1036" spans="4:14" ht="12.75" x14ac:dyDescent="0.35">
      <c r="D1036" s="2"/>
      <c r="E1036" s="2"/>
      <c r="F1036" s="2"/>
      <c r="G1036" s="2"/>
      <c r="J1036" s="2"/>
      <c r="L1036" s="2"/>
      <c r="M1036" s="2"/>
      <c r="N1036" s="2"/>
    </row>
    <row r="1037" spans="4:14" ht="12.75" x14ac:dyDescent="0.35">
      <c r="D1037" s="2"/>
      <c r="E1037" s="2"/>
      <c r="F1037" s="2"/>
      <c r="G1037" s="2"/>
      <c r="J1037" s="2"/>
      <c r="L1037" s="2"/>
      <c r="M1037" s="2"/>
      <c r="N1037" s="2"/>
    </row>
    <row r="1038" spans="4:14" ht="12.75" x14ac:dyDescent="0.35">
      <c r="D1038" s="2"/>
      <c r="E1038" s="2"/>
      <c r="F1038" s="2"/>
      <c r="G1038" s="2"/>
      <c r="J1038" s="2"/>
      <c r="L1038" s="2"/>
      <c r="M1038" s="2"/>
      <c r="N1038" s="2"/>
    </row>
    <row r="1039" spans="4:14" ht="12.75" x14ac:dyDescent="0.35">
      <c r="D1039" s="2"/>
      <c r="E1039" s="2"/>
      <c r="F1039" s="2"/>
      <c r="G1039" s="2"/>
      <c r="J1039" s="2"/>
      <c r="L1039" s="2"/>
      <c r="M1039" s="2"/>
      <c r="N1039" s="2"/>
    </row>
    <row r="1040" spans="4:14" ht="12.75" x14ac:dyDescent="0.35">
      <c r="D1040" s="2"/>
      <c r="E1040" s="2"/>
      <c r="F1040" s="2"/>
      <c r="G1040" s="2"/>
      <c r="J1040" s="2"/>
      <c r="L1040" s="2"/>
      <c r="M1040" s="2"/>
      <c r="N1040" s="2"/>
    </row>
    <row r="1041" spans="4:14" ht="12.75" x14ac:dyDescent="0.35">
      <c r="D1041" s="2"/>
      <c r="E1041" s="2"/>
      <c r="F1041" s="2"/>
      <c r="G1041" s="2"/>
      <c r="J1041" s="2"/>
      <c r="L1041" s="2"/>
      <c r="M1041" s="2"/>
      <c r="N1041" s="2"/>
    </row>
    <row r="1042" spans="4:14" ht="12.75" x14ac:dyDescent="0.35">
      <c r="D1042" s="2"/>
      <c r="E1042" s="2"/>
      <c r="F1042" s="2"/>
      <c r="G1042" s="2"/>
      <c r="J1042" s="2"/>
      <c r="L1042" s="2"/>
      <c r="M1042" s="2"/>
      <c r="N1042" s="2"/>
    </row>
    <row r="1043" spans="4:14" ht="12.75" x14ac:dyDescent="0.35">
      <c r="D1043" s="2"/>
      <c r="E1043" s="2"/>
      <c r="F1043" s="2"/>
      <c r="G1043" s="2"/>
      <c r="J1043" s="2"/>
      <c r="L1043" s="2"/>
      <c r="M1043" s="2"/>
      <c r="N1043" s="2"/>
    </row>
    <row r="1044" spans="4:14" ht="12.75" x14ac:dyDescent="0.35">
      <c r="D1044" s="2"/>
      <c r="E1044" s="2"/>
      <c r="F1044" s="2"/>
      <c r="G1044" s="2"/>
      <c r="J1044" s="2"/>
      <c r="L1044" s="2"/>
      <c r="M1044" s="2"/>
      <c r="N1044" s="2"/>
    </row>
    <row r="1045" spans="4:14" ht="12.75" x14ac:dyDescent="0.35">
      <c r="D1045" s="2"/>
      <c r="E1045" s="2"/>
      <c r="F1045" s="2"/>
      <c r="G1045" s="2"/>
      <c r="J1045" s="2"/>
      <c r="L1045" s="2"/>
      <c r="M1045" s="2"/>
      <c r="N1045" s="2"/>
    </row>
    <row r="1046" spans="4:14" ht="12.75" x14ac:dyDescent="0.35">
      <c r="D1046" s="2"/>
      <c r="E1046" s="2"/>
      <c r="F1046" s="2"/>
      <c r="G1046" s="2"/>
      <c r="J1046" s="2"/>
      <c r="L1046" s="2"/>
      <c r="M1046" s="2"/>
      <c r="N1046" s="2"/>
    </row>
    <row r="1047" spans="4:14" ht="12.75" x14ac:dyDescent="0.35">
      <c r="D1047" s="2"/>
      <c r="E1047" s="2"/>
      <c r="F1047" s="2"/>
      <c r="G1047" s="2"/>
      <c r="J1047" s="2"/>
      <c r="L1047" s="2"/>
      <c r="M1047" s="2"/>
      <c r="N1047" s="2"/>
    </row>
    <row r="1048" spans="4:14" ht="12.75" x14ac:dyDescent="0.35">
      <c r="D1048" s="2"/>
      <c r="E1048" s="2"/>
      <c r="F1048" s="2"/>
      <c r="G1048" s="2"/>
      <c r="J1048" s="2"/>
      <c r="L1048" s="2"/>
      <c r="M1048" s="2"/>
      <c r="N1048" s="2"/>
    </row>
    <row r="1049" spans="4:14" ht="12.75" x14ac:dyDescent="0.35">
      <c r="D1049" s="2"/>
      <c r="E1049" s="2"/>
      <c r="F1049" s="2"/>
      <c r="G1049" s="2"/>
      <c r="J1049" s="2"/>
      <c r="L1049" s="2"/>
      <c r="M1049" s="2"/>
      <c r="N1049" s="2"/>
    </row>
    <row r="1050" spans="4:14" ht="12.75" x14ac:dyDescent="0.35">
      <c r="D1050" s="2"/>
      <c r="E1050" s="2"/>
      <c r="F1050" s="2"/>
      <c r="G1050" s="2"/>
      <c r="J1050" s="2"/>
      <c r="L1050" s="2"/>
      <c r="M1050" s="2"/>
      <c r="N1050" s="2"/>
    </row>
    <row r="1051" spans="4:14" ht="12.75" x14ac:dyDescent="0.35">
      <c r="D1051" s="2"/>
      <c r="E1051" s="2"/>
      <c r="F1051" s="2"/>
      <c r="G1051" s="2"/>
      <c r="J1051" s="2"/>
      <c r="L1051" s="2"/>
      <c r="M1051" s="2"/>
      <c r="N1051" s="2"/>
    </row>
    <row r="1052" spans="4:14" ht="12.75" x14ac:dyDescent="0.35">
      <c r="D1052" s="2"/>
      <c r="E1052" s="2"/>
      <c r="F1052" s="2"/>
      <c r="G1052" s="2"/>
      <c r="J1052" s="2"/>
      <c r="L1052" s="2"/>
      <c r="M1052" s="2"/>
      <c r="N1052" s="2"/>
    </row>
    <row r="1053" spans="4:14" ht="12.75" x14ac:dyDescent="0.35">
      <c r="D1053" s="2"/>
      <c r="E1053" s="2"/>
      <c r="F1053" s="2"/>
      <c r="G1053" s="2"/>
      <c r="J1053" s="2"/>
      <c r="L1053" s="2"/>
      <c r="M1053" s="2"/>
      <c r="N1053" s="2"/>
    </row>
    <row r="1054" spans="4:14" ht="12.75" x14ac:dyDescent="0.35">
      <c r="D1054" s="2"/>
      <c r="E1054" s="2"/>
      <c r="F1054" s="2"/>
      <c r="G1054" s="2"/>
      <c r="J1054" s="2"/>
      <c r="L1054" s="2"/>
      <c r="M1054" s="2"/>
      <c r="N1054" s="2"/>
    </row>
    <row r="1055" spans="4:14" ht="12.75" x14ac:dyDescent="0.35">
      <c r="D1055" s="2"/>
      <c r="E1055" s="2"/>
      <c r="F1055" s="2"/>
      <c r="G1055" s="2"/>
      <c r="J1055" s="2"/>
      <c r="L1055" s="2"/>
      <c r="M1055" s="2"/>
      <c r="N1055" s="2"/>
    </row>
    <row r="1056" spans="4:14" ht="12.75" x14ac:dyDescent="0.35">
      <c r="D1056" s="2"/>
      <c r="E1056" s="2"/>
      <c r="F1056" s="2"/>
      <c r="G1056" s="2"/>
      <c r="J1056" s="2"/>
      <c r="L1056" s="2"/>
      <c r="M1056" s="2"/>
      <c r="N1056" s="2"/>
    </row>
    <row r="1057" spans="4:14" ht="12.75" x14ac:dyDescent="0.35">
      <c r="D1057" s="2"/>
      <c r="E1057" s="2"/>
      <c r="F1057" s="2"/>
      <c r="G1057" s="2"/>
      <c r="J1057" s="2"/>
      <c r="L1057" s="2"/>
      <c r="M1057" s="2"/>
      <c r="N1057" s="2"/>
    </row>
  </sheetData>
  <conditionalFormatting sqref="D60:F83">
    <cfRule type="colorScale" priority="2">
      <colorScale>
        <cfvo type="min"/>
        <cfvo type="max"/>
        <color rgb="FFFFFFFF"/>
        <color rgb="FFFF0000"/>
      </colorScale>
    </cfRule>
  </conditionalFormatting>
  <conditionalFormatting sqref="D32:G55">
    <cfRule type="colorScale" priority="4">
      <colorScale>
        <cfvo type="min"/>
        <cfvo type="max"/>
        <color rgb="FFFFFFFF"/>
        <color rgb="FFFF0000"/>
      </colorScale>
    </cfRule>
  </conditionalFormatting>
  <conditionalFormatting sqref="L60:N93">
    <cfRule type="colorScale" priority="3">
      <colorScale>
        <cfvo type="min"/>
        <cfvo type="max"/>
        <color rgb="FFFFFFFF"/>
        <color rgb="FFFF0000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99623-5B23-4811-946D-13F816C743B8}">
  <dimension ref="A1:D28"/>
  <sheetViews>
    <sheetView workbookViewId="0">
      <selection activeCell="F20" sqref="F20"/>
    </sheetView>
  </sheetViews>
  <sheetFormatPr defaultRowHeight="13.5" x14ac:dyDescent="0.35"/>
  <cols>
    <col min="1" max="1" width="10.73046875" style="127" customWidth="1"/>
    <col min="2" max="2" width="60.73046875" style="127" customWidth="1"/>
    <col min="3" max="3" width="15.73046875" style="127" customWidth="1"/>
    <col min="4" max="256" width="9" style="127"/>
    <col min="257" max="257" width="10.73046875" style="127" customWidth="1"/>
    <col min="258" max="258" width="60.73046875" style="127" customWidth="1"/>
    <col min="259" max="259" width="15.73046875" style="127" customWidth="1"/>
    <col min="260" max="512" width="9" style="127"/>
    <col min="513" max="513" width="10.73046875" style="127" customWidth="1"/>
    <col min="514" max="514" width="60.73046875" style="127" customWidth="1"/>
    <col min="515" max="515" width="15.73046875" style="127" customWidth="1"/>
    <col min="516" max="768" width="9" style="127"/>
    <col min="769" max="769" width="10.73046875" style="127" customWidth="1"/>
    <col min="770" max="770" width="60.73046875" style="127" customWidth="1"/>
    <col min="771" max="771" width="15.73046875" style="127" customWidth="1"/>
    <col min="772" max="1024" width="9" style="127"/>
    <col min="1025" max="1025" width="10.73046875" style="127" customWidth="1"/>
    <col min="1026" max="1026" width="60.73046875" style="127" customWidth="1"/>
    <col min="1027" max="1027" width="15.73046875" style="127" customWidth="1"/>
    <col min="1028" max="1280" width="9" style="127"/>
    <col min="1281" max="1281" width="10.73046875" style="127" customWidth="1"/>
    <col min="1282" max="1282" width="60.73046875" style="127" customWidth="1"/>
    <col min="1283" max="1283" width="15.73046875" style="127" customWidth="1"/>
    <col min="1284" max="1536" width="9" style="127"/>
    <col min="1537" max="1537" width="10.73046875" style="127" customWidth="1"/>
    <col min="1538" max="1538" width="60.73046875" style="127" customWidth="1"/>
    <col min="1539" max="1539" width="15.73046875" style="127" customWidth="1"/>
    <col min="1540" max="1792" width="9" style="127"/>
    <col min="1793" max="1793" width="10.73046875" style="127" customWidth="1"/>
    <col min="1794" max="1794" width="60.73046875" style="127" customWidth="1"/>
    <col min="1795" max="1795" width="15.73046875" style="127" customWidth="1"/>
    <col min="1796" max="2048" width="9" style="127"/>
    <col min="2049" max="2049" width="10.73046875" style="127" customWidth="1"/>
    <col min="2050" max="2050" width="60.73046875" style="127" customWidth="1"/>
    <col min="2051" max="2051" width="15.73046875" style="127" customWidth="1"/>
    <col min="2052" max="2304" width="9" style="127"/>
    <col min="2305" max="2305" width="10.73046875" style="127" customWidth="1"/>
    <col min="2306" max="2306" width="60.73046875" style="127" customWidth="1"/>
    <col min="2307" max="2307" width="15.73046875" style="127" customWidth="1"/>
    <col min="2308" max="2560" width="9" style="127"/>
    <col min="2561" max="2561" width="10.73046875" style="127" customWidth="1"/>
    <col min="2562" max="2562" width="60.73046875" style="127" customWidth="1"/>
    <col min="2563" max="2563" width="15.73046875" style="127" customWidth="1"/>
    <col min="2564" max="2816" width="9" style="127"/>
    <col min="2817" max="2817" width="10.73046875" style="127" customWidth="1"/>
    <col min="2818" max="2818" width="60.73046875" style="127" customWidth="1"/>
    <col min="2819" max="2819" width="15.73046875" style="127" customWidth="1"/>
    <col min="2820" max="3072" width="9" style="127"/>
    <col min="3073" max="3073" width="10.73046875" style="127" customWidth="1"/>
    <col min="3074" max="3074" width="60.73046875" style="127" customWidth="1"/>
    <col min="3075" max="3075" width="15.73046875" style="127" customWidth="1"/>
    <col min="3076" max="3328" width="9" style="127"/>
    <col min="3329" max="3329" width="10.73046875" style="127" customWidth="1"/>
    <col min="3330" max="3330" width="60.73046875" style="127" customWidth="1"/>
    <col min="3331" max="3331" width="15.73046875" style="127" customWidth="1"/>
    <col min="3332" max="3584" width="9" style="127"/>
    <col min="3585" max="3585" width="10.73046875" style="127" customWidth="1"/>
    <col min="3586" max="3586" width="60.73046875" style="127" customWidth="1"/>
    <col min="3587" max="3587" width="15.73046875" style="127" customWidth="1"/>
    <col min="3588" max="3840" width="9" style="127"/>
    <col min="3841" max="3841" width="10.73046875" style="127" customWidth="1"/>
    <col min="3842" max="3842" width="60.73046875" style="127" customWidth="1"/>
    <col min="3843" max="3843" width="15.73046875" style="127" customWidth="1"/>
    <col min="3844" max="4096" width="9" style="127"/>
    <col min="4097" max="4097" width="10.73046875" style="127" customWidth="1"/>
    <col min="4098" max="4098" width="60.73046875" style="127" customWidth="1"/>
    <col min="4099" max="4099" width="15.73046875" style="127" customWidth="1"/>
    <col min="4100" max="4352" width="9" style="127"/>
    <col min="4353" max="4353" width="10.73046875" style="127" customWidth="1"/>
    <col min="4354" max="4354" width="60.73046875" style="127" customWidth="1"/>
    <col min="4355" max="4355" width="15.73046875" style="127" customWidth="1"/>
    <col min="4356" max="4608" width="9" style="127"/>
    <col min="4609" max="4609" width="10.73046875" style="127" customWidth="1"/>
    <col min="4610" max="4610" width="60.73046875" style="127" customWidth="1"/>
    <col min="4611" max="4611" width="15.73046875" style="127" customWidth="1"/>
    <col min="4612" max="4864" width="9" style="127"/>
    <col min="4865" max="4865" width="10.73046875" style="127" customWidth="1"/>
    <col min="4866" max="4866" width="60.73046875" style="127" customWidth="1"/>
    <col min="4867" max="4867" width="15.73046875" style="127" customWidth="1"/>
    <col min="4868" max="5120" width="9" style="127"/>
    <col min="5121" max="5121" width="10.73046875" style="127" customWidth="1"/>
    <col min="5122" max="5122" width="60.73046875" style="127" customWidth="1"/>
    <col min="5123" max="5123" width="15.73046875" style="127" customWidth="1"/>
    <col min="5124" max="5376" width="9" style="127"/>
    <col min="5377" max="5377" width="10.73046875" style="127" customWidth="1"/>
    <col min="5378" max="5378" width="60.73046875" style="127" customWidth="1"/>
    <col min="5379" max="5379" width="15.73046875" style="127" customWidth="1"/>
    <col min="5380" max="5632" width="9" style="127"/>
    <col min="5633" max="5633" width="10.73046875" style="127" customWidth="1"/>
    <col min="5634" max="5634" width="60.73046875" style="127" customWidth="1"/>
    <col min="5635" max="5635" width="15.73046875" style="127" customWidth="1"/>
    <col min="5636" max="5888" width="9" style="127"/>
    <col min="5889" max="5889" width="10.73046875" style="127" customWidth="1"/>
    <col min="5890" max="5890" width="60.73046875" style="127" customWidth="1"/>
    <col min="5891" max="5891" width="15.73046875" style="127" customWidth="1"/>
    <col min="5892" max="6144" width="9" style="127"/>
    <col min="6145" max="6145" width="10.73046875" style="127" customWidth="1"/>
    <col min="6146" max="6146" width="60.73046875" style="127" customWidth="1"/>
    <col min="6147" max="6147" width="15.73046875" style="127" customWidth="1"/>
    <col min="6148" max="6400" width="9" style="127"/>
    <col min="6401" max="6401" width="10.73046875" style="127" customWidth="1"/>
    <col min="6402" max="6402" width="60.73046875" style="127" customWidth="1"/>
    <col min="6403" max="6403" width="15.73046875" style="127" customWidth="1"/>
    <col min="6404" max="6656" width="9" style="127"/>
    <col min="6657" max="6657" width="10.73046875" style="127" customWidth="1"/>
    <col min="6658" max="6658" width="60.73046875" style="127" customWidth="1"/>
    <col min="6659" max="6659" width="15.73046875" style="127" customWidth="1"/>
    <col min="6660" max="6912" width="9" style="127"/>
    <col min="6913" max="6913" width="10.73046875" style="127" customWidth="1"/>
    <col min="6914" max="6914" width="60.73046875" style="127" customWidth="1"/>
    <col min="6915" max="6915" width="15.73046875" style="127" customWidth="1"/>
    <col min="6916" max="7168" width="9" style="127"/>
    <col min="7169" max="7169" width="10.73046875" style="127" customWidth="1"/>
    <col min="7170" max="7170" width="60.73046875" style="127" customWidth="1"/>
    <col min="7171" max="7171" width="15.73046875" style="127" customWidth="1"/>
    <col min="7172" max="7424" width="9" style="127"/>
    <col min="7425" max="7425" width="10.73046875" style="127" customWidth="1"/>
    <col min="7426" max="7426" width="60.73046875" style="127" customWidth="1"/>
    <col min="7427" max="7427" width="15.73046875" style="127" customWidth="1"/>
    <col min="7428" max="7680" width="9" style="127"/>
    <col min="7681" max="7681" width="10.73046875" style="127" customWidth="1"/>
    <col min="7682" max="7682" width="60.73046875" style="127" customWidth="1"/>
    <col min="7683" max="7683" width="15.73046875" style="127" customWidth="1"/>
    <col min="7684" max="7936" width="9" style="127"/>
    <col min="7937" max="7937" width="10.73046875" style="127" customWidth="1"/>
    <col min="7938" max="7938" width="60.73046875" style="127" customWidth="1"/>
    <col min="7939" max="7939" width="15.73046875" style="127" customWidth="1"/>
    <col min="7940" max="8192" width="9" style="127"/>
    <col min="8193" max="8193" width="10.73046875" style="127" customWidth="1"/>
    <col min="8194" max="8194" width="60.73046875" style="127" customWidth="1"/>
    <col min="8195" max="8195" width="15.73046875" style="127" customWidth="1"/>
    <col min="8196" max="8448" width="9" style="127"/>
    <col min="8449" max="8449" width="10.73046875" style="127" customWidth="1"/>
    <col min="8450" max="8450" width="60.73046875" style="127" customWidth="1"/>
    <col min="8451" max="8451" width="15.73046875" style="127" customWidth="1"/>
    <col min="8452" max="8704" width="9" style="127"/>
    <col min="8705" max="8705" width="10.73046875" style="127" customWidth="1"/>
    <col min="8706" max="8706" width="60.73046875" style="127" customWidth="1"/>
    <col min="8707" max="8707" width="15.73046875" style="127" customWidth="1"/>
    <col min="8708" max="8960" width="9" style="127"/>
    <col min="8961" max="8961" width="10.73046875" style="127" customWidth="1"/>
    <col min="8962" max="8962" width="60.73046875" style="127" customWidth="1"/>
    <col min="8963" max="8963" width="15.73046875" style="127" customWidth="1"/>
    <col min="8964" max="9216" width="9" style="127"/>
    <col min="9217" max="9217" width="10.73046875" style="127" customWidth="1"/>
    <col min="9218" max="9218" width="60.73046875" style="127" customWidth="1"/>
    <col min="9219" max="9219" width="15.73046875" style="127" customWidth="1"/>
    <col min="9220" max="9472" width="9" style="127"/>
    <col min="9473" max="9473" width="10.73046875" style="127" customWidth="1"/>
    <col min="9474" max="9474" width="60.73046875" style="127" customWidth="1"/>
    <col min="9475" max="9475" width="15.73046875" style="127" customWidth="1"/>
    <col min="9476" max="9728" width="9" style="127"/>
    <col min="9729" max="9729" width="10.73046875" style="127" customWidth="1"/>
    <col min="9730" max="9730" width="60.73046875" style="127" customWidth="1"/>
    <col min="9731" max="9731" width="15.73046875" style="127" customWidth="1"/>
    <col min="9732" max="9984" width="9" style="127"/>
    <col min="9985" max="9985" width="10.73046875" style="127" customWidth="1"/>
    <col min="9986" max="9986" width="60.73046875" style="127" customWidth="1"/>
    <col min="9987" max="9987" width="15.73046875" style="127" customWidth="1"/>
    <col min="9988" max="10240" width="9" style="127"/>
    <col min="10241" max="10241" width="10.73046875" style="127" customWidth="1"/>
    <col min="10242" max="10242" width="60.73046875" style="127" customWidth="1"/>
    <col min="10243" max="10243" width="15.73046875" style="127" customWidth="1"/>
    <col min="10244" max="10496" width="9" style="127"/>
    <col min="10497" max="10497" width="10.73046875" style="127" customWidth="1"/>
    <col min="10498" max="10498" width="60.73046875" style="127" customWidth="1"/>
    <col min="10499" max="10499" width="15.73046875" style="127" customWidth="1"/>
    <col min="10500" max="10752" width="9" style="127"/>
    <col min="10753" max="10753" width="10.73046875" style="127" customWidth="1"/>
    <col min="10754" max="10754" width="60.73046875" style="127" customWidth="1"/>
    <col min="10755" max="10755" width="15.73046875" style="127" customWidth="1"/>
    <col min="10756" max="11008" width="9" style="127"/>
    <col min="11009" max="11009" width="10.73046875" style="127" customWidth="1"/>
    <col min="11010" max="11010" width="60.73046875" style="127" customWidth="1"/>
    <col min="11011" max="11011" width="15.73046875" style="127" customWidth="1"/>
    <col min="11012" max="11264" width="9" style="127"/>
    <col min="11265" max="11265" width="10.73046875" style="127" customWidth="1"/>
    <col min="11266" max="11266" width="60.73046875" style="127" customWidth="1"/>
    <col min="11267" max="11267" width="15.73046875" style="127" customWidth="1"/>
    <col min="11268" max="11520" width="9" style="127"/>
    <col min="11521" max="11521" width="10.73046875" style="127" customWidth="1"/>
    <col min="11522" max="11522" width="60.73046875" style="127" customWidth="1"/>
    <col min="11523" max="11523" width="15.73046875" style="127" customWidth="1"/>
    <col min="11524" max="11776" width="9" style="127"/>
    <col min="11777" max="11777" width="10.73046875" style="127" customWidth="1"/>
    <col min="11778" max="11778" width="60.73046875" style="127" customWidth="1"/>
    <col min="11779" max="11779" width="15.73046875" style="127" customWidth="1"/>
    <col min="11780" max="12032" width="9" style="127"/>
    <col min="12033" max="12033" width="10.73046875" style="127" customWidth="1"/>
    <col min="12034" max="12034" width="60.73046875" style="127" customWidth="1"/>
    <col min="12035" max="12035" width="15.73046875" style="127" customWidth="1"/>
    <col min="12036" max="12288" width="9" style="127"/>
    <col min="12289" max="12289" width="10.73046875" style="127" customWidth="1"/>
    <col min="12290" max="12290" width="60.73046875" style="127" customWidth="1"/>
    <col min="12291" max="12291" width="15.73046875" style="127" customWidth="1"/>
    <col min="12292" max="12544" width="9" style="127"/>
    <col min="12545" max="12545" width="10.73046875" style="127" customWidth="1"/>
    <col min="12546" max="12546" width="60.73046875" style="127" customWidth="1"/>
    <col min="12547" max="12547" width="15.73046875" style="127" customWidth="1"/>
    <col min="12548" max="12800" width="9" style="127"/>
    <col min="12801" max="12801" width="10.73046875" style="127" customWidth="1"/>
    <col min="12802" max="12802" width="60.73046875" style="127" customWidth="1"/>
    <col min="12803" max="12803" width="15.73046875" style="127" customWidth="1"/>
    <col min="12804" max="13056" width="9" style="127"/>
    <col min="13057" max="13057" width="10.73046875" style="127" customWidth="1"/>
    <col min="13058" max="13058" width="60.73046875" style="127" customWidth="1"/>
    <col min="13059" max="13059" width="15.73046875" style="127" customWidth="1"/>
    <col min="13060" max="13312" width="9" style="127"/>
    <col min="13313" max="13313" width="10.73046875" style="127" customWidth="1"/>
    <col min="13314" max="13314" width="60.73046875" style="127" customWidth="1"/>
    <col min="13315" max="13315" width="15.73046875" style="127" customWidth="1"/>
    <col min="13316" max="13568" width="9" style="127"/>
    <col min="13569" max="13569" width="10.73046875" style="127" customWidth="1"/>
    <col min="13570" max="13570" width="60.73046875" style="127" customWidth="1"/>
    <col min="13571" max="13571" width="15.73046875" style="127" customWidth="1"/>
    <col min="13572" max="13824" width="9" style="127"/>
    <col min="13825" max="13825" width="10.73046875" style="127" customWidth="1"/>
    <col min="13826" max="13826" width="60.73046875" style="127" customWidth="1"/>
    <col min="13827" max="13827" width="15.73046875" style="127" customWidth="1"/>
    <col min="13828" max="14080" width="9" style="127"/>
    <col min="14081" max="14081" width="10.73046875" style="127" customWidth="1"/>
    <col min="14082" max="14082" width="60.73046875" style="127" customWidth="1"/>
    <col min="14083" max="14083" width="15.73046875" style="127" customWidth="1"/>
    <col min="14084" max="14336" width="9" style="127"/>
    <col min="14337" max="14337" width="10.73046875" style="127" customWidth="1"/>
    <col min="14338" max="14338" width="60.73046875" style="127" customWidth="1"/>
    <col min="14339" max="14339" width="15.73046875" style="127" customWidth="1"/>
    <col min="14340" max="14592" width="9" style="127"/>
    <col min="14593" max="14593" width="10.73046875" style="127" customWidth="1"/>
    <col min="14594" max="14594" width="60.73046875" style="127" customWidth="1"/>
    <col min="14595" max="14595" width="15.73046875" style="127" customWidth="1"/>
    <col min="14596" max="14848" width="9" style="127"/>
    <col min="14849" max="14849" width="10.73046875" style="127" customWidth="1"/>
    <col min="14850" max="14850" width="60.73046875" style="127" customWidth="1"/>
    <col min="14851" max="14851" width="15.73046875" style="127" customWidth="1"/>
    <col min="14852" max="15104" width="9" style="127"/>
    <col min="15105" max="15105" width="10.73046875" style="127" customWidth="1"/>
    <col min="15106" max="15106" width="60.73046875" style="127" customWidth="1"/>
    <col min="15107" max="15107" width="15.73046875" style="127" customWidth="1"/>
    <col min="15108" max="15360" width="9" style="127"/>
    <col min="15361" max="15361" width="10.73046875" style="127" customWidth="1"/>
    <col min="15362" max="15362" width="60.73046875" style="127" customWidth="1"/>
    <col min="15363" max="15363" width="15.73046875" style="127" customWidth="1"/>
    <col min="15364" max="15616" width="9" style="127"/>
    <col min="15617" max="15617" width="10.73046875" style="127" customWidth="1"/>
    <col min="15618" max="15618" width="60.73046875" style="127" customWidth="1"/>
    <col min="15619" max="15619" width="15.73046875" style="127" customWidth="1"/>
    <col min="15620" max="15872" width="9" style="127"/>
    <col min="15873" max="15873" width="10.73046875" style="127" customWidth="1"/>
    <col min="15874" max="15874" width="60.73046875" style="127" customWidth="1"/>
    <col min="15875" max="15875" width="15.73046875" style="127" customWidth="1"/>
    <col min="15876" max="16128" width="9" style="127"/>
    <col min="16129" max="16129" width="10.73046875" style="127" customWidth="1"/>
    <col min="16130" max="16130" width="60.73046875" style="127" customWidth="1"/>
    <col min="16131" max="16131" width="15.73046875" style="127" customWidth="1"/>
    <col min="16132" max="16384" width="9" style="127"/>
  </cols>
  <sheetData>
    <row r="1" spans="1:4" ht="30" customHeight="1" x14ac:dyDescent="0.35">
      <c r="A1" s="164" t="s">
        <v>166</v>
      </c>
      <c r="B1" s="165"/>
      <c r="C1" s="126"/>
    </row>
    <row r="2" spans="1:4" ht="30" customHeight="1" x14ac:dyDescent="0.35">
      <c r="A2" s="128" t="s">
        <v>49</v>
      </c>
      <c r="B2" s="129" t="s">
        <v>167</v>
      </c>
    </row>
    <row r="3" spans="1:4" x14ac:dyDescent="0.35">
      <c r="A3" s="130">
        <v>10</v>
      </c>
      <c r="B3" s="131" t="s">
        <v>168</v>
      </c>
    </row>
    <row r="4" spans="1:4" x14ac:dyDescent="0.35">
      <c r="A4" s="130">
        <v>11</v>
      </c>
      <c r="B4" s="131" t="s">
        <v>169</v>
      </c>
    </row>
    <row r="5" spans="1:4" x14ac:dyDescent="0.35">
      <c r="A5" s="130">
        <v>12</v>
      </c>
      <c r="B5" s="131" t="s">
        <v>170</v>
      </c>
    </row>
    <row r="6" spans="1:4" x14ac:dyDescent="0.35">
      <c r="A6" s="130">
        <v>13</v>
      </c>
      <c r="B6" s="131" t="s">
        <v>171</v>
      </c>
    </row>
    <row r="7" spans="1:4" x14ac:dyDescent="0.35">
      <c r="A7" s="130">
        <v>14</v>
      </c>
      <c r="B7" s="131" t="s">
        <v>172</v>
      </c>
    </row>
    <row r="8" spans="1:4" x14ac:dyDescent="0.35">
      <c r="A8" s="130">
        <v>15</v>
      </c>
      <c r="B8" s="131" t="s">
        <v>173</v>
      </c>
    </row>
    <row r="9" spans="1:4" ht="23.25" x14ac:dyDescent="0.35">
      <c r="A9" s="132">
        <v>16</v>
      </c>
      <c r="B9" s="131" t="s">
        <v>174</v>
      </c>
    </row>
    <row r="10" spans="1:4" x14ac:dyDescent="0.35">
      <c r="A10" s="132">
        <v>17</v>
      </c>
      <c r="B10" s="131" t="s">
        <v>175</v>
      </c>
    </row>
    <row r="11" spans="1:4" x14ac:dyDescent="0.35">
      <c r="A11" s="132">
        <v>18</v>
      </c>
      <c r="B11" s="131" t="s">
        <v>176</v>
      </c>
      <c r="D11" s="133"/>
    </row>
    <row r="12" spans="1:4" x14ac:dyDescent="0.35">
      <c r="A12" s="132">
        <v>19</v>
      </c>
      <c r="B12" s="131" t="s">
        <v>177</v>
      </c>
    </row>
    <row r="13" spans="1:4" x14ac:dyDescent="0.35">
      <c r="A13" s="132">
        <v>20</v>
      </c>
      <c r="B13" s="131" t="s">
        <v>178</v>
      </c>
    </row>
    <row r="14" spans="1:4" x14ac:dyDescent="0.35">
      <c r="A14" s="132">
        <v>21</v>
      </c>
      <c r="B14" s="131" t="s">
        <v>179</v>
      </c>
    </row>
    <row r="15" spans="1:4" x14ac:dyDescent="0.35">
      <c r="A15" s="132">
        <v>22</v>
      </c>
      <c r="B15" s="131" t="s">
        <v>180</v>
      </c>
    </row>
    <row r="16" spans="1:4" x14ac:dyDescent="0.35">
      <c r="A16" s="132">
        <v>23</v>
      </c>
      <c r="B16" s="131" t="s">
        <v>181</v>
      </c>
    </row>
    <row r="17" spans="1:3" x14ac:dyDescent="0.35">
      <c r="A17" s="132">
        <v>24</v>
      </c>
      <c r="B17" s="131" t="s">
        <v>182</v>
      </c>
    </row>
    <row r="18" spans="1:3" x14ac:dyDescent="0.35">
      <c r="A18" s="132">
        <v>25</v>
      </c>
      <c r="B18" s="131" t="s">
        <v>183</v>
      </c>
    </row>
    <row r="19" spans="1:3" x14ac:dyDescent="0.35">
      <c r="A19" s="134">
        <v>26</v>
      </c>
      <c r="B19" s="135" t="s">
        <v>184</v>
      </c>
    </row>
    <row r="20" spans="1:3" x14ac:dyDescent="0.35">
      <c r="A20" s="136">
        <v>27</v>
      </c>
      <c r="B20" s="137" t="s">
        <v>185</v>
      </c>
    </row>
    <row r="21" spans="1:3" x14ac:dyDescent="0.35">
      <c r="A21" s="136">
        <v>28</v>
      </c>
      <c r="B21" s="137" t="s">
        <v>186</v>
      </c>
      <c r="C21" s="138"/>
    </row>
    <row r="22" spans="1:3" x14ac:dyDescent="0.35">
      <c r="A22" s="136">
        <v>29</v>
      </c>
      <c r="B22" s="139" t="s">
        <v>187</v>
      </c>
      <c r="C22" s="138"/>
    </row>
    <row r="23" spans="1:3" x14ac:dyDescent="0.35">
      <c r="A23" s="136">
        <v>30</v>
      </c>
      <c r="B23" s="139" t="s">
        <v>188</v>
      </c>
    </row>
    <row r="24" spans="1:3" x14ac:dyDescent="0.35">
      <c r="A24" s="136">
        <v>31</v>
      </c>
      <c r="B24" s="139" t="s">
        <v>189</v>
      </c>
    </row>
    <row r="25" spans="1:3" x14ac:dyDescent="0.35">
      <c r="A25" s="136">
        <v>32</v>
      </c>
      <c r="B25" s="139" t="s">
        <v>190</v>
      </c>
    </row>
    <row r="26" spans="1:3" x14ac:dyDescent="0.35">
      <c r="A26" s="136">
        <v>33</v>
      </c>
      <c r="B26" s="139" t="s">
        <v>191</v>
      </c>
    </row>
    <row r="27" spans="1:3" x14ac:dyDescent="0.35">
      <c r="A27" s="140"/>
      <c r="B27" s="141"/>
    </row>
    <row r="28" spans="1:3" x14ac:dyDescent="0.35">
      <c r="A28" s="166" t="s">
        <v>192</v>
      </c>
      <c r="B28" s="166"/>
    </row>
  </sheetData>
  <mergeCells count="2">
    <mergeCell ref="A1:B1"/>
    <mergeCell ref="A28:B28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04"/>
  <sheetViews>
    <sheetView workbookViewId="0">
      <selection sqref="A1:A2"/>
    </sheetView>
  </sheetViews>
  <sheetFormatPr defaultColWidth="12.73046875" defaultRowHeight="15.75" customHeight="1" x14ac:dyDescent="0.35"/>
  <cols>
    <col min="1" max="1" width="21.86328125" customWidth="1"/>
    <col min="3" max="3" width="18.86328125" customWidth="1"/>
  </cols>
  <sheetData>
    <row r="1" spans="1:21" ht="15.75" customHeight="1" x14ac:dyDescent="0.35">
      <c r="A1" s="173" t="s">
        <v>193</v>
      </c>
      <c r="B1" s="173" t="s">
        <v>194</v>
      </c>
      <c r="C1" s="173" t="s">
        <v>195</v>
      </c>
      <c r="D1" s="3" t="s">
        <v>196</v>
      </c>
      <c r="E1" s="4" t="s">
        <v>197</v>
      </c>
      <c r="F1" s="174" t="s">
        <v>198</v>
      </c>
      <c r="G1" s="174" t="s">
        <v>199</v>
      </c>
      <c r="H1" s="174" t="s">
        <v>200</v>
      </c>
      <c r="I1" s="174" t="s">
        <v>201</v>
      </c>
      <c r="J1" s="170" t="s">
        <v>202</v>
      </c>
      <c r="K1" s="171"/>
      <c r="L1" s="171"/>
      <c r="M1" s="171"/>
      <c r="N1" s="171"/>
      <c r="O1" s="171"/>
      <c r="P1" s="172"/>
      <c r="Q1" s="170" t="s">
        <v>203</v>
      </c>
      <c r="R1" s="171"/>
      <c r="S1" s="171"/>
      <c r="T1" s="171"/>
      <c r="U1" s="172"/>
    </row>
    <row r="2" spans="1:21" ht="15.75" customHeight="1" x14ac:dyDescent="0.35">
      <c r="A2" s="169"/>
      <c r="B2" s="169"/>
      <c r="C2" s="169"/>
      <c r="D2" s="3"/>
      <c r="E2" s="5"/>
      <c r="F2" s="169"/>
      <c r="G2" s="169"/>
      <c r="H2" s="169"/>
      <c r="I2" s="169"/>
      <c r="J2" s="82" t="s">
        <v>202</v>
      </c>
      <c r="K2" s="82" t="s">
        <v>94</v>
      </c>
      <c r="L2" s="82" t="s">
        <v>93</v>
      </c>
      <c r="M2" s="82" t="s">
        <v>204</v>
      </c>
      <c r="N2" s="83" t="s">
        <v>205</v>
      </c>
      <c r="O2" s="7" t="s">
        <v>206</v>
      </c>
      <c r="P2" s="7" t="s">
        <v>207</v>
      </c>
      <c r="Q2" s="11" t="s">
        <v>208</v>
      </c>
      <c r="R2" s="11" t="s">
        <v>209</v>
      </c>
      <c r="S2" s="11" t="s">
        <v>210</v>
      </c>
      <c r="T2" s="7" t="s">
        <v>211</v>
      </c>
      <c r="U2" s="7" t="s">
        <v>212</v>
      </c>
    </row>
    <row r="3" spans="1:21" ht="15.75" customHeight="1" x14ac:dyDescent="0.35">
      <c r="A3" s="167" t="s">
        <v>24</v>
      </c>
      <c r="B3" s="11" t="s">
        <v>213</v>
      </c>
      <c r="C3" s="11" t="s">
        <v>214</v>
      </c>
      <c r="D3" s="8"/>
      <c r="E3" s="9"/>
      <c r="F3" s="9">
        <v>3500</v>
      </c>
      <c r="G3" s="10">
        <v>201044</v>
      </c>
      <c r="H3" s="9" t="s">
        <v>215</v>
      </c>
      <c r="I3" s="11"/>
      <c r="J3" s="84">
        <f>136129.992327+3159.1337+34174.993815</f>
        <v>173464.11984200001</v>
      </c>
      <c r="K3" s="84">
        <f>42807.048615+4966.338278+1803.319667+344.3178+5422.8588</f>
        <v>55343.883160000005</v>
      </c>
      <c r="L3" s="85" t="s">
        <v>216</v>
      </c>
      <c r="M3" s="86" t="s">
        <v>216</v>
      </c>
      <c r="N3" s="13">
        <f t="shared" ref="N3:N4" si="0">(K3/J3)*100</f>
        <v>31.905089773268408</v>
      </c>
      <c r="O3" s="14" t="s">
        <v>217</v>
      </c>
      <c r="P3" s="14"/>
      <c r="Q3" s="15" t="s">
        <v>218</v>
      </c>
      <c r="R3" s="16" t="s">
        <v>219</v>
      </c>
      <c r="S3" s="16" t="s">
        <v>220</v>
      </c>
      <c r="T3" s="17" t="e">
        <f t="shared" ref="T3:T4" si="1">(R3/Q3)*100</f>
        <v>#VALUE!</v>
      </c>
      <c r="U3" s="17" t="e">
        <f t="shared" ref="U3:U4" si="2">(S3/Q3)*100</f>
        <v>#VALUE!</v>
      </c>
    </row>
    <row r="4" spans="1:21" ht="15.75" customHeight="1" x14ac:dyDescent="0.35">
      <c r="A4" s="168"/>
      <c r="B4" s="11" t="s">
        <v>221</v>
      </c>
      <c r="C4" s="11" t="s">
        <v>222</v>
      </c>
      <c r="D4" s="8"/>
      <c r="E4" s="9"/>
      <c r="F4" s="9">
        <v>6760</v>
      </c>
      <c r="G4" s="10">
        <v>201044</v>
      </c>
      <c r="H4" s="9" t="s">
        <v>223</v>
      </c>
      <c r="I4" s="11"/>
      <c r="J4" s="84">
        <f>766641900+5001005+18254749</f>
        <v>789897654</v>
      </c>
      <c r="K4" s="84">
        <f>67507025+5643865</f>
        <v>73150890</v>
      </c>
      <c r="L4" s="84" t="s">
        <v>224</v>
      </c>
      <c r="M4" s="86" t="s">
        <v>216</v>
      </c>
      <c r="N4" s="13">
        <f t="shared" si="0"/>
        <v>9.2608060841259316</v>
      </c>
      <c r="O4" s="17" t="e">
        <f>(L4/J4)*100</f>
        <v>#VALUE!</v>
      </c>
      <c r="P4" s="14"/>
      <c r="Q4" s="16" t="s">
        <v>225</v>
      </c>
      <c r="R4" s="16" t="s">
        <v>226</v>
      </c>
      <c r="S4" s="16" t="s">
        <v>227</v>
      </c>
      <c r="T4" s="17" t="e">
        <f t="shared" si="1"/>
        <v>#VALUE!</v>
      </c>
      <c r="U4" s="17" t="e">
        <f t="shared" si="2"/>
        <v>#VALUE!</v>
      </c>
    </row>
    <row r="5" spans="1:21" ht="15.75" customHeight="1" x14ac:dyDescent="0.35">
      <c r="A5" s="169"/>
      <c r="B5" s="11"/>
      <c r="C5" s="11"/>
      <c r="D5" s="8"/>
      <c r="E5" s="9"/>
      <c r="F5" s="9"/>
      <c r="G5" s="10"/>
      <c r="H5" s="9"/>
      <c r="I5" s="11"/>
      <c r="J5" s="84"/>
      <c r="K5" s="84"/>
      <c r="L5" s="84"/>
      <c r="M5" s="86"/>
      <c r="N5" s="13"/>
      <c r="O5" s="17"/>
      <c r="P5" s="14"/>
      <c r="Q5" s="16"/>
      <c r="R5" s="16"/>
      <c r="S5" s="16"/>
      <c r="T5" s="17"/>
      <c r="U5" s="17"/>
    </row>
    <row r="6" spans="1:21" ht="15.75" customHeight="1" x14ac:dyDescent="0.35">
      <c r="A6" s="167" t="s">
        <v>228</v>
      </c>
      <c r="B6" s="11" t="s">
        <v>229</v>
      </c>
      <c r="C6" s="11" t="s">
        <v>230</v>
      </c>
      <c r="D6" s="8"/>
      <c r="E6" s="9"/>
      <c r="F6" s="9"/>
      <c r="G6" s="82"/>
      <c r="H6" s="9"/>
      <c r="I6" s="11"/>
      <c r="J6" s="15"/>
      <c r="K6" s="15"/>
      <c r="L6" s="15"/>
      <c r="M6" s="86"/>
      <c r="N6" s="13"/>
      <c r="O6" s="17"/>
      <c r="P6" s="14"/>
      <c r="Q6" s="11"/>
      <c r="R6" s="11"/>
      <c r="S6" s="11"/>
      <c r="T6" s="17"/>
      <c r="U6" s="17"/>
    </row>
    <row r="7" spans="1:21" ht="15.75" customHeight="1" x14ac:dyDescent="0.35">
      <c r="A7" s="168"/>
      <c r="B7" s="11"/>
      <c r="C7" s="11"/>
      <c r="D7" s="8"/>
      <c r="E7" s="9"/>
      <c r="F7" s="9"/>
      <c r="G7" s="82"/>
      <c r="H7" s="9"/>
      <c r="I7" s="11"/>
      <c r="J7" s="15"/>
      <c r="K7" s="15"/>
      <c r="L7" s="15"/>
      <c r="M7" s="86"/>
      <c r="N7" s="13"/>
      <c r="O7" s="17"/>
      <c r="P7" s="14"/>
      <c r="Q7" s="11"/>
      <c r="R7" s="11"/>
      <c r="S7" s="11"/>
      <c r="T7" s="17"/>
      <c r="U7" s="17"/>
    </row>
    <row r="8" spans="1:21" ht="15.75" customHeight="1" x14ac:dyDescent="0.35">
      <c r="A8" s="169"/>
      <c r="B8" s="11"/>
      <c r="C8" s="11"/>
      <c r="D8" s="8"/>
      <c r="E8" s="9"/>
      <c r="F8" s="9"/>
      <c r="G8" s="82"/>
      <c r="H8" s="9"/>
      <c r="I8" s="11"/>
      <c r="J8" s="15"/>
      <c r="K8" s="15"/>
      <c r="L8" s="15"/>
      <c r="M8" s="86"/>
      <c r="N8" s="13"/>
      <c r="O8" s="17"/>
      <c r="P8" s="14"/>
      <c r="Q8" s="11"/>
      <c r="R8" s="11"/>
      <c r="S8" s="11"/>
      <c r="T8" s="17"/>
      <c r="U8" s="17"/>
    </row>
    <row r="9" spans="1:21" ht="15.75" customHeight="1" x14ac:dyDescent="0.35">
      <c r="A9" s="167" t="s">
        <v>231</v>
      </c>
      <c r="B9" s="11" t="s">
        <v>232</v>
      </c>
      <c r="C9" s="11" t="s">
        <v>233</v>
      </c>
      <c r="D9" s="8" t="s">
        <v>15</v>
      </c>
      <c r="E9" s="9"/>
      <c r="F9" s="9">
        <v>124</v>
      </c>
      <c r="G9" s="82">
        <v>250894</v>
      </c>
      <c r="H9" s="9" t="s">
        <v>234</v>
      </c>
      <c r="I9" s="11"/>
      <c r="J9" s="15">
        <f>5.297+125.66+1.31</f>
        <v>132.267</v>
      </c>
      <c r="K9" s="15">
        <v>79.688000000000002</v>
      </c>
      <c r="L9" s="15">
        <v>457.76</v>
      </c>
      <c r="M9" s="86" t="s">
        <v>216</v>
      </c>
      <c r="N9" s="13">
        <f t="shared" ref="N9:N26" si="3">(K9/J9)*100</f>
        <v>60.247832036713625</v>
      </c>
      <c r="O9" s="17">
        <f>(L9/J9)*100</f>
        <v>346.08783748024831</v>
      </c>
      <c r="P9" s="14"/>
      <c r="Q9" s="11"/>
      <c r="R9" s="11"/>
      <c r="S9" s="11"/>
      <c r="T9" s="17" t="e">
        <f t="shared" ref="T9:T12" si="4">(R9/Q9)*100</f>
        <v>#DIV/0!</v>
      </c>
      <c r="U9" s="17" t="e">
        <f t="shared" ref="U9:U12" si="5">(S9/Q9)*100</f>
        <v>#DIV/0!</v>
      </c>
    </row>
    <row r="10" spans="1:21" ht="15.75" customHeight="1" x14ac:dyDescent="0.35">
      <c r="A10" s="168"/>
      <c r="B10" s="11" t="s">
        <v>235</v>
      </c>
      <c r="C10" s="11" t="s">
        <v>236</v>
      </c>
      <c r="D10" s="8"/>
      <c r="E10" s="9"/>
      <c r="F10" s="9">
        <v>3505</v>
      </c>
      <c r="G10" s="82">
        <v>250894</v>
      </c>
      <c r="H10" s="9" t="s">
        <v>234</v>
      </c>
      <c r="I10" s="11"/>
      <c r="J10" s="15">
        <f>3989.253+3090.124+2152.272+974.464</f>
        <v>10206.113000000001</v>
      </c>
      <c r="K10" s="15" t="s">
        <v>237</v>
      </c>
      <c r="L10" s="85" t="s">
        <v>216</v>
      </c>
      <c r="M10" s="86" t="s">
        <v>216</v>
      </c>
      <c r="N10" s="13" t="e">
        <f t="shared" si="3"/>
        <v>#VALUE!</v>
      </c>
      <c r="O10" s="14" t="s">
        <v>217</v>
      </c>
      <c r="P10" s="14"/>
      <c r="Q10" s="11"/>
      <c r="R10" s="11"/>
      <c r="S10" s="11"/>
      <c r="T10" s="17" t="e">
        <f t="shared" si="4"/>
        <v>#DIV/0!</v>
      </c>
      <c r="U10" s="17" t="e">
        <f t="shared" si="5"/>
        <v>#DIV/0!</v>
      </c>
    </row>
    <row r="11" spans="1:21" ht="15.75" customHeight="1" x14ac:dyDescent="0.35">
      <c r="A11" s="169"/>
      <c r="B11" s="11" t="s">
        <v>238</v>
      </c>
      <c r="C11" s="11" t="s">
        <v>239</v>
      </c>
      <c r="D11" s="8" t="s">
        <v>15</v>
      </c>
      <c r="E11" s="9"/>
      <c r="F11" s="9">
        <v>4290</v>
      </c>
      <c r="G11" s="82">
        <v>250894</v>
      </c>
      <c r="H11" s="9" t="s">
        <v>234</v>
      </c>
      <c r="I11" s="11"/>
      <c r="J11" s="15">
        <v>343.62599999999998</v>
      </c>
      <c r="K11" s="15">
        <v>732.34299999999996</v>
      </c>
      <c r="L11" s="85" t="s">
        <v>216</v>
      </c>
      <c r="M11" s="86" t="s">
        <v>216</v>
      </c>
      <c r="N11" s="13">
        <f t="shared" si="3"/>
        <v>213.12211532305474</v>
      </c>
      <c r="O11" s="14" t="s">
        <v>217</v>
      </c>
      <c r="P11" s="14"/>
      <c r="Q11" s="11"/>
      <c r="R11" s="11"/>
      <c r="S11" s="11"/>
      <c r="T11" s="17" t="e">
        <f t="shared" si="4"/>
        <v>#DIV/0!</v>
      </c>
      <c r="U11" s="17" t="e">
        <f t="shared" si="5"/>
        <v>#DIV/0!</v>
      </c>
    </row>
    <row r="12" spans="1:21" ht="15.75" customHeight="1" x14ac:dyDescent="0.35">
      <c r="A12" s="167" t="s">
        <v>240</v>
      </c>
      <c r="B12" s="11" t="s">
        <v>241</v>
      </c>
      <c r="C12" s="11" t="s">
        <v>242</v>
      </c>
      <c r="D12" s="8" t="s">
        <v>243</v>
      </c>
      <c r="E12" s="9"/>
      <c r="F12" s="9"/>
      <c r="G12" s="82">
        <v>225126</v>
      </c>
      <c r="H12" s="11"/>
      <c r="I12" s="11"/>
      <c r="J12" s="11"/>
      <c r="K12" s="11"/>
      <c r="L12" s="11"/>
      <c r="M12" s="11"/>
      <c r="N12" s="13" t="e">
        <f t="shared" si="3"/>
        <v>#DIV/0!</v>
      </c>
      <c r="O12" s="17" t="e">
        <f t="shared" ref="O12:O24" si="6">(L12/J12)*100</f>
        <v>#DIV/0!</v>
      </c>
      <c r="P12" s="11"/>
      <c r="Q12" s="11"/>
      <c r="R12" s="11"/>
      <c r="S12" s="11"/>
      <c r="T12" s="17" t="e">
        <f t="shared" si="4"/>
        <v>#DIV/0!</v>
      </c>
      <c r="U12" s="17" t="e">
        <f t="shared" si="5"/>
        <v>#DIV/0!</v>
      </c>
    </row>
    <row r="13" spans="1:21" ht="15.75" customHeight="1" x14ac:dyDescent="0.35">
      <c r="A13" s="168"/>
      <c r="B13" s="11" t="s">
        <v>244</v>
      </c>
      <c r="C13" s="11" t="s">
        <v>245</v>
      </c>
      <c r="D13" s="8"/>
      <c r="E13" s="9"/>
      <c r="F13" s="9">
        <v>8550</v>
      </c>
      <c r="G13" s="82">
        <v>225126</v>
      </c>
      <c r="H13" s="11"/>
      <c r="I13" s="11"/>
      <c r="J13" s="11">
        <f>24292469+4335254</f>
        <v>28627723</v>
      </c>
      <c r="K13" s="11">
        <f>51112+669605+1046339</f>
        <v>1767056</v>
      </c>
      <c r="L13" s="11">
        <v>4172540</v>
      </c>
      <c r="M13" s="86" t="s">
        <v>216</v>
      </c>
      <c r="N13" s="13">
        <f t="shared" si="3"/>
        <v>6.1725342249539024</v>
      </c>
      <c r="O13" s="17">
        <f t="shared" si="6"/>
        <v>14.57517246481671</v>
      </c>
      <c r="P13" s="11"/>
      <c r="Q13" s="11">
        <v>30505483</v>
      </c>
      <c r="R13" s="85" t="s">
        <v>216</v>
      </c>
      <c r="S13" s="86" t="s">
        <v>216</v>
      </c>
      <c r="T13" s="14" t="s">
        <v>217</v>
      </c>
      <c r="U13" s="14" t="s">
        <v>217</v>
      </c>
    </row>
    <row r="14" spans="1:21" ht="15.75" customHeight="1" x14ac:dyDescent="0.35">
      <c r="A14" s="169"/>
      <c r="B14" s="11" t="s">
        <v>246</v>
      </c>
      <c r="C14" s="11" t="s">
        <v>247</v>
      </c>
      <c r="D14" s="8"/>
      <c r="E14" s="9"/>
      <c r="F14" s="9">
        <v>1370</v>
      </c>
      <c r="G14" s="82">
        <v>225126</v>
      </c>
      <c r="H14" s="11"/>
      <c r="I14" s="11"/>
      <c r="J14" s="11"/>
      <c r="K14" s="11"/>
      <c r="L14" s="11"/>
      <c r="M14" s="11"/>
      <c r="N14" s="13" t="e">
        <f t="shared" si="3"/>
        <v>#DIV/0!</v>
      </c>
      <c r="O14" s="17" t="e">
        <f t="shared" si="6"/>
        <v>#DIV/0!</v>
      </c>
      <c r="P14" s="11"/>
      <c r="Q14" s="11"/>
      <c r="R14" s="11"/>
      <c r="S14" s="11"/>
      <c r="T14" s="17" t="e">
        <f t="shared" ref="T14:T21" si="7">(R14/Q14)*100</f>
        <v>#DIV/0!</v>
      </c>
      <c r="U14" s="17" t="e">
        <f t="shared" ref="U14:U21" si="8">(S14/Q14)*100</f>
        <v>#DIV/0!</v>
      </c>
    </row>
    <row r="15" spans="1:21" ht="15.75" customHeight="1" x14ac:dyDescent="0.35">
      <c r="A15" s="167" t="s">
        <v>248</v>
      </c>
      <c r="B15" s="11" t="s">
        <v>249</v>
      </c>
      <c r="C15" s="11" t="s">
        <v>250</v>
      </c>
      <c r="D15" s="8"/>
      <c r="E15" s="9"/>
      <c r="F15" s="9">
        <v>98870</v>
      </c>
      <c r="G15" s="82">
        <v>1707989</v>
      </c>
      <c r="H15" s="11"/>
      <c r="I15" s="11"/>
      <c r="J15" s="11"/>
      <c r="K15" s="11"/>
      <c r="L15" s="11"/>
      <c r="M15" s="11"/>
      <c r="N15" s="13" t="e">
        <f t="shared" si="3"/>
        <v>#DIV/0!</v>
      </c>
      <c r="O15" s="17" t="e">
        <f t="shared" si="6"/>
        <v>#DIV/0!</v>
      </c>
      <c r="P15" s="11"/>
      <c r="Q15" s="11"/>
      <c r="R15" s="11"/>
      <c r="S15" s="11"/>
      <c r="T15" s="17" t="e">
        <f t="shared" si="7"/>
        <v>#DIV/0!</v>
      </c>
      <c r="U15" s="17" t="e">
        <f t="shared" si="8"/>
        <v>#DIV/0!</v>
      </c>
    </row>
    <row r="16" spans="1:21" ht="15.75" customHeight="1" x14ac:dyDescent="0.35">
      <c r="A16" s="168"/>
      <c r="B16" s="11" t="s">
        <v>251</v>
      </c>
      <c r="C16" s="11" t="s">
        <v>252</v>
      </c>
      <c r="D16" s="8"/>
      <c r="E16" s="9"/>
      <c r="F16" s="9"/>
      <c r="G16" s="82">
        <v>1707989</v>
      </c>
      <c r="H16" s="11"/>
      <c r="I16" s="11"/>
      <c r="J16" s="11"/>
      <c r="K16" s="11"/>
      <c r="L16" s="11"/>
      <c r="M16" s="11"/>
      <c r="N16" s="13" t="e">
        <f t="shared" si="3"/>
        <v>#DIV/0!</v>
      </c>
      <c r="O16" s="17" t="e">
        <f t="shared" si="6"/>
        <v>#DIV/0!</v>
      </c>
      <c r="P16" s="11"/>
      <c r="Q16" s="11"/>
      <c r="R16" s="11"/>
      <c r="S16" s="11"/>
      <c r="T16" s="17" t="e">
        <f t="shared" si="7"/>
        <v>#DIV/0!</v>
      </c>
      <c r="U16" s="17" t="e">
        <f t="shared" si="8"/>
        <v>#DIV/0!</v>
      </c>
    </row>
    <row r="17" spans="1:21" ht="15.75" customHeight="1" x14ac:dyDescent="0.35">
      <c r="A17" s="169"/>
      <c r="B17" s="11" t="s">
        <v>253</v>
      </c>
      <c r="C17" s="11" t="s">
        <v>254</v>
      </c>
      <c r="D17" s="8"/>
      <c r="E17" s="9"/>
      <c r="F17" s="9"/>
      <c r="G17" s="82">
        <v>1707989</v>
      </c>
      <c r="H17" s="11"/>
      <c r="I17" s="11"/>
      <c r="J17" s="11"/>
      <c r="K17" s="11"/>
      <c r="L17" s="11"/>
      <c r="M17" s="11"/>
      <c r="N17" s="13" t="e">
        <f t="shared" si="3"/>
        <v>#DIV/0!</v>
      </c>
      <c r="O17" s="17" t="e">
        <f t="shared" si="6"/>
        <v>#DIV/0!</v>
      </c>
      <c r="P17" s="11"/>
      <c r="Q17" s="11"/>
      <c r="R17" s="11"/>
      <c r="S17" s="11"/>
      <c r="T17" s="17" t="e">
        <f t="shared" si="7"/>
        <v>#DIV/0!</v>
      </c>
      <c r="U17" s="17" t="e">
        <f t="shared" si="8"/>
        <v>#DIV/0!</v>
      </c>
    </row>
    <row r="18" spans="1:21" ht="15.75" customHeight="1" x14ac:dyDescent="0.35">
      <c r="A18" s="167" t="s">
        <v>255</v>
      </c>
      <c r="B18" s="11" t="s">
        <v>256</v>
      </c>
      <c r="C18" s="11" t="s">
        <v>257</v>
      </c>
      <c r="D18" s="8"/>
      <c r="E18" s="9" t="s">
        <v>258</v>
      </c>
      <c r="F18" s="9">
        <v>98520</v>
      </c>
      <c r="G18" s="82"/>
      <c r="H18" s="11"/>
      <c r="I18" s="11"/>
      <c r="J18" s="11"/>
      <c r="K18" s="11"/>
      <c r="L18" s="11"/>
      <c r="M18" s="11"/>
      <c r="N18" s="13" t="e">
        <f t="shared" si="3"/>
        <v>#DIV/0!</v>
      </c>
      <c r="O18" s="17" t="e">
        <f t="shared" si="6"/>
        <v>#DIV/0!</v>
      </c>
      <c r="P18" s="11"/>
      <c r="Q18" s="11"/>
      <c r="R18" s="11"/>
      <c r="S18" s="11"/>
      <c r="T18" s="17" t="e">
        <f t="shared" si="7"/>
        <v>#DIV/0!</v>
      </c>
      <c r="U18" s="17" t="e">
        <f t="shared" si="8"/>
        <v>#DIV/0!</v>
      </c>
    </row>
    <row r="19" spans="1:21" ht="15.75" customHeight="1" x14ac:dyDescent="0.35">
      <c r="A19" s="168"/>
      <c r="B19" s="11" t="s">
        <v>259</v>
      </c>
      <c r="C19" s="11" t="s">
        <v>260</v>
      </c>
      <c r="D19" s="8" t="s">
        <v>243</v>
      </c>
      <c r="E19" s="9"/>
      <c r="F19" s="9">
        <v>33110</v>
      </c>
      <c r="G19" s="82"/>
      <c r="H19" s="11"/>
      <c r="I19" s="11"/>
      <c r="J19" s="11"/>
      <c r="K19" s="11"/>
      <c r="L19" s="11"/>
      <c r="M19" s="11"/>
      <c r="N19" s="13" t="e">
        <f t="shared" si="3"/>
        <v>#DIV/0!</v>
      </c>
      <c r="O19" s="17" t="e">
        <f t="shared" si="6"/>
        <v>#DIV/0!</v>
      </c>
      <c r="P19" s="11"/>
      <c r="Q19" s="11"/>
      <c r="R19" s="11"/>
      <c r="S19" s="11"/>
      <c r="T19" s="17" t="e">
        <f t="shared" si="7"/>
        <v>#DIV/0!</v>
      </c>
      <c r="U19" s="17" t="e">
        <f t="shared" si="8"/>
        <v>#DIV/0!</v>
      </c>
    </row>
    <row r="20" spans="1:21" ht="15.75" customHeight="1" x14ac:dyDescent="0.35">
      <c r="A20" s="169"/>
      <c r="B20" s="11"/>
      <c r="C20" s="11"/>
      <c r="D20" s="8"/>
      <c r="F20" s="9"/>
      <c r="G20" s="82"/>
      <c r="H20" s="11"/>
      <c r="I20" s="11"/>
      <c r="J20" s="11"/>
      <c r="K20" s="11"/>
      <c r="L20" s="11"/>
      <c r="M20" s="11"/>
      <c r="N20" s="13" t="e">
        <f t="shared" si="3"/>
        <v>#DIV/0!</v>
      </c>
      <c r="O20" s="17" t="e">
        <f t="shared" si="6"/>
        <v>#DIV/0!</v>
      </c>
      <c r="P20" s="11"/>
      <c r="Q20" s="11"/>
      <c r="R20" s="11"/>
      <c r="S20" s="11"/>
      <c r="T20" s="17" t="e">
        <f t="shared" si="7"/>
        <v>#DIV/0!</v>
      </c>
      <c r="U20" s="17" t="e">
        <f t="shared" si="8"/>
        <v>#DIV/0!</v>
      </c>
    </row>
    <row r="21" spans="1:21" ht="15.75" customHeight="1" x14ac:dyDescent="0.35">
      <c r="A21" s="167" t="s">
        <v>261</v>
      </c>
      <c r="B21" s="11" t="s">
        <v>262</v>
      </c>
      <c r="C21" s="11" t="s">
        <v>263</v>
      </c>
      <c r="D21" s="8"/>
      <c r="E21" s="9"/>
      <c r="F21" s="9"/>
      <c r="G21" s="82"/>
      <c r="H21" s="11"/>
      <c r="I21" s="11"/>
      <c r="J21" s="11">
        <f>1995047.676+2606629.162+665335.32</f>
        <v>5267012.1579999998</v>
      </c>
      <c r="K21" s="11">
        <f>801423.426+390915.032</f>
        <v>1192338.4580000001</v>
      </c>
      <c r="L21" s="11"/>
      <c r="M21" s="11"/>
      <c r="N21" s="13">
        <f t="shared" si="3"/>
        <v>22.637852775581159</v>
      </c>
      <c r="O21" s="17">
        <f t="shared" si="6"/>
        <v>0</v>
      </c>
      <c r="P21" s="11"/>
      <c r="Q21" s="10"/>
      <c r="R21" s="10"/>
      <c r="S21" s="10"/>
      <c r="T21" s="17" t="e">
        <f t="shared" si="7"/>
        <v>#DIV/0!</v>
      </c>
      <c r="U21" s="17" t="e">
        <f t="shared" si="8"/>
        <v>#DIV/0!</v>
      </c>
    </row>
    <row r="22" spans="1:21" ht="15.75" customHeight="1" x14ac:dyDescent="0.35">
      <c r="A22" s="168"/>
      <c r="B22" s="11" t="s">
        <v>264</v>
      </c>
      <c r="C22" s="11" t="s">
        <v>265</v>
      </c>
      <c r="D22" s="8"/>
      <c r="E22" s="9"/>
      <c r="F22" s="9"/>
      <c r="G22" s="82"/>
      <c r="H22" s="11" t="s">
        <v>215</v>
      </c>
      <c r="I22" s="11"/>
      <c r="J22" s="19">
        <f>112555.49346+151874.309995</f>
        <v>264429.80345499999</v>
      </c>
      <c r="K22" s="19" t="s">
        <v>266</v>
      </c>
      <c r="L22" s="19" t="s">
        <v>267</v>
      </c>
      <c r="M22" s="11" t="s">
        <v>216</v>
      </c>
      <c r="N22" s="13" t="e">
        <f t="shared" si="3"/>
        <v>#VALUE!</v>
      </c>
      <c r="O22" s="17" t="e">
        <f t="shared" si="6"/>
        <v>#VALUE!</v>
      </c>
      <c r="P22" s="11"/>
      <c r="Q22" s="16" t="s">
        <v>268</v>
      </c>
      <c r="R22" s="20" t="s">
        <v>216</v>
      </c>
      <c r="S22" s="20" t="s">
        <v>216</v>
      </c>
      <c r="T22" s="14" t="s">
        <v>217</v>
      </c>
      <c r="U22" s="14" t="s">
        <v>217</v>
      </c>
    </row>
    <row r="23" spans="1:21" ht="15.75" customHeight="1" x14ac:dyDescent="0.35">
      <c r="A23" s="169"/>
      <c r="B23" s="11" t="s">
        <v>269</v>
      </c>
      <c r="C23" s="11" t="s">
        <v>270</v>
      </c>
      <c r="D23" s="8"/>
      <c r="E23" s="9"/>
      <c r="F23" s="9"/>
      <c r="G23" s="82"/>
      <c r="H23" s="11"/>
      <c r="I23" s="11"/>
      <c r="J23" s="11"/>
      <c r="K23" s="11"/>
      <c r="L23" s="11"/>
      <c r="M23" s="11"/>
      <c r="N23" s="13" t="e">
        <f t="shared" si="3"/>
        <v>#DIV/0!</v>
      </c>
      <c r="O23" s="17" t="e">
        <f t="shared" si="6"/>
        <v>#DIV/0!</v>
      </c>
      <c r="P23" s="11"/>
      <c r="Q23" s="11"/>
      <c r="R23" s="11"/>
      <c r="S23" s="11"/>
      <c r="T23" s="17" t="e">
        <f t="shared" ref="T23:T26" si="9">(R23/Q23)*100</f>
        <v>#DIV/0!</v>
      </c>
      <c r="U23" s="17" t="e">
        <f t="shared" ref="U23:U26" si="10">(S23/Q23)*100</f>
        <v>#DIV/0!</v>
      </c>
    </row>
    <row r="24" spans="1:21" ht="15.75" customHeight="1" x14ac:dyDescent="0.35">
      <c r="A24" s="167" t="s">
        <v>271</v>
      </c>
      <c r="B24" s="11" t="s">
        <v>272</v>
      </c>
      <c r="C24" s="11" t="s">
        <v>273</v>
      </c>
      <c r="D24" s="8" t="s">
        <v>274</v>
      </c>
      <c r="E24" s="9" t="s">
        <v>275</v>
      </c>
      <c r="F24" s="9">
        <v>3890</v>
      </c>
      <c r="G24" s="82">
        <v>641081</v>
      </c>
      <c r="H24" s="9" t="s">
        <v>234</v>
      </c>
      <c r="I24" s="11"/>
      <c r="J24" s="15" t="s">
        <v>276</v>
      </c>
      <c r="K24" s="15" t="s">
        <v>277</v>
      </c>
      <c r="L24" s="15">
        <v>800.99</v>
      </c>
      <c r="M24" s="15" t="s">
        <v>278</v>
      </c>
      <c r="N24" s="13" t="e">
        <f t="shared" si="3"/>
        <v>#VALUE!</v>
      </c>
      <c r="O24" s="17" t="e">
        <f t="shared" si="6"/>
        <v>#VALUE!</v>
      </c>
      <c r="P24" s="11"/>
      <c r="Q24" s="10" t="e">
        <f t="shared" ref="Q24:Q26" si="11">R24+S24</f>
        <v>#VALUE!</v>
      </c>
      <c r="R24" s="16">
        <v>20.456</v>
      </c>
      <c r="S24" s="16" t="s">
        <v>279</v>
      </c>
      <c r="T24" s="17" t="e">
        <f t="shared" si="9"/>
        <v>#VALUE!</v>
      </c>
      <c r="U24" s="17" t="e">
        <f t="shared" si="10"/>
        <v>#VALUE!</v>
      </c>
    </row>
    <row r="25" spans="1:21" ht="15.75" customHeight="1" x14ac:dyDescent="0.35">
      <c r="A25" s="168"/>
      <c r="B25" s="11" t="s">
        <v>280</v>
      </c>
      <c r="C25" s="11" t="s">
        <v>281</v>
      </c>
      <c r="D25" s="8" t="s">
        <v>282</v>
      </c>
      <c r="E25" s="9" t="s">
        <v>283</v>
      </c>
      <c r="F25" s="9">
        <v>10490</v>
      </c>
      <c r="G25" s="82">
        <v>204148</v>
      </c>
      <c r="H25" s="9" t="s">
        <v>284</v>
      </c>
      <c r="I25" s="11"/>
      <c r="J25" s="15" t="s">
        <v>285</v>
      </c>
      <c r="K25" s="15" t="s">
        <v>286</v>
      </c>
      <c r="L25" s="20" t="s">
        <v>216</v>
      </c>
      <c r="M25" s="20" t="s">
        <v>216</v>
      </c>
      <c r="N25" s="13" t="e">
        <f t="shared" si="3"/>
        <v>#VALUE!</v>
      </c>
      <c r="O25" s="14" t="s">
        <v>217</v>
      </c>
      <c r="P25" s="11"/>
      <c r="Q25" s="10" t="e">
        <f t="shared" si="11"/>
        <v>#VALUE!</v>
      </c>
      <c r="R25" s="16" t="s">
        <v>287</v>
      </c>
      <c r="S25" s="16" t="s">
        <v>288</v>
      </c>
      <c r="T25" s="17" t="e">
        <f t="shared" si="9"/>
        <v>#VALUE!</v>
      </c>
      <c r="U25" s="17" t="e">
        <f t="shared" si="10"/>
        <v>#VALUE!</v>
      </c>
    </row>
    <row r="26" spans="1:21" ht="15.75" customHeight="1" x14ac:dyDescent="0.35">
      <c r="A26" s="169"/>
      <c r="B26" s="11" t="s">
        <v>289</v>
      </c>
      <c r="C26" s="11" t="s">
        <v>290</v>
      </c>
      <c r="D26" s="8" t="s">
        <v>282</v>
      </c>
      <c r="E26" s="9" t="s">
        <v>291</v>
      </c>
      <c r="F26" s="9">
        <v>6000</v>
      </c>
      <c r="G26" s="82">
        <v>641081</v>
      </c>
      <c r="H26" s="9" t="s">
        <v>284</v>
      </c>
      <c r="I26" s="11"/>
      <c r="J26" s="15" t="s">
        <v>292</v>
      </c>
      <c r="K26" s="15" t="s">
        <v>293</v>
      </c>
      <c r="L26" s="20" t="s">
        <v>216</v>
      </c>
      <c r="M26" s="20" t="s">
        <v>216</v>
      </c>
      <c r="N26" s="13" t="e">
        <f t="shared" si="3"/>
        <v>#VALUE!</v>
      </c>
      <c r="O26" s="14" t="s">
        <v>217</v>
      </c>
      <c r="P26" s="11"/>
      <c r="Q26" s="10" t="e">
        <f t="shared" si="11"/>
        <v>#VALUE!</v>
      </c>
      <c r="R26" s="16" t="s">
        <v>294</v>
      </c>
      <c r="S26" s="16" t="s">
        <v>295</v>
      </c>
      <c r="T26" s="17" t="e">
        <f t="shared" si="9"/>
        <v>#VALUE!</v>
      </c>
      <c r="U26" s="17" t="e">
        <f t="shared" si="10"/>
        <v>#VALUE!</v>
      </c>
    </row>
    <row r="27" spans="1:21" ht="15.75" customHeight="1" x14ac:dyDescent="0.35">
      <c r="A27" s="167" t="s">
        <v>296</v>
      </c>
      <c r="B27" s="11"/>
      <c r="C27" s="11"/>
      <c r="D27" s="8"/>
      <c r="E27" s="9"/>
      <c r="F27" s="9"/>
      <c r="G27" s="82"/>
      <c r="H27" s="11"/>
      <c r="I27" s="11"/>
      <c r="J27" s="11"/>
      <c r="K27" s="11"/>
      <c r="L27" s="11"/>
      <c r="M27" s="11"/>
      <c r="N27" s="13"/>
      <c r="O27" s="17"/>
      <c r="P27" s="11"/>
      <c r="Q27" s="10"/>
      <c r="R27" s="10"/>
      <c r="S27" s="10"/>
      <c r="T27" s="17"/>
      <c r="U27" s="17"/>
    </row>
    <row r="28" spans="1:21" ht="15.75" customHeight="1" x14ac:dyDescent="0.35">
      <c r="A28" s="168"/>
      <c r="B28" s="11"/>
      <c r="C28" s="11"/>
      <c r="D28" s="8"/>
      <c r="E28" s="9"/>
      <c r="F28" s="9"/>
      <c r="G28" s="82"/>
      <c r="H28" s="11"/>
      <c r="I28" s="11"/>
      <c r="J28" s="19"/>
      <c r="K28" s="19"/>
      <c r="L28" s="19"/>
      <c r="M28" s="11"/>
      <c r="N28" s="13"/>
      <c r="O28" s="17"/>
      <c r="P28" s="11"/>
      <c r="Q28" s="16"/>
      <c r="R28" s="20"/>
      <c r="S28" s="20"/>
      <c r="T28" s="14"/>
      <c r="U28" s="14"/>
    </row>
    <row r="29" spans="1:21" ht="15.75" customHeight="1" x14ac:dyDescent="0.35">
      <c r="A29" s="169"/>
      <c r="B29" s="11"/>
      <c r="C29" s="11"/>
      <c r="D29" s="8"/>
      <c r="E29" s="9"/>
      <c r="F29" s="9"/>
      <c r="G29" s="82"/>
      <c r="H29" s="11"/>
      <c r="I29" s="11"/>
      <c r="J29" s="11"/>
      <c r="K29" s="11"/>
      <c r="L29" s="11"/>
      <c r="M29" s="11"/>
      <c r="N29" s="13" t="e">
        <f t="shared" ref="N29:N31" si="12">(K29/J29)*100</f>
        <v>#DIV/0!</v>
      </c>
      <c r="O29" s="17" t="e">
        <f t="shared" ref="O29:O31" si="13">(L29/J29)*100</f>
        <v>#DIV/0!</v>
      </c>
      <c r="P29" s="11"/>
      <c r="Q29" s="10"/>
      <c r="R29" s="10"/>
      <c r="S29" s="10"/>
      <c r="T29" s="17" t="e">
        <f t="shared" ref="T29:T30" si="14">(R29/Q29)*100</f>
        <v>#DIV/0!</v>
      </c>
      <c r="U29" s="17" t="e">
        <f t="shared" ref="U29:U30" si="15">(S29/Q29)*100</f>
        <v>#DIV/0!</v>
      </c>
    </row>
    <row r="30" spans="1:21" ht="15.75" customHeight="1" x14ac:dyDescent="0.35">
      <c r="A30" s="167" t="s">
        <v>297</v>
      </c>
      <c r="B30" s="21" t="s">
        <v>298</v>
      </c>
      <c r="C30" s="21" t="s">
        <v>299</v>
      </c>
      <c r="D30" s="22" t="s">
        <v>300</v>
      </c>
      <c r="E30" s="23"/>
      <c r="F30" s="23">
        <v>1080</v>
      </c>
      <c r="G30" s="21"/>
      <c r="H30" s="21"/>
      <c r="I30" s="21"/>
      <c r="J30" s="21"/>
      <c r="K30" s="21"/>
      <c r="L30" s="21"/>
      <c r="M30" s="21"/>
      <c r="N30" s="24" t="e">
        <f t="shared" si="12"/>
        <v>#DIV/0!</v>
      </c>
      <c r="O30" s="25" t="e">
        <f t="shared" si="13"/>
        <v>#DIV/0!</v>
      </c>
      <c r="P30" s="21"/>
      <c r="Q30" s="21"/>
      <c r="R30" s="21"/>
      <c r="S30" s="21"/>
      <c r="T30" s="25" t="e">
        <f t="shared" si="14"/>
        <v>#DIV/0!</v>
      </c>
      <c r="U30" s="25" t="e">
        <f t="shared" si="15"/>
        <v>#DIV/0!</v>
      </c>
    </row>
    <row r="31" spans="1:21" ht="15.75" customHeight="1" x14ac:dyDescent="0.35">
      <c r="A31" s="168"/>
      <c r="B31" s="21" t="s">
        <v>301</v>
      </c>
      <c r="C31" s="21" t="s">
        <v>302</v>
      </c>
      <c r="D31" s="22" t="s">
        <v>300</v>
      </c>
      <c r="E31" s="23"/>
      <c r="F31" s="23">
        <v>685</v>
      </c>
      <c r="G31" s="21"/>
      <c r="H31" s="21" t="s">
        <v>215</v>
      </c>
      <c r="I31" s="21"/>
      <c r="J31" s="23">
        <f>3550845+214434</f>
        <v>3765279</v>
      </c>
      <c r="K31" s="23">
        <f>225845+133116</f>
        <v>358961</v>
      </c>
      <c r="L31" s="23">
        <v>1234297</v>
      </c>
      <c r="M31" s="26" t="s">
        <v>216</v>
      </c>
      <c r="N31" s="27">
        <f t="shared" si="12"/>
        <v>9.5334502436605622</v>
      </c>
      <c r="O31" s="28">
        <f t="shared" si="13"/>
        <v>32.781023663850675</v>
      </c>
      <c r="P31" s="21"/>
      <c r="Q31" s="23">
        <v>4348392</v>
      </c>
      <c r="R31" s="26" t="s">
        <v>216</v>
      </c>
      <c r="S31" s="26" t="s">
        <v>216</v>
      </c>
      <c r="T31" s="25" t="s">
        <v>217</v>
      </c>
      <c r="U31" s="25" t="s">
        <v>217</v>
      </c>
    </row>
    <row r="32" spans="1:21" ht="15.75" customHeight="1" x14ac:dyDescent="0.35">
      <c r="A32" s="169"/>
      <c r="B32" s="11" t="s">
        <v>303</v>
      </c>
      <c r="C32" s="11" t="s">
        <v>304</v>
      </c>
      <c r="D32" s="22" t="s">
        <v>300</v>
      </c>
      <c r="E32" s="10"/>
      <c r="F32" s="10">
        <v>5080</v>
      </c>
      <c r="G32" s="11"/>
      <c r="H32" s="11"/>
      <c r="I32" s="11"/>
      <c r="J32" s="11"/>
      <c r="K32" s="11"/>
      <c r="L32" s="11"/>
      <c r="M32" s="20"/>
      <c r="N32" s="13"/>
      <c r="O32" s="17"/>
      <c r="P32" s="11"/>
      <c r="Q32" s="10"/>
      <c r="R32" s="20"/>
      <c r="S32" s="20"/>
      <c r="T32" s="14"/>
      <c r="U32" s="14"/>
    </row>
    <row r="33" spans="4:4" ht="15.75" customHeight="1" x14ac:dyDescent="0.35">
      <c r="D33" s="29"/>
    </row>
    <row r="34" spans="4:4" ht="15.75" customHeight="1" x14ac:dyDescent="0.35">
      <c r="D34" s="29"/>
    </row>
    <row r="35" spans="4:4" ht="15.75" customHeight="1" x14ac:dyDescent="0.35">
      <c r="D35" s="29"/>
    </row>
    <row r="36" spans="4:4" ht="15.75" customHeight="1" x14ac:dyDescent="0.35">
      <c r="D36" s="29"/>
    </row>
    <row r="37" spans="4:4" ht="15.75" customHeight="1" x14ac:dyDescent="0.35">
      <c r="D37" s="29"/>
    </row>
    <row r="38" spans="4:4" ht="15.75" customHeight="1" x14ac:dyDescent="0.35">
      <c r="D38" s="29"/>
    </row>
    <row r="39" spans="4:4" ht="15.75" customHeight="1" x14ac:dyDescent="0.35">
      <c r="D39" s="29"/>
    </row>
    <row r="40" spans="4:4" ht="15.75" customHeight="1" x14ac:dyDescent="0.35">
      <c r="D40" s="29"/>
    </row>
    <row r="41" spans="4:4" ht="15.75" customHeight="1" x14ac:dyDescent="0.35">
      <c r="D41" s="29"/>
    </row>
    <row r="42" spans="4:4" ht="15.75" customHeight="1" x14ac:dyDescent="0.35">
      <c r="D42" s="29"/>
    </row>
    <row r="43" spans="4:4" ht="15.75" customHeight="1" x14ac:dyDescent="0.35">
      <c r="D43" s="29"/>
    </row>
    <row r="44" spans="4:4" ht="15.75" customHeight="1" x14ac:dyDescent="0.35">
      <c r="D44" s="29"/>
    </row>
    <row r="45" spans="4:4" ht="15.75" customHeight="1" x14ac:dyDescent="0.35">
      <c r="D45" s="29"/>
    </row>
    <row r="46" spans="4:4" ht="15.75" customHeight="1" x14ac:dyDescent="0.35">
      <c r="D46" s="29"/>
    </row>
    <row r="47" spans="4:4" ht="12.75" x14ac:dyDescent="0.35">
      <c r="D47" s="29"/>
    </row>
    <row r="48" spans="4:4" ht="12.75" x14ac:dyDescent="0.35">
      <c r="D48" s="29"/>
    </row>
    <row r="49" spans="4:4" ht="12.75" x14ac:dyDescent="0.35">
      <c r="D49" s="29"/>
    </row>
    <row r="50" spans="4:4" ht="12.75" x14ac:dyDescent="0.35">
      <c r="D50" s="29"/>
    </row>
    <row r="51" spans="4:4" ht="12.75" x14ac:dyDescent="0.35">
      <c r="D51" s="29"/>
    </row>
    <row r="52" spans="4:4" ht="12.75" x14ac:dyDescent="0.35">
      <c r="D52" s="29"/>
    </row>
    <row r="53" spans="4:4" ht="12.75" x14ac:dyDescent="0.35">
      <c r="D53" s="29"/>
    </row>
    <row r="54" spans="4:4" ht="12.75" x14ac:dyDescent="0.35">
      <c r="D54" s="29"/>
    </row>
    <row r="55" spans="4:4" ht="12.75" x14ac:dyDescent="0.35">
      <c r="D55" s="29"/>
    </row>
    <row r="56" spans="4:4" ht="12.75" x14ac:dyDescent="0.35">
      <c r="D56" s="29"/>
    </row>
    <row r="57" spans="4:4" ht="12.75" x14ac:dyDescent="0.35">
      <c r="D57" s="29"/>
    </row>
    <row r="58" spans="4:4" ht="12.75" x14ac:dyDescent="0.35">
      <c r="D58" s="29"/>
    </row>
    <row r="59" spans="4:4" ht="12.75" x14ac:dyDescent="0.35">
      <c r="D59" s="29"/>
    </row>
    <row r="60" spans="4:4" ht="12.75" x14ac:dyDescent="0.35">
      <c r="D60" s="29"/>
    </row>
    <row r="61" spans="4:4" ht="12.75" x14ac:dyDescent="0.35">
      <c r="D61" s="29"/>
    </row>
    <row r="62" spans="4:4" ht="12.75" x14ac:dyDescent="0.35">
      <c r="D62" s="29"/>
    </row>
    <row r="63" spans="4:4" ht="12.75" x14ac:dyDescent="0.35">
      <c r="D63" s="29"/>
    </row>
    <row r="64" spans="4:4" ht="12.75" x14ac:dyDescent="0.35">
      <c r="D64" s="29"/>
    </row>
    <row r="65" spans="4:4" ht="12.75" x14ac:dyDescent="0.35">
      <c r="D65" s="29"/>
    </row>
    <row r="66" spans="4:4" ht="12.75" x14ac:dyDescent="0.35">
      <c r="D66" s="29"/>
    </row>
    <row r="67" spans="4:4" ht="12.75" x14ac:dyDescent="0.35">
      <c r="D67" s="29"/>
    </row>
    <row r="68" spans="4:4" ht="12.75" x14ac:dyDescent="0.35">
      <c r="D68" s="29"/>
    </row>
    <row r="69" spans="4:4" ht="12.75" x14ac:dyDescent="0.35">
      <c r="D69" s="29"/>
    </row>
    <row r="70" spans="4:4" ht="12.75" x14ac:dyDescent="0.35">
      <c r="D70" s="29"/>
    </row>
    <row r="71" spans="4:4" ht="12.75" x14ac:dyDescent="0.35">
      <c r="D71" s="29"/>
    </row>
    <row r="72" spans="4:4" ht="12.75" x14ac:dyDescent="0.35">
      <c r="D72" s="29"/>
    </row>
    <row r="73" spans="4:4" ht="12.75" x14ac:dyDescent="0.35">
      <c r="D73" s="29"/>
    </row>
    <row r="74" spans="4:4" ht="12.75" x14ac:dyDescent="0.35">
      <c r="D74" s="29"/>
    </row>
    <row r="75" spans="4:4" ht="12.75" x14ac:dyDescent="0.35">
      <c r="D75" s="29"/>
    </row>
    <row r="76" spans="4:4" ht="12.75" x14ac:dyDescent="0.35">
      <c r="D76" s="29"/>
    </row>
    <row r="77" spans="4:4" ht="12.75" x14ac:dyDescent="0.35">
      <c r="D77" s="29"/>
    </row>
    <row r="78" spans="4:4" ht="12.75" x14ac:dyDescent="0.35">
      <c r="D78" s="29"/>
    </row>
    <row r="79" spans="4:4" ht="12.75" x14ac:dyDescent="0.35">
      <c r="D79" s="29"/>
    </row>
    <row r="80" spans="4:4" ht="12.75" x14ac:dyDescent="0.35">
      <c r="D80" s="29"/>
    </row>
    <row r="81" spans="4:4" ht="12.75" x14ac:dyDescent="0.35">
      <c r="D81" s="29"/>
    </row>
    <row r="82" spans="4:4" ht="12.75" x14ac:dyDescent="0.35">
      <c r="D82" s="29"/>
    </row>
    <row r="83" spans="4:4" ht="12.75" x14ac:dyDescent="0.35">
      <c r="D83" s="29"/>
    </row>
    <row r="84" spans="4:4" ht="12.75" x14ac:dyDescent="0.35">
      <c r="D84" s="29"/>
    </row>
    <row r="85" spans="4:4" ht="12.75" x14ac:dyDescent="0.35">
      <c r="D85" s="29"/>
    </row>
    <row r="86" spans="4:4" ht="12.75" x14ac:dyDescent="0.35">
      <c r="D86" s="29"/>
    </row>
    <row r="87" spans="4:4" ht="12.75" x14ac:dyDescent="0.35">
      <c r="D87" s="29"/>
    </row>
    <row r="88" spans="4:4" ht="12.75" x14ac:dyDescent="0.35">
      <c r="D88" s="29"/>
    </row>
    <row r="89" spans="4:4" ht="12.75" x14ac:dyDescent="0.35">
      <c r="D89" s="29"/>
    </row>
    <row r="90" spans="4:4" ht="12.75" x14ac:dyDescent="0.35">
      <c r="D90" s="29"/>
    </row>
    <row r="91" spans="4:4" ht="12.75" x14ac:dyDescent="0.35">
      <c r="D91" s="29"/>
    </row>
    <row r="92" spans="4:4" ht="12.75" x14ac:dyDescent="0.35">
      <c r="D92" s="29"/>
    </row>
    <row r="93" spans="4:4" ht="12.75" x14ac:dyDescent="0.35">
      <c r="D93" s="29"/>
    </row>
    <row r="94" spans="4:4" ht="12.75" x14ac:dyDescent="0.35">
      <c r="D94" s="29"/>
    </row>
    <row r="95" spans="4:4" ht="12.75" x14ac:dyDescent="0.35">
      <c r="D95" s="29"/>
    </row>
    <row r="96" spans="4:4" ht="12.75" x14ac:dyDescent="0.35">
      <c r="D96" s="29"/>
    </row>
    <row r="97" spans="4:4" ht="12.75" x14ac:dyDescent="0.35">
      <c r="D97" s="29"/>
    </row>
    <row r="98" spans="4:4" ht="12.75" x14ac:dyDescent="0.35">
      <c r="D98" s="29"/>
    </row>
    <row r="99" spans="4:4" ht="12.75" x14ac:dyDescent="0.35">
      <c r="D99" s="29"/>
    </row>
    <row r="100" spans="4:4" ht="12.75" x14ac:dyDescent="0.35">
      <c r="D100" s="29"/>
    </row>
    <row r="101" spans="4:4" ht="12.75" x14ac:dyDescent="0.35">
      <c r="D101" s="29"/>
    </row>
    <row r="102" spans="4:4" ht="12.75" x14ac:dyDescent="0.35">
      <c r="D102" s="29"/>
    </row>
    <row r="103" spans="4:4" ht="12.75" x14ac:dyDescent="0.35">
      <c r="D103" s="29"/>
    </row>
    <row r="104" spans="4:4" ht="12.75" x14ac:dyDescent="0.35">
      <c r="D104" s="29"/>
    </row>
    <row r="105" spans="4:4" ht="12.75" x14ac:dyDescent="0.35">
      <c r="D105" s="29"/>
    </row>
    <row r="106" spans="4:4" ht="12.75" x14ac:dyDescent="0.35">
      <c r="D106" s="29"/>
    </row>
    <row r="107" spans="4:4" ht="12.75" x14ac:dyDescent="0.35">
      <c r="D107" s="29"/>
    </row>
    <row r="108" spans="4:4" ht="12.75" x14ac:dyDescent="0.35">
      <c r="D108" s="29"/>
    </row>
    <row r="109" spans="4:4" ht="12.75" x14ac:dyDescent="0.35">
      <c r="D109" s="29"/>
    </row>
    <row r="110" spans="4:4" ht="12.75" x14ac:dyDescent="0.35">
      <c r="D110" s="29"/>
    </row>
    <row r="111" spans="4:4" ht="12.75" x14ac:dyDescent="0.35">
      <c r="D111" s="29"/>
    </row>
    <row r="112" spans="4:4" ht="12.75" x14ac:dyDescent="0.35">
      <c r="D112" s="29"/>
    </row>
    <row r="113" spans="4:4" ht="12.75" x14ac:dyDescent="0.35">
      <c r="D113" s="29"/>
    </row>
    <row r="114" spans="4:4" ht="12.75" x14ac:dyDescent="0.35">
      <c r="D114" s="29"/>
    </row>
    <row r="115" spans="4:4" ht="12.75" x14ac:dyDescent="0.35">
      <c r="D115" s="29"/>
    </row>
    <row r="116" spans="4:4" ht="12.75" x14ac:dyDescent="0.35">
      <c r="D116" s="29"/>
    </row>
    <row r="117" spans="4:4" ht="12.75" x14ac:dyDescent="0.35">
      <c r="D117" s="29"/>
    </row>
    <row r="118" spans="4:4" ht="12.75" x14ac:dyDescent="0.35">
      <c r="D118" s="29"/>
    </row>
    <row r="119" spans="4:4" ht="12.75" x14ac:dyDescent="0.35">
      <c r="D119" s="29"/>
    </row>
    <row r="120" spans="4:4" ht="12.75" x14ac:dyDescent="0.35">
      <c r="D120" s="29"/>
    </row>
    <row r="121" spans="4:4" ht="12.75" x14ac:dyDescent="0.35">
      <c r="D121" s="29"/>
    </row>
    <row r="122" spans="4:4" ht="12.75" x14ac:dyDescent="0.35">
      <c r="D122" s="29"/>
    </row>
    <row r="123" spans="4:4" ht="12.75" x14ac:dyDescent="0.35">
      <c r="D123" s="29"/>
    </row>
    <row r="124" spans="4:4" ht="12.75" x14ac:dyDescent="0.35">
      <c r="D124" s="29"/>
    </row>
    <row r="125" spans="4:4" ht="12.75" x14ac:dyDescent="0.35">
      <c r="D125" s="29"/>
    </row>
    <row r="126" spans="4:4" ht="12.75" x14ac:dyDescent="0.35">
      <c r="D126" s="29"/>
    </row>
    <row r="127" spans="4:4" ht="12.75" x14ac:dyDescent="0.35">
      <c r="D127" s="29"/>
    </row>
    <row r="128" spans="4:4" ht="12.75" x14ac:dyDescent="0.35">
      <c r="D128" s="29"/>
    </row>
    <row r="129" spans="4:4" ht="12.75" x14ac:dyDescent="0.35">
      <c r="D129" s="29"/>
    </row>
    <row r="130" spans="4:4" ht="12.75" x14ac:dyDescent="0.35">
      <c r="D130" s="29"/>
    </row>
    <row r="131" spans="4:4" ht="12.75" x14ac:dyDescent="0.35">
      <c r="D131" s="29"/>
    </row>
    <row r="132" spans="4:4" ht="12.75" x14ac:dyDescent="0.35">
      <c r="D132" s="29"/>
    </row>
    <row r="133" spans="4:4" ht="12.75" x14ac:dyDescent="0.35">
      <c r="D133" s="29"/>
    </row>
    <row r="134" spans="4:4" ht="12.75" x14ac:dyDescent="0.35">
      <c r="D134" s="29"/>
    </row>
    <row r="135" spans="4:4" ht="12.75" x14ac:dyDescent="0.35">
      <c r="D135" s="29"/>
    </row>
    <row r="136" spans="4:4" ht="12.75" x14ac:dyDescent="0.35">
      <c r="D136" s="29"/>
    </row>
    <row r="137" spans="4:4" ht="12.75" x14ac:dyDescent="0.35">
      <c r="D137" s="29"/>
    </row>
    <row r="138" spans="4:4" ht="12.75" x14ac:dyDescent="0.35">
      <c r="D138" s="29"/>
    </row>
    <row r="139" spans="4:4" ht="12.75" x14ac:dyDescent="0.35">
      <c r="D139" s="29"/>
    </row>
    <row r="140" spans="4:4" ht="12.75" x14ac:dyDescent="0.35">
      <c r="D140" s="29"/>
    </row>
    <row r="141" spans="4:4" ht="12.75" x14ac:dyDescent="0.35">
      <c r="D141" s="29"/>
    </row>
    <row r="142" spans="4:4" ht="12.75" x14ac:dyDescent="0.35">
      <c r="D142" s="29"/>
    </row>
    <row r="143" spans="4:4" ht="12.75" x14ac:dyDescent="0.35">
      <c r="D143" s="29"/>
    </row>
    <row r="144" spans="4:4" ht="12.75" x14ac:dyDescent="0.35">
      <c r="D144" s="29"/>
    </row>
    <row r="145" spans="4:4" ht="12.75" x14ac:dyDescent="0.35">
      <c r="D145" s="29"/>
    </row>
    <row r="146" spans="4:4" ht="12.75" x14ac:dyDescent="0.35">
      <c r="D146" s="29"/>
    </row>
    <row r="147" spans="4:4" ht="12.75" x14ac:dyDescent="0.35">
      <c r="D147" s="29"/>
    </row>
    <row r="148" spans="4:4" ht="12.75" x14ac:dyDescent="0.35">
      <c r="D148" s="29"/>
    </row>
    <row r="149" spans="4:4" ht="12.75" x14ac:dyDescent="0.35">
      <c r="D149" s="29"/>
    </row>
    <row r="150" spans="4:4" ht="12.75" x14ac:dyDescent="0.35">
      <c r="D150" s="29"/>
    </row>
    <row r="151" spans="4:4" ht="12.75" x14ac:dyDescent="0.35">
      <c r="D151" s="29"/>
    </row>
    <row r="152" spans="4:4" ht="12.75" x14ac:dyDescent="0.35">
      <c r="D152" s="29"/>
    </row>
    <row r="153" spans="4:4" ht="12.75" x14ac:dyDescent="0.35">
      <c r="D153" s="29"/>
    </row>
    <row r="154" spans="4:4" ht="12.75" x14ac:dyDescent="0.35">
      <c r="D154" s="29"/>
    </row>
    <row r="155" spans="4:4" ht="12.75" x14ac:dyDescent="0.35">
      <c r="D155" s="29"/>
    </row>
    <row r="156" spans="4:4" ht="12.75" x14ac:dyDescent="0.35">
      <c r="D156" s="29"/>
    </row>
    <row r="157" spans="4:4" ht="12.75" x14ac:dyDescent="0.35">
      <c r="D157" s="29"/>
    </row>
    <row r="158" spans="4:4" ht="12.75" x14ac:dyDescent="0.35">
      <c r="D158" s="29"/>
    </row>
    <row r="159" spans="4:4" ht="12.75" x14ac:dyDescent="0.35">
      <c r="D159" s="29"/>
    </row>
    <row r="160" spans="4:4" ht="12.75" x14ac:dyDescent="0.35">
      <c r="D160" s="29"/>
    </row>
    <row r="161" spans="4:4" ht="12.75" x14ac:dyDescent="0.35">
      <c r="D161" s="29"/>
    </row>
    <row r="162" spans="4:4" ht="12.75" x14ac:dyDescent="0.35">
      <c r="D162" s="29"/>
    </row>
    <row r="163" spans="4:4" ht="12.75" x14ac:dyDescent="0.35">
      <c r="D163" s="29"/>
    </row>
    <row r="164" spans="4:4" ht="12.75" x14ac:dyDescent="0.35">
      <c r="D164" s="29"/>
    </row>
    <row r="165" spans="4:4" ht="12.75" x14ac:dyDescent="0.35">
      <c r="D165" s="29"/>
    </row>
    <row r="166" spans="4:4" ht="12.75" x14ac:dyDescent="0.35">
      <c r="D166" s="29"/>
    </row>
    <row r="167" spans="4:4" ht="12.75" x14ac:dyDescent="0.35">
      <c r="D167" s="29"/>
    </row>
    <row r="168" spans="4:4" ht="12.75" x14ac:dyDescent="0.35">
      <c r="D168" s="29"/>
    </row>
    <row r="169" spans="4:4" ht="12.75" x14ac:dyDescent="0.35">
      <c r="D169" s="29"/>
    </row>
    <row r="170" spans="4:4" ht="12.75" x14ac:dyDescent="0.35">
      <c r="D170" s="29"/>
    </row>
    <row r="171" spans="4:4" ht="12.75" x14ac:dyDescent="0.35">
      <c r="D171" s="29"/>
    </row>
    <row r="172" spans="4:4" ht="12.75" x14ac:dyDescent="0.35">
      <c r="D172" s="29"/>
    </row>
    <row r="173" spans="4:4" ht="12.75" x14ac:dyDescent="0.35">
      <c r="D173" s="29"/>
    </row>
    <row r="174" spans="4:4" ht="12.75" x14ac:dyDescent="0.35">
      <c r="D174" s="29"/>
    </row>
    <row r="175" spans="4:4" ht="12.75" x14ac:dyDescent="0.35">
      <c r="D175" s="29"/>
    </row>
    <row r="176" spans="4:4" ht="12.75" x14ac:dyDescent="0.35">
      <c r="D176" s="29"/>
    </row>
    <row r="177" spans="4:4" ht="12.75" x14ac:dyDescent="0.35">
      <c r="D177" s="29"/>
    </row>
    <row r="178" spans="4:4" ht="12.75" x14ac:dyDescent="0.35">
      <c r="D178" s="29"/>
    </row>
    <row r="179" spans="4:4" ht="12.75" x14ac:dyDescent="0.35">
      <c r="D179" s="29"/>
    </row>
    <row r="180" spans="4:4" ht="12.75" x14ac:dyDescent="0.35">
      <c r="D180" s="29"/>
    </row>
    <row r="181" spans="4:4" ht="12.75" x14ac:dyDescent="0.35">
      <c r="D181" s="29"/>
    </row>
    <row r="182" spans="4:4" ht="12.75" x14ac:dyDescent="0.35">
      <c r="D182" s="29"/>
    </row>
    <row r="183" spans="4:4" ht="12.75" x14ac:dyDescent="0.35">
      <c r="D183" s="29"/>
    </row>
    <row r="184" spans="4:4" ht="12.75" x14ac:dyDescent="0.35">
      <c r="D184" s="29"/>
    </row>
    <row r="185" spans="4:4" ht="12.75" x14ac:dyDescent="0.35">
      <c r="D185" s="29"/>
    </row>
    <row r="186" spans="4:4" ht="12.75" x14ac:dyDescent="0.35">
      <c r="D186" s="29"/>
    </row>
    <row r="187" spans="4:4" ht="12.75" x14ac:dyDescent="0.35">
      <c r="D187" s="29"/>
    </row>
    <row r="188" spans="4:4" ht="12.75" x14ac:dyDescent="0.35">
      <c r="D188" s="29"/>
    </row>
    <row r="189" spans="4:4" ht="12.75" x14ac:dyDescent="0.35">
      <c r="D189" s="29"/>
    </row>
    <row r="190" spans="4:4" ht="12.75" x14ac:dyDescent="0.35">
      <c r="D190" s="29"/>
    </row>
    <row r="191" spans="4:4" ht="12.75" x14ac:dyDescent="0.35">
      <c r="D191" s="29"/>
    </row>
    <row r="192" spans="4:4" ht="12.75" x14ac:dyDescent="0.35">
      <c r="D192" s="29"/>
    </row>
    <row r="193" spans="4:4" ht="12.75" x14ac:dyDescent="0.35">
      <c r="D193" s="29"/>
    </row>
    <row r="194" spans="4:4" ht="12.75" x14ac:dyDescent="0.35">
      <c r="D194" s="29"/>
    </row>
    <row r="195" spans="4:4" ht="12.75" x14ac:dyDescent="0.35">
      <c r="D195" s="29"/>
    </row>
    <row r="196" spans="4:4" ht="12.75" x14ac:dyDescent="0.35">
      <c r="D196" s="29"/>
    </row>
    <row r="197" spans="4:4" ht="12.75" x14ac:dyDescent="0.35">
      <c r="D197" s="29"/>
    </row>
    <row r="198" spans="4:4" ht="12.75" x14ac:dyDescent="0.35">
      <c r="D198" s="29"/>
    </row>
    <row r="199" spans="4:4" ht="12.75" x14ac:dyDescent="0.35">
      <c r="D199" s="29"/>
    </row>
    <row r="200" spans="4:4" ht="12.75" x14ac:dyDescent="0.35">
      <c r="D200" s="29"/>
    </row>
    <row r="201" spans="4:4" ht="12.75" x14ac:dyDescent="0.35">
      <c r="D201" s="29"/>
    </row>
    <row r="202" spans="4:4" ht="12.75" x14ac:dyDescent="0.35">
      <c r="D202" s="29"/>
    </row>
    <row r="203" spans="4:4" ht="12.75" x14ac:dyDescent="0.35">
      <c r="D203" s="29"/>
    </row>
    <row r="204" spans="4:4" ht="12.75" x14ac:dyDescent="0.35">
      <c r="D204" s="29"/>
    </row>
    <row r="205" spans="4:4" ht="12.75" x14ac:dyDescent="0.35">
      <c r="D205" s="29"/>
    </row>
    <row r="206" spans="4:4" ht="12.75" x14ac:dyDescent="0.35">
      <c r="D206" s="29"/>
    </row>
    <row r="207" spans="4:4" ht="12.75" x14ac:dyDescent="0.35">
      <c r="D207" s="29"/>
    </row>
    <row r="208" spans="4:4" ht="12.75" x14ac:dyDescent="0.35">
      <c r="D208" s="29"/>
    </row>
    <row r="209" spans="4:4" ht="12.75" x14ac:dyDescent="0.35">
      <c r="D209" s="29"/>
    </row>
    <row r="210" spans="4:4" ht="12.75" x14ac:dyDescent="0.35">
      <c r="D210" s="29"/>
    </row>
    <row r="211" spans="4:4" ht="12.75" x14ac:dyDescent="0.35">
      <c r="D211" s="29"/>
    </row>
    <row r="212" spans="4:4" ht="12.75" x14ac:dyDescent="0.35">
      <c r="D212" s="29"/>
    </row>
    <row r="213" spans="4:4" ht="12.75" x14ac:dyDescent="0.35">
      <c r="D213" s="29"/>
    </row>
    <row r="214" spans="4:4" ht="12.75" x14ac:dyDescent="0.35">
      <c r="D214" s="29"/>
    </row>
    <row r="215" spans="4:4" ht="12.75" x14ac:dyDescent="0.35">
      <c r="D215" s="29"/>
    </row>
    <row r="216" spans="4:4" ht="12.75" x14ac:dyDescent="0.35">
      <c r="D216" s="29"/>
    </row>
    <row r="217" spans="4:4" ht="12.75" x14ac:dyDescent="0.35">
      <c r="D217" s="29"/>
    </row>
    <row r="218" spans="4:4" ht="12.75" x14ac:dyDescent="0.35">
      <c r="D218" s="29"/>
    </row>
    <row r="219" spans="4:4" ht="12.75" x14ac:dyDescent="0.35">
      <c r="D219" s="29"/>
    </row>
    <row r="220" spans="4:4" ht="12.75" x14ac:dyDescent="0.35">
      <c r="D220" s="29"/>
    </row>
    <row r="221" spans="4:4" ht="12.75" x14ac:dyDescent="0.35">
      <c r="D221" s="29"/>
    </row>
    <row r="222" spans="4:4" ht="12.75" x14ac:dyDescent="0.35">
      <c r="D222" s="29"/>
    </row>
    <row r="223" spans="4:4" ht="12.75" x14ac:dyDescent="0.35">
      <c r="D223" s="29"/>
    </row>
    <row r="224" spans="4:4" ht="12.75" x14ac:dyDescent="0.35">
      <c r="D224" s="29"/>
    </row>
    <row r="225" spans="4:4" ht="12.75" x14ac:dyDescent="0.35">
      <c r="D225" s="29"/>
    </row>
    <row r="226" spans="4:4" ht="12.75" x14ac:dyDescent="0.35">
      <c r="D226" s="29"/>
    </row>
    <row r="227" spans="4:4" ht="12.75" x14ac:dyDescent="0.35">
      <c r="D227" s="29"/>
    </row>
    <row r="228" spans="4:4" ht="12.75" x14ac:dyDescent="0.35">
      <c r="D228" s="29"/>
    </row>
    <row r="229" spans="4:4" ht="12.75" x14ac:dyDescent="0.35">
      <c r="D229" s="29"/>
    </row>
    <row r="230" spans="4:4" ht="12.75" x14ac:dyDescent="0.35">
      <c r="D230" s="29"/>
    </row>
    <row r="231" spans="4:4" ht="12.75" x14ac:dyDescent="0.35">
      <c r="D231" s="29"/>
    </row>
    <row r="232" spans="4:4" ht="12.75" x14ac:dyDescent="0.35">
      <c r="D232" s="29"/>
    </row>
    <row r="233" spans="4:4" ht="12.75" x14ac:dyDescent="0.35">
      <c r="D233" s="29"/>
    </row>
    <row r="234" spans="4:4" ht="12.75" x14ac:dyDescent="0.35">
      <c r="D234" s="29"/>
    </row>
    <row r="235" spans="4:4" ht="12.75" x14ac:dyDescent="0.35">
      <c r="D235" s="29"/>
    </row>
    <row r="236" spans="4:4" ht="12.75" x14ac:dyDescent="0.35">
      <c r="D236" s="29"/>
    </row>
    <row r="237" spans="4:4" ht="12.75" x14ac:dyDescent="0.35">
      <c r="D237" s="29"/>
    </row>
    <row r="238" spans="4:4" ht="12.75" x14ac:dyDescent="0.35">
      <c r="D238" s="29"/>
    </row>
    <row r="239" spans="4:4" ht="12.75" x14ac:dyDescent="0.35">
      <c r="D239" s="29"/>
    </row>
    <row r="240" spans="4:4" ht="12.75" x14ac:dyDescent="0.35">
      <c r="D240" s="29"/>
    </row>
    <row r="241" spans="4:4" ht="12.75" x14ac:dyDescent="0.35">
      <c r="D241" s="29"/>
    </row>
    <row r="242" spans="4:4" ht="12.75" x14ac:dyDescent="0.35">
      <c r="D242" s="29"/>
    </row>
    <row r="243" spans="4:4" ht="12.75" x14ac:dyDescent="0.35">
      <c r="D243" s="29"/>
    </row>
    <row r="244" spans="4:4" ht="12.75" x14ac:dyDescent="0.35">
      <c r="D244" s="29"/>
    </row>
    <row r="245" spans="4:4" ht="12.75" x14ac:dyDescent="0.35">
      <c r="D245" s="29"/>
    </row>
    <row r="246" spans="4:4" ht="12.75" x14ac:dyDescent="0.35">
      <c r="D246" s="29"/>
    </row>
    <row r="247" spans="4:4" ht="12.75" x14ac:dyDescent="0.35">
      <c r="D247" s="29"/>
    </row>
    <row r="248" spans="4:4" ht="12.75" x14ac:dyDescent="0.35">
      <c r="D248" s="29"/>
    </row>
    <row r="249" spans="4:4" ht="12.75" x14ac:dyDescent="0.35">
      <c r="D249" s="29"/>
    </row>
    <row r="250" spans="4:4" ht="12.75" x14ac:dyDescent="0.35">
      <c r="D250" s="29"/>
    </row>
    <row r="251" spans="4:4" ht="12.75" x14ac:dyDescent="0.35">
      <c r="D251" s="29"/>
    </row>
    <row r="252" spans="4:4" ht="12.75" x14ac:dyDescent="0.35">
      <c r="D252" s="29"/>
    </row>
    <row r="253" spans="4:4" ht="12.75" x14ac:dyDescent="0.35">
      <c r="D253" s="29"/>
    </row>
    <row r="254" spans="4:4" ht="12.75" x14ac:dyDescent="0.35">
      <c r="D254" s="29"/>
    </row>
    <row r="255" spans="4:4" ht="12.75" x14ac:dyDescent="0.35">
      <c r="D255" s="29"/>
    </row>
    <row r="256" spans="4:4" ht="12.75" x14ac:dyDescent="0.35">
      <c r="D256" s="29"/>
    </row>
    <row r="257" spans="4:4" ht="12.75" x14ac:dyDescent="0.35">
      <c r="D257" s="29"/>
    </row>
    <row r="258" spans="4:4" ht="12.75" x14ac:dyDescent="0.35">
      <c r="D258" s="29"/>
    </row>
    <row r="259" spans="4:4" ht="12.75" x14ac:dyDescent="0.35">
      <c r="D259" s="29"/>
    </row>
    <row r="260" spans="4:4" ht="12.75" x14ac:dyDescent="0.35">
      <c r="D260" s="29"/>
    </row>
    <row r="261" spans="4:4" ht="12.75" x14ac:dyDescent="0.35">
      <c r="D261" s="29"/>
    </row>
    <row r="262" spans="4:4" ht="12.75" x14ac:dyDescent="0.35">
      <c r="D262" s="29"/>
    </row>
    <row r="263" spans="4:4" ht="12.75" x14ac:dyDescent="0.35">
      <c r="D263" s="29"/>
    </row>
    <row r="264" spans="4:4" ht="12.75" x14ac:dyDescent="0.35">
      <c r="D264" s="29"/>
    </row>
    <row r="265" spans="4:4" ht="12.75" x14ac:dyDescent="0.35">
      <c r="D265" s="29"/>
    </row>
    <row r="266" spans="4:4" ht="12.75" x14ac:dyDescent="0.35">
      <c r="D266" s="29"/>
    </row>
    <row r="267" spans="4:4" ht="12.75" x14ac:dyDescent="0.35">
      <c r="D267" s="29"/>
    </row>
    <row r="268" spans="4:4" ht="12.75" x14ac:dyDescent="0.35">
      <c r="D268" s="29"/>
    </row>
    <row r="269" spans="4:4" ht="12.75" x14ac:dyDescent="0.35">
      <c r="D269" s="29"/>
    </row>
    <row r="270" spans="4:4" ht="12.75" x14ac:dyDescent="0.35">
      <c r="D270" s="29"/>
    </row>
    <row r="271" spans="4:4" ht="12.75" x14ac:dyDescent="0.35">
      <c r="D271" s="29"/>
    </row>
    <row r="272" spans="4:4" ht="12.75" x14ac:dyDescent="0.35">
      <c r="D272" s="29"/>
    </row>
    <row r="273" spans="4:4" ht="12.75" x14ac:dyDescent="0.35">
      <c r="D273" s="29"/>
    </row>
    <row r="274" spans="4:4" ht="12.75" x14ac:dyDescent="0.35">
      <c r="D274" s="29"/>
    </row>
    <row r="275" spans="4:4" ht="12.75" x14ac:dyDescent="0.35">
      <c r="D275" s="29"/>
    </row>
    <row r="276" spans="4:4" ht="12.75" x14ac:dyDescent="0.35">
      <c r="D276" s="29"/>
    </row>
    <row r="277" spans="4:4" ht="12.75" x14ac:dyDescent="0.35">
      <c r="D277" s="29"/>
    </row>
    <row r="278" spans="4:4" ht="12.75" x14ac:dyDescent="0.35">
      <c r="D278" s="29"/>
    </row>
    <row r="279" spans="4:4" ht="12.75" x14ac:dyDescent="0.35">
      <c r="D279" s="29"/>
    </row>
    <row r="280" spans="4:4" ht="12.75" x14ac:dyDescent="0.35">
      <c r="D280" s="29"/>
    </row>
    <row r="281" spans="4:4" ht="12.75" x14ac:dyDescent="0.35">
      <c r="D281" s="29"/>
    </row>
    <row r="282" spans="4:4" ht="12.75" x14ac:dyDescent="0.35">
      <c r="D282" s="29"/>
    </row>
    <row r="283" spans="4:4" ht="12.75" x14ac:dyDescent="0.35">
      <c r="D283" s="29"/>
    </row>
    <row r="284" spans="4:4" ht="12.75" x14ac:dyDescent="0.35">
      <c r="D284" s="29"/>
    </row>
    <row r="285" spans="4:4" ht="12.75" x14ac:dyDescent="0.35">
      <c r="D285" s="29"/>
    </row>
    <row r="286" spans="4:4" ht="12.75" x14ac:dyDescent="0.35">
      <c r="D286" s="29"/>
    </row>
    <row r="287" spans="4:4" ht="12.75" x14ac:dyDescent="0.35">
      <c r="D287" s="29"/>
    </row>
    <row r="288" spans="4:4" ht="12.75" x14ac:dyDescent="0.35">
      <c r="D288" s="29"/>
    </row>
    <row r="289" spans="4:4" ht="12.75" x14ac:dyDescent="0.35">
      <c r="D289" s="29"/>
    </row>
    <row r="290" spans="4:4" ht="12.75" x14ac:dyDescent="0.35">
      <c r="D290" s="29"/>
    </row>
    <row r="291" spans="4:4" ht="12.75" x14ac:dyDescent="0.35">
      <c r="D291" s="29"/>
    </row>
    <row r="292" spans="4:4" ht="12.75" x14ac:dyDescent="0.35">
      <c r="D292" s="29"/>
    </row>
    <row r="293" spans="4:4" ht="12.75" x14ac:dyDescent="0.35">
      <c r="D293" s="29"/>
    </row>
    <row r="294" spans="4:4" ht="12.75" x14ac:dyDescent="0.35">
      <c r="D294" s="29"/>
    </row>
    <row r="295" spans="4:4" ht="12.75" x14ac:dyDescent="0.35">
      <c r="D295" s="29"/>
    </row>
    <row r="296" spans="4:4" ht="12.75" x14ac:dyDescent="0.35">
      <c r="D296" s="29"/>
    </row>
    <row r="297" spans="4:4" ht="12.75" x14ac:dyDescent="0.35">
      <c r="D297" s="29"/>
    </row>
    <row r="298" spans="4:4" ht="12.75" x14ac:dyDescent="0.35">
      <c r="D298" s="29"/>
    </row>
    <row r="299" spans="4:4" ht="12.75" x14ac:dyDescent="0.35">
      <c r="D299" s="29"/>
    </row>
    <row r="300" spans="4:4" ht="12.75" x14ac:dyDescent="0.35">
      <c r="D300" s="29"/>
    </row>
    <row r="301" spans="4:4" ht="12.75" x14ac:dyDescent="0.35">
      <c r="D301" s="29"/>
    </row>
    <row r="302" spans="4:4" ht="12.75" x14ac:dyDescent="0.35">
      <c r="D302" s="29"/>
    </row>
    <row r="303" spans="4:4" ht="12.75" x14ac:dyDescent="0.35">
      <c r="D303" s="29"/>
    </row>
    <row r="304" spans="4:4" ht="12.75" x14ac:dyDescent="0.35">
      <c r="D304" s="29"/>
    </row>
    <row r="305" spans="4:4" ht="12.75" x14ac:dyDescent="0.35">
      <c r="D305" s="29"/>
    </row>
    <row r="306" spans="4:4" ht="12.75" x14ac:dyDescent="0.35">
      <c r="D306" s="29"/>
    </row>
    <row r="307" spans="4:4" ht="12.75" x14ac:dyDescent="0.35">
      <c r="D307" s="29"/>
    </row>
    <row r="308" spans="4:4" ht="12.75" x14ac:dyDescent="0.35">
      <c r="D308" s="29"/>
    </row>
    <row r="309" spans="4:4" ht="12.75" x14ac:dyDescent="0.35">
      <c r="D309" s="29"/>
    </row>
    <row r="310" spans="4:4" ht="12.75" x14ac:dyDescent="0.35">
      <c r="D310" s="29"/>
    </row>
    <row r="311" spans="4:4" ht="12.75" x14ac:dyDescent="0.35">
      <c r="D311" s="29"/>
    </row>
    <row r="312" spans="4:4" ht="12.75" x14ac:dyDescent="0.35">
      <c r="D312" s="29"/>
    </row>
    <row r="313" spans="4:4" ht="12.75" x14ac:dyDescent="0.35">
      <c r="D313" s="29"/>
    </row>
    <row r="314" spans="4:4" ht="12.75" x14ac:dyDescent="0.35">
      <c r="D314" s="29"/>
    </row>
    <row r="315" spans="4:4" ht="12.75" x14ac:dyDescent="0.35">
      <c r="D315" s="29"/>
    </row>
    <row r="316" spans="4:4" ht="12.75" x14ac:dyDescent="0.35">
      <c r="D316" s="29"/>
    </row>
    <row r="317" spans="4:4" ht="12.75" x14ac:dyDescent="0.35">
      <c r="D317" s="29"/>
    </row>
    <row r="318" spans="4:4" ht="12.75" x14ac:dyDescent="0.35">
      <c r="D318" s="29"/>
    </row>
    <row r="319" spans="4:4" ht="12.75" x14ac:dyDescent="0.35">
      <c r="D319" s="29"/>
    </row>
    <row r="320" spans="4:4" ht="12.75" x14ac:dyDescent="0.35">
      <c r="D320" s="29"/>
    </row>
    <row r="321" spans="4:4" ht="12.75" x14ac:dyDescent="0.35">
      <c r="D321" s="29"/>
    </row>
    <row r="322" spans="4:4" ht="12.75" x14ac:dyDescent="0.35">
      <c r="D322" s="29"/>
    </row>
    <row r="323" spans="4:4" ht="12.75" x14ac:dyDescent="0.35">
      <c r="D323" s="29"/>
    </row>
    <row r="324" spans="4:4" ht="12.75" x14ac:dyDescent="0.35">
      <c r="D324" s="29"/>
    </row>
    <row r="325" spans="4:4" ht="12.75" x14ac:dyDescent="0.35">
      <c r="D325" s="29"/>
    </row>
    <row r="326" spans="4:4" ht="12.75" x14ac:dyDescent="0.35">
      <c r="D326" s="29"/>
    </row>
    <row r="327" spans="4:4" ht="12.75" x14ac:dyDescent="0.35">
      <c r="D327" s="29"/>
    </row>
    <row r="328" spans="4:4" ht="12.75" x14ac:dyDescent="0.35">
      <c r="D328" s="29"/>
    </row>
    <row r="329" spans="4:4" ht="12.75" x14ac:dyDescent="0.35">
      <c r="D329" s="29"/>
    </row>
    <row r="330" spans="4:4" ht="12.75" x14ac:dyDescent="0.35">
      <c r="D330" s="29"/>
    </row>
    <row r="331" spans="4:4" ht="12.75" x14ac:dyDescent="0.35">
      <c r="D331" s="29"/>
    </row>
    <row r="332" spans="4:4" ht="12.75" x14ac:dyDescent="0.35">
      <c r="D332" s="29"/>
    </row>
    <row r="333" spans="4:4" ht="12.75" x14ac:dyDescent="0.35">
      <c r="D333" s="29"/>
    </row>
    <row r="334" spans="4:4" ht="12.75" x14ac:dyDescent="0.35">
      <c r="D334" s="29"/>
    </row>
    <row r="335" spans="4:4" ht="12.75" x14ac:dyDescent="0.35">
      <c r="D335" s="29"/>
    </row>
    <row r="336" spans="4:4" ht="12.75" x14ac:dyDescent="0.35">
      <c r="D336" s="29"/>
    </row>
    <row r="337" spans="4:4" ht="12.75" x14ac:dyDescent="0.35">
      <c r="D337" s="29"/>
    </row>
    <row r="338" spans="4:4" ht="12.75" x14ac:dyDescent="0.35">
      <c r="D338" s="29"/>
    </row>
    <row r="339" spans="4:4" ht="12.75" x14ac:dyDescent="0.35">
      <c r="D339" s="29"/>
    </row>
    <row r="340" spans="4:4" ht="12.75" x14ac:dyDescent="0.35">
      <c r="D340" s="29"/>
    </row>
    <row r="341" spans="4:4" ht="12.75" x14ac:dyDescent="0.35">
      <c r="D341" s="29"/>
    </row>
    <row r="342" spans="4:4" ht="12.75" x14ac:dyDescent="0.35">
      <c r="D342" s="29"/>
    </row>
    <row r="343" spans="4:4" ht="12.75" x14ac:dyDescent="0.35">
      <c r="D343" s="29"/>
    </row>
    <row r="344" spans="4:4" ht="12.75" x14ac:dyDescent="0.35">
      <c r="D344" s="29"/>
    </row>
    <row r="345" spans="4:4" ht="12.75" x14ac:dyDescent="0.35">
      <c r="D345" s="29"/>
    </row>
    <row r="346" spans="4:4" ht="12.75" x14ac:dyDescent="0.35">
      <c r="D346" s="29"/>
    </row>
    <row r="347" spans="4:4" ht="12.75" x14ac:dyDescent="0.35">
      <c r="D347" s="29"/>
    </row>
    <row r="348" spans="4:4" ht="12.75" x14ac:dyDescent="0.35">
      <c r="D348" s="29"/>
    </row>
    <row r="349" spans="4:4" ht="12.75" x14ac:dyDescent="0.35">
      <c r="D349" s="29"/>
    </row>
    <row r="350" spans="4:4" ht="12.75" x14ac:dyDescent="0.35">
      <c r="D350" s="29"/>
    </row>
    <row r="351" spans="4:4" ht="12.75" x14ac:dyDescent="0.35">
      <c r="D351" s="29"/>
    </row>
    <row r="352" spans="4:4" ht="12.75" x14ac:dyDescent="0.35">
      <c r="D352" s="29"/>
    </row>
    <row r="353" spans="4:4" ht="12.75" x14ac:dyDescent="0.35">
      <c r="D353" s="29"/>
    </row>
    <row r="354" spans="4:4" ht="12.75" x14ac:dyDescent="0.35">
      <c r="D354" s="29"/>
    </row>
    <row r="355" spans="4:4" ht="12.75" x14ac:dyDescent="0.35">
      <c r="D355" s="29"/>
    </row>
    <row r="356" spans="4:4" ht="12.75" x14ac:dyDescent="0.35">
      <c r="D356" s="29"/>
    </row>
    <row r="357" spans="4:4" ht="12.75" x14ac:dyDescent="0.35">
      <c r="D357" s="29"/>
    </row>
    <row r="358" spans="4:4" ht="12.75" x14ac:dyDescent="0.35">
      <c r="D358" s="29"/>
    </row>
    <row r="359" spans="4:4" ht="12.75" x14ac:dyDescent="0.35">
      <c r="D359" s="29"/>
    </row>
    <row r="360" spans="4:4" ht="12.75" x14ac:dyDescent="0.35">
      <c r="D360" s="29"/>
    </row>
    <row r="361" spans="4:4" ht="12.75" x14ac:dyDescent="0.35">
      <c r="D361" s="29"/>
    </row>
    <row r="362" spans="4:4" ht="12.75" x14ac:dyDescent="0.35">
      <c r="D362" s="29"/>
    </row>
    <row r="363" spans="4:4" ht="12.75" x14ac:dyDescent="0.35">
      <c r="D363" s="29"/>
    </row>
    <row r="364" spans="4:4" ht="12.75" x14ac:dyDescent="0.35">
      <c r="D364" s="29"/>
    </row>
    <row r="365" spans="4:4" ht="12.75" x14ac:dyDescent="0.35">
      <c r="D365" s="29"/>
    </row>
    <row r="366" spans="4:4" ht="12.75" x14ac:dyDescent="0.35">
      <c r="D366" s="29"/>
    </row>
    <row r="367" spans="4:4" ht="12.75" x14ac:dyDescent="0.35">
      <c r="D367" s="29"/>
    </row>
    <row r="368" spans="4:4" ht="12.75" x14ac:dyDescent="0.35">
      <c r="D368" s="29"/>
    </row>
    <row r="369" spans="4:4" ht="12.75" x14ac:dyDescent="0.35">
      <c r="D369" s="29"/>
    </row>
    <row r="370" spans="4:4" ht="12.75" x14ac:dyDescent="0.35">
      <c r="D370" s="29"/>
    </row>
    <row r="371" spans="4:4" ht="12.75" x14ac:dyDescent="0.35">
      <c r="D371" s="29"/>
    </row>
    <row r="372" spans="4:4" ht="12.75" x14ac:dyDescent="0.35">
      <c r="D372" s="29"/>
    </row>
    <row r="373" spans="4:4" ht="12.75" x14ac:dyDescent="0.35">
      <c r="D373" s="29"/>
    </row>
    <row r="374" spans="4:4" ht="12.75" x14ac:dyDescent="0.35">
      <c r="D374" s="29"/>
    </row>
    <row r="375" spans="4:4" ht="12.75" x14ac:dyDescent="0.35">
      <c r="D375" s="29"/>
    </row>
    <row r="376" spans="4:4" ht="12.75" x14ac:dyDescent="0.35">
      <c r="D376" s="29"/>
    </row>
    <row r="377" spans="4:4" ht="12.75" x14ac:dyDescent="0.35">
      <c r="D377" s="29"/>
    </row>
    <row r="378" spans="4:4" ht="12.75" x14ac:dyDescent="0.35">
      <c r="D378" s="29"/>
    </row>
    <row r="379" spans="4:4" ht="12.75" x14ac:dyDescent="0.35">
      <c r="D379" s="29"/>
    </row>
    <row r="380" spans="4:4" ht="12.75" x14ac:dyDescent="0.35">
      <c r="D380" s="29"/>
    </row>
    <row r="381" spans="4:4" ht="12.75" x14ac:dyDescent="0.35">
      <c r="D381" s="29"/>
    </row>
    <row r="382" spans="4:4" ht="12.75" x14ac:dyDescent="0.35">
      <c r="D382" s="29"/>
    </row>
    <row r="383" spans="4:4" ht="12.75" x14ac:dyDescent="0.35">
      <c r="D383" s="29"/>
    </row>
    <row r="384" spans="4:4" ht="12.75" x14ac:dyDescent="0.35">
      <c r="D384" s="29"/>
    </row>
    <row r="385" spans="4:4" ht="12.75" x14ac:dyDescent="0.35">
      <c r="D385" s="29"/>
    </row>
    <row r="386" spans="4:4" ht="12.75" x14ac:dyDescent="0.35">
      <c r="D386" s="29"/>
    </row>
    <row r="387" spans="4:4" ht="12.75" x14ac:dyDescent="0.35">
      <c r="D387" s="29"/>
    </row>
    <row r="388" spans="4:4" ht="12.75" x14ac:dyDescent="0.35">
      <c r="D388" s="29"/>
    </row>
    <row r="389" spans="4:4" ht="12.75" x14ac:dyDescent="0.35">
      <c r="D389" s="29"/>
    </row>
    <row r="390" spans="4:4" ht="12.75" x14ac:dyDescent="0.35">
      <c r="D390" s="29"/>
    </row>
    <row r="391" spans="4:4" ht="12.75" x14ac:dyDescent="0.35">
      <c r="D391" s="29"/>
    </row>
    <row r="392" spans="4:4" ht="12.75" x14ac:dyDescent="0.35">
      <c r="D392" s="29"/>
    </row>
    <row r="393" spans="4:4" ht="12.75" x14ac:dyDescent="0.35">
      <c r="D393" s="29"/>
    </row>
    <row r="394" spans="4:4" ht="12.75" x14ac:dyDescent="0.35">
      <c r="D394" s="29"/>
    </row>
    <row r="395" spans="4:4" ht="12.75" x14ac:dyDescent="0.35">
      <c r="D395" s="29"/>
    </row>
    <row r="396" spans="4:4" ht="12.75" x14ac:dyDescent="0.35">
      <c r="D396" s="29"/>
    </row>
    <row r="397" spans="4:4" ht="12.75" x14ac:dyDescent="0.35">
      <c r="D397" s="29"/>
    </row>
    <row r="398" spans="4:4" ht="12.75" x14ac:dyDescent="0.35">
      <c r="D398" s="29"/>
    </row>
    <row r="399" spans="4:4" ht="12.75" x14ac:dyDescent="0.35">
      <c r="D399" s="29"/>
    </row>
    <row r="400" spans="4:4" ht="12.75" x14ac:dyDescent="0.35">
      <c r="D400" s="29"/>
    </row>
    <row r="401" spans="4:4" ht="12.75" x14ac:dyDescent="0.35">
      <c r="D401" s="29"/>
    </row>
    <row r="402" spans="4:4" ht="12.75" x14ac:dyDescent="0.35">
      <c r="D402" s="29"/>
    </row>
    <row r="403" spans="4:4" ht="12.75" x14ac:dyDescent="0.35">
      <c r="D403" s="29"/>
    </row>
    <row r="404" spans="4:4" ht="12.75" x14ac:dyDescent="0.35">
      <c r="D404" s="29"/>
    </row>
    <row r="405" spans="4:4" ht="12.75" x14ac:dyDescent="0.35">
      <c r="D405" s="29"/>
    </row>
    <row r="406" spans="4:4" ht="12.75" x14ac:dyDescent="0.35">
      <c r="D406" s="29"/>
    </row>
    <row r="407" spans="4:4" ht="12.75" x14ac:dyDescent="0.35">
      <c r="D407" s="29"/>
    </row>
    <row r="408" spans="4:4" ht="12.75" x14ac:dyDescent="0.35">
      <c r="D408" s="29"/>
    </row>
    <row r="409" spans="4:4" ht="12.75" x14ac:dyDescent="0.35">
      <c r="D409" s="29"/>
    </row>
    <row r="410" spans="4:4" ht="12.75" x14ac:dyDescent="0.35">
      <c r="D410" s="29"/>
    </row>
    <row r="411" spans="4:4" ht="12.75" x14ac:dyDescent="0.35">
      <c r="D411" s="29"/>
    </row>
    <row r="412" spans="4:4" ht="12.75" x14ac:dyDescent="0.35">
      <c r="D412" s="29"/>
    </row>
    <row r="413" spans="4:4" ht="12.75" x14ac:dyDescent="0.35">
      <c r="D413" s="29"/>
    </row>
    <row r="414" spans="4:4" ht="12.75" x14ac:dyDescent="0.35">
      <c r="D414" s="29"/>
    </row>
    <row r="415" spans="4:4" ht="12.75" x14ac:dyDescent="0.35">
      <c r="D415" s="29"/>
    </row>
    <row r="416" spans="4:4" ht="12.75" x14ac:dyDescent="0.35">
      <c r="D416" s="29"/>
    </row>
    <row r="417" spans="4:4" ht="12.75" x14ac:dyDescent="0.35">
      <c r="D417" s="29"/>
    </row>
    <row r="418" spans="4:4" ht="12.75" x14ac:dyDescent="0.35">
      <c r="D418" s="29"/>
    </row>
    <row r="419" spans="4:4" ht="12.75" x14ac:dyDescent="0.35">
      <c r="D419" s="29"/>
    </row>
    <row r="420" spans="4:4" ht="12.75" x14ac:dyDescent="0.35">
      <c r="D420" s="29"/>
    </row>
    <row r="421" spans="4:4" ht="12.75" x14ac:dyDescent="0.35">
      <c r="D421" s="29"/>
    </row>
    <row r="422" spans="4:4" ht="12.75" x14ac:dyDescent="0.35">
      <c r="D422" s="29"/>
    </row>
    <row r="423" spans="4:4" ht="12.75" x14ac:dyDescent="0.35">
      <c r="D423" s="29"/>
    </row>
    <row r="424" spans="4:4" ht="12.75" x14ac:dyDescent="0.35">
      <c r="D424" s="29"/>
    </row>
    <row r="425" spans="4:4" ht="12.75" x14ac:dyDescent="0.35">
      <c r="D425" s="29"/>
    </row>
    <row r="426" spans="4:4" ht="12.75" x14ac:dyDescent="0.35">
      <c r="D426" s="29"/>
    </row>
    <row r="427" spans="4:4" ht="12.75" x14ac:dyDescent="0.35">
      <c r="D427" s="29"/>
    </row>
    <row r="428" spans="4:4" ht="12.75" x14ac:dyDescent="0.35">
      <c r="D428" s="29"/>
    </row>
    <row r="429" spans="4:4" ht="12.75" x14ac:dyDescent="0.35">
      <c r="D429" s="29"/>
    </row>
    <row r="430" spans="4:4" ht="12.75" x14ac:dyDescent="0.35">
      <c r="D430" s="29"/>
    </row>
    <row r="431" spans="4:4" ht="12.75" x14ac:dyDescent="0.35">
      <c r="D431" s="29"/>
    </row>
    <row r="432" spans="4:4" ht="12.75" x14ac:dyDescent="0.35">
      <c r="D432" s="29"/>
    </row>
    <row r="433" spans="4:4" ht="12.75" x14ac:dyDescent="0.35">
      <c r="D433" s="29"/>
    </row>
    <row r="434" spans="4:4" ht="12.75" x14ac:dyDescent="0.35">
      <c r="D434" s="29"/>
    </row>
    <row r="435" spans="4:4" ht="12.75" x14ac:dyDescent="0.35">
      <c r="D435" s="29"/>
    </row>
    <row r="436" spans="4:4" ht="12.75" x14ac:dyDescent="0.35">
      <c r="D436" s="29"/>
    </row>
    <row r="437" spans="4:4" ht="12.75" x14ac:dyDescent="0.35">
      <c r="D437" s="29"/>
    </row>
    <row r="438" spans="4:4" ht="12.75" x14ac:dyDescent="0.35">
      <c r="D438" s="29"/>
    </row>
    <row r="439" spans="4:4" ht="12.75" x14ac:dyDescent="0.35">
      <c r="D439" s="29"/>
    </row>
    <row r="440" spans="4:4" ht="12.75" x14ac:dyDescent="0.35">
      <c r="D440" s="29"/>
    </row>
    <row r="441" spans="4:4" ht="12.75" x14ac:dyDescent="0.35">
      <c r="D441" s="29"/>
    </row>
    <row r="442" spans="4:4" ht="12.75" x14ac:dyDescent="0.35">
      <c r="D442" s="29"/>
    </row>
    <row r="443" spans="4:4" ht="12.75" x14ac:dyDescent="0.35">
      <c r="D443" s="29"/>
    </row>
    <row r="444" spans="4:4" ht="12.75" x14ac:dyDescent="0.35">
      <c r="D444" s="29"/>
    </row>
    <row r="445" spans="4:4" ht="12.75" x14ac:dyDescent="0.35">
      <c r="D445" s="29"/>
    </row>
    <row r="446" spans="4:4" ht="12.75" x14ac:dyDescent="0.35">
      <c r="D446" s="29"/>
    </row>
    <row r="447" spans="4:4" ht="12.75" x14ac:dyDescent="0.35">
      <c r="D447" s="29"/>
    </row>
    <row r="448" spans="4:4" ht="12.75" x14ac:dyDescent="0.35">
      <c r="D448" s="29"/>
    </row>
    <row r="449" spans="4:4" ht="12.75" x14ac:dyDescent="0.35">
      <c r="D449" s="29"/>
    </row>
    <row r="450" spans="4:4" ht="12.75" x14ac:dyDescent="0.35">
      <c r="D450" s="29"/>
    </row>
    <row r="451" spans="4:4" ht="12.75" x14ac:dyDescent="0.35">
      <c r="D451" s="29"/>
    </row>
    <row r="452" spans="4:4" ht="12.75" x14ac:dyDescent="0.35">
      <c r="D452" s="29"/>
    </row>
    <row r="453" spans="4:4" ht="12.75" x14ac:dyDescent="0.35">
      <c r="D453" s="29"/>
    </row>
    <row r="454" spans="4:4" ht="12.75" x14ac:dyDescent="0.35">
      <c r="D454" s="29"/>
    </row>
    <row r="455" spans="4:4" ht="12.75" x14ac:dyDescent="0.35">
      <c r="D455" s="29"/>
    </row>
    <row r="456" spans="4:4" ht="12.75" x14ac:dyDescent="0.35">
      <c r="D456" s="29"/>
    </row>
    <row r="457" spans="4:4" ht="12.75" x14ac:dyDescent="0.35">
      <c r="D457" s="29"/>
    </row>
    <row r="458" spans="4:4" ht="12.75" x14ac:dyDescent="0.35">
      <c r="D458" s="29"/>
    </row>
    <row r="459" spans="4:4" ht="12.75" x14ac:dyDescent="0.35">
      <c r="D459" s="29"/>
    </row>
    <row r="460" spans="4:4" ht="12.75" x14ac:dyDescent="0.35">
      <c r="D460" s="29"/>
    </row>
    <row r="461" spans="4:4" ht="12.75" x14ac:dyDescent="0.35">
      <c r="D461" s="29"/>
    </row>
    <row r="462" spans="4:4" ht="12.75" x14ac:dyDescent="0.35">
      <c r="D462" s="29"/>
    </row>
    <row r="463" spans="4:4" ht="12.75" x14ac:dyDescent="0.35">
      <c r="D463" s="29"/>
    </row>
    <row r="464" spans="4:4" ht="12.75" x14ac:dyDescent="0.35">
      <c r="D464" s="29"/>
    </row>
    <row r="465" spans="4:4" ht="12.75" x14ac:dyDescent="0.35">
      <c r="D465" s="29"/>
    </row>
    <row r="466" spans="4:4" ht="12.75" x14ac:dyDescent="0.35">
      <c r="D466" s="29"/>
    </row>
    <row r="467" spans="4:4" ht="12.75" x14ac:dyDescent="0.35">
      <c r="D467" s="29"/>
    </row>
    <row r="468" spans="4:4" ht="12.75" x14ac:dyDescent="0.35">
      <c r="D468" s="29"/>
    </row>
    <row r="469" spans="4:4" ht="12.75" x14ac:dyDescent="0.35">
      <c r="D469" s="29"/>
    </row>
    <row r="470" spans="4:4" ht="12.75" x14ac:dyDescent="0.35">
      <c r="D470" s="29"/>
    </row>
    <row r="471" spans="4:4" ht="12.75" x14ac:dyDescent="0.35">
      <c r="D471" s="29"/>
    </row>
    <row r="472" spans="4:4" ht="12.75" x14ac:dyDescent="0.35">
      <c r="D472" s="29"/>
    </row>
    <row r="473" spans="4:4" ht="12.75" x14ac:dyDescent="0.35">
      <c r="D473" s="29"/>
    </row>
    <row r="474" spans="4:4" ht="12.75" x14ac:dyDescent="0.35">
      <c r="D474" s="29"/>
    </row>
    <row r="475" spans="4:4" ht="12.75" x14ac:dyDescent="0.35">
      <c r="D475" s="29"/>
    </row>
    <row r="476" spans="4:4" ht="12.75" x14ac:dyDescent="0.35">
      <c r="D476" s="29"/>
    </row>
    <row r="477" spans="4:4" ht="12.75" x14ac:dyDescent="0.35">
      <c r="D477" s="29"/>
    </row>
    <row r="478" spans="4:4" ht="12.75" x14ac:dyDescent="0.35">
      <c r="D478" s="29"/>
    </row>
    <row r="479" spans="4:4" ht="12.75" x14ac:dyDescent="0.35">
      <c r="D479" s="29"/>
    </row>
    <row r="480" spans="4:4" ht="12.75" x14ac:dyDescent="0.35">
      <c r="D480" s="29"/>
    </row>
    <row r="481" spans="4:4" ht="12.75" x14ac:dyDescent="0.35">
      <c r="D481" s="29"/>
    </row>
    <row r="482" spans="4:4" ht="12.75" x14ac:dyDescent="0.35">
      <c r="D482" s="29"/>
    </row>
    <row r="483" spans="4:4" ht="12.75" x14ac:dyDescent="0.35">
      <c r="D483" s="29"/>
    </row>
    <row r="484" spans="4:4" ht="12.75" x14ac:dyDescent="0.35">
      <c r="D484" s="29"/>
    </row>
    <row r="485" spans="4:4" ht="12.75" x14ac:dyDescent="0.35">
      <c r="D485" s="29"/>
    </row>
    <row r="486" spans="4:4" ht="12.75" x14ac:dyDescent="0.35">
      <c r="D486" s="29"/>
    </row>
    <row r="487" spans="4:4" ht="12.75" x14ac:dyDescent="0.35">
      <c r="D487" s="29"/>
    </row>
    <row r="488" spans="4:4" ht="12.75" x14ac:dyDescent="0.35">
      <c r="D488" s="29"/>
    </row>
    <row r="489" spans="4:4" ht="12.75" x14ac:dyDescent="0.35">
      <c r="D489" s="29"/>
    </row>
    <row r="490" spans="4:4" ht="12.75" x14ac:dyDescent="0.35">
      <c r="D490" s="29"/>
    </row>
    <row r="491" spans="4:4" ht="12.75" x14ac:dyDescent="0.35">
      <c r="D491" s="29"/>
    </row>
    <row r="492" spans="4:4" ht="12.75" x14ac:dyDescent="0.35">
      <c r="D492" s="29"/>
    </row>
    <row r="493" spans="4:4" ht="12.75" x14ac:dyDescent="0.35">
      <c r="D493" s="29"/>
    </row>
    <row r="494" spans="4:4" ht="12.75" x14ac:dyDescent="0.35">
      <c r="D494" s="29"/>
    </row>
    <row r="495" spans="4:4" ht="12.75" x14ac:dyDescent="0.35">
      <c r="D495" s="29"/>
    </row>
    <row r="496" spans="4:4" ht="12.75" x14ac:dyDescent="0.35">
      <c r="D496" s="29"/>
    </row>
    <row r="497" spans="4:4" ht="12.75" x14ac:dyDescent="0.35">
      <c r="D497" s="29"/>
    </row>
    <row r="498" spans="4:4" ht="12.75" x14ac:dyDescent="0.35">
      <c r="D498" s="29"/>
    </row>
    <row r="499" spans="4:4" ht="12.75" x14ac:dyDescent="0.35">
      <c r="D499" s="29"/>
    </row>
    <row r="500" spans="4:4" ht="12.75" x14ac:dyDescent="0.35">
      <c r="D500" s="29"/>
    </row>
    <row r="501" spans="4:4" ht="12.75" x14ac:dyDescent="0.35">
      <c r="D501" s="29"/>
    </row>
    <row r="502" spans="4:4" ht="12.75" x14ac:dyDescent="0.35">
      <c r="D502" s="29"/>
    </row>
    <row r="503" spans="4:4" ht="12.75" x14ac:dyDescent="0.35">
      <c r="D503" s="29"/>
    </row>
    <row r="504" spans="4:4" ht="12.75" x14ac:dyDescent="0.35">
      <c r="D504" s="29"/>
    </row>
    <row r="505" spans="4:4" ht="12.75" x14ac:dyDescent="0.35">
      <c r="D505" s="29"/>
    </row>
    <row r="506" spans="4:4" ht="12.75" x14ac:dyDescent="0.35">
      <c r="D506" s="29"/>
    </row>
    <row r="507" spans="4:4" ht="12.75" x14ac:dyDescent="0.35">
      <c r="D507" s="29"/>
    </row>
    <row r="508" spans="4:4" ht="12.75" x14ac:dyDescent="0.35">
      <c r="D508" s="29"/>
    </row>
    <row r="509" spans="4:4" ht="12.75" x14ac:dyDescent="0.35">
      <c r="D509" s="29"/>
    </row>
    <row r="510" spans="4:4" ht="12.75" x14ac:dyDescent="0.35">
      <c r="D510" s="29"/>
    </row>
    <row r="511" spans="4:4" ht="12.75" x14ac:dyDescent="0.35">
      <c r="D511" s="29"/>
    </row>
    <row r="512" spans="4:4" ht="12.75" x14ac:dyDescent="0.35">
      <c r="D512" s="29"/>
    </row>
    <row r="513" spans="4:4" ht="12.75" x14ac:dyDescent="0.35">
      <c r="D513" s="29"/>
    </row>
    <row r="514" spans="4:4" ht="12.75" x14ac:dyDescent="0.35">
      <c r="D514" s="29"/>
    </row>
    <row r="515" spans="4:4" ht="12.75" x14ac:dyDescent="0.35">
      <c r="D515" s="29"/>
    </row>
    <row r="516" spans="4:4" ht="12.75" x14ac:dyDescent="0.35">
      <c r="D516" s="29"/>
    </row>
    <row r="517" spans="4:4" ht="12.75" x14ac:dyDescent="0.35">
      <c r="D517" s="29"/>
    </row>
    <row r="518" spans="4:4" ht="12.75" x14ac:dyDescent="0.35">
      <c r="D518" s="29"/>
    </row>
    <row r="519" spans="4:4" ht="12.75" x14ac:dyDescent="0.35">
      <c r="D519" s="29"/>
    </row>
    <row r="520" spans="4:4" ht="12.75" x14ac:dyDescent="0.35">
      <c r="D520" s="29"/>
    </row>
    <row r="521" spans="4:4" ht="12.75" x14ac:dyDescent="0.35">
      <c r="D521" s="29"/>
    </row>
    <row r="522" spans="4:4" ht="12.75" x14ac:dyDescent="0.35">
      <c r="D522" s="29"/>
    </row>
    <row r="523" spans="4:4" ht="12.75" x14ac:dyDescent="0.35">
      <c r="D523" s="29"/>
    </row>
    <row r="524" spans="4:4" ht="12.75" x14ac:dyDescent="0.35">
      <c r="D524" s="29"/>
    </row>
    <row r="525" spans="4:4" ht="12.75" x14ac:dyDescent="0.35">
      <c r="D525" s="29"/>
    </row>
    <row r="526" spans="4:4" ht="12.75" x14ac:dyDescent="0.35">
      <c r="D526" s="29"/>
    </row>
    <row r="527" spans="4:4" ht="12.75" x14ac:dyDescent="0.35">
      <c r="D527" s="29"/>
    </row>
    <row r="528" spans="4:4" ht="12.75" x14ac:dyDescent="0.35">
      <c r="D528" s="29"/>
    </row>
    <row r="529" spans="4:4" ht="12.75" x14ac:dyDescent="0.35">
      <c r="D529" s="29"/>
    </row>
    <row r="530" spans="4:4" ht="12.75" x14ac:dyDescent="0.35">
      <c r="D530" s="29"/>
    </row>
    <row r="531" spans="4:4" ht="12.75" x14ac:dyDescent="0.35">
      <c r="D531" s="29"/>
    </row>
    <row r="532" spans="4:4" ht="12.75" x14ac:dyDescent="0.35">
      <c r="D532" s="29"/>
    </row>
    <row r="533" spans="4:4" ht="12.75" x14ac:dyDescent="0.35">
      <c r="D533" s="29"/>
    </row>
    <row r="534" spans="4:4" ht="12.75" x14ac:dyDescent="0.35">
      <c r="D534" s="29"/>
    </row>
    <row r="535" spans="4:4" ht="12.75" x14ac:dyDescent="0.35">
      <c r="D535" s="29"/>
    </row>
    <row r="536" spans="4:4" ht="12.75" x14ac:dyDescent="0.35">
      <c r="D536" s="29"/>
    </row>
    <row r="537" spans="4:4" ht="12.75" x14ac:dyDescent="0.35">
      <c r="D537" s="29"/>
    </row>
    <row r="538" spans="4:4" ht="12.75" x14ac:dyDescent="0.35">
      <c r="D538" s="29"/>
    </row>
    <row r="539" spans="4:4" ht="12.75" x14ac:dyDescent="0.35">
      <c r="D539" s="29"/>
    </row>
    <row r="540" spans="4:4" ht="12.75" x14ac:dyDescent="0.35">
      <c r="D540" s="29"/>
    </row>
    <row r="541" spans="4:4" ht="12.75" x14ac:dyDescent="0.35">
      <c r="D541" s="29"/>
    </row>
    <row r="542" spans="4:4" ht="12.75" x14ac:dyDescent="0.35">
      <c r="D542" s="29"/>
    </row>
    <row r="543" spans="4:4" ht="12.75" x14ac:dyDescent="0.35">
      <c r="D543" s="29"/>
    </row>
    <row r="544" spans="4:4" ht="12.75" x14ac:dyDescent="0.35">
      <c r="D544" s="29"/>
    </row>
    <row r="545" spans="4:4" ht="12.75" x14ac:dyDescent="0.35">
      <c r="D545" s="29"/>
    </row>
    <row r="546" spans="4:4" ht="12.75" x14ac:dyDescent="0.35">
      <c r="D546" s="29"/>
    </row>
    <row r="547" spans="4:4" ht="12.75" x14ac:dyDescent="0.35">
      <c r="D547" s="29"/>
    </row>
    <row r="548" spans="4:4" ht="12.75" x14ac:dyDescent="0.35">
      <c r="D548" s="29"/>
    </row>
    <row r="549" spans="4:4" ht="12.75" x14ac:dyDescent="0.35">
      <c r="D549" s="29"/>
    </row>
    <row r="550" spans="4:4" ht="12.75" x14ac:dyDescent="0.35">
      <c r="D550" s="29"/>
    </row>
    <row r="551" spans="4:4" ht="12.75" x14ac:dyDescent="0.35">
      <c r="D551" s="29"/>
    </row>
    <row r="552" spans="4:4" ht="12.75" x14ac:dyDescent="0.35">
      <c r="D552" s="29"/>
    </row>
    <row r="553" spans="4:4" ht="12.75" x14ac:dyDescent="0.35">
      <c r="D553" s="29"/>
    </row>
    <row r="554" spans="4:4" ht="12.75" x14ac:dyDescent="0.35">
      <c r="D554" s="29"/>
    </row>
    <row r="555" spans="4:4" ht="12.75" x14ac:dyDescent="0.35">
      <c r="D555" s="29"/>
    </row>
    <row r="556" spans="4:4" ht="12.75" x14ac:dyDescent="0.35">
      <c r="D556" s="29"/>
    </row>
    <row r="557" spans="4:4" ht="12.75" x14ac:dyDescent="0.35">
      <c r="D557" s="29"/>
    </row>
    <row r="558" spans="4:4" ht="12.75" x14ac:dyDescent="0.35">
      <c r="D558" s="29"/>
    </row>
    <row r="559" spans="4:4" ht="12.75" x14ac:dyDescent="0.35">
      <c r="D559" s="29"/>
    </row>
    <row r="560" spans="4:4" ht="12.75" x14ac:dyDescent="0.35">
      <c r="D560" s="29"/>
    </row>
    <row r="561" spans="4:4" ht="12.75" x14ac:dyDescent="0.35">
      <c r="D561" s="29"/>
    </row>
    <row r="562" spans="4:4" ht="12.75" x14ac:dyDescent="0.35">
      <c r="D562" s="29"/>
    </row>
    <row r="563" spans="4:4" ht="12.75" x14ac:dyDescent="0.35">
      <c r="D563" s="29"/>
    </row>
    <row r="564" spans="4:4" ht="12.75" x14ac:dyDescent="0.35">
      <c r="D564" s="29"/>
    </row>
    <row r="565" spans="4:4" ht="12.75" x14ac:dyDescent="0.35">
      <c r="D565" s="29"/>
    </row>
    <row r="566" spans="4:4" ht="12.75" x14ac:dyDescent="0.35">
      <c r="D566" s="29"/>
    </row>
    <row r="567" spans="4:4" ht="12.75" x14ac:dyDescent="0.35">
      <c r="D567" s="29"/>
    </row>
    <row r="568" spans="4:4" ht="12.75" x14ac:dyDescent="0.35">
      <c r="D568" s="29"/>
    </row>
    <row r="569" spans="4:4" ht="12.75" x14ac:dyDescent="0.35">
      <c r="D569" s="29"/>
    </row>
    <row r="570" spans="4:4" ht="12.75" x14ac:dyDescent="0.35">
      <c r="D570" s="29"/>
    </row>
    <row r="571" spans="4:4" ht="12.75" x14ac:dyDescent="0.35">
      <c r="D571" s="29"/>
    </row>
    <row r="572" spans="4:4" ht="12.75" x14ac:dyDescent="0.35">
      <c r="D572" s="29"/>
    </row>
    <row r="573" spans="4:4" ht="12.75" x14ac:dyDescent="0.35">
      <c r="D573" s="29"/>
    </row>
    <row r="574" spans="4:4" ht="12.75" x14ac:dyDescent="0.35">
      <c r="D574" s="29"/>
    </row>
    <row r="575" spans="4:4" ht="12.75" x14ac:dyDescent="0.35">
      <c r="D575" s="29"/>
    </row>
    <row r="576" spans="4:4" ht="12.75" x14ac:dyDescent="0.35">
      <c r="D576" s="29"/>
    </row>
    <row r="577" spans="4:4" ht="12.75" x14ac:dyDescent="0.35">
      <c r="D577" s="29"/>
    </row>
    <row r="578" spans="4:4" ht="12.75" x14ac:dyDescent="0.35">
      <c r="D578" s="29"/>
    </row>
    <row r="579" spans="4:4" ht="12.75" x14ac:dyDescent="0.35">
      <c r="D579" s="29"/>
    </row>
    <row r="580" spans="4:4" ht="12.75" x14ac:dyDescent="0.35">
      <c r="D580" s="29"/>
    </row>
    <row r="581" spans="4:4" ht="12.75" x14ac:dyDescent="0.35">
      <c r="D581" s="29"/>
    </row>
    <row r="582" spans="4:4" ht="12.75" x14ac:dyDescent="0.35">
      <c r="D582" s="29"/>
    </row>
    <row r="583" spans="4:4" ht="12.75" x14ac:dyDescent="0.35">
      <c r="D583" s="29"/>
    </row>
    <row r="584" spans="4:4" ht="12.75" x14ac:dyDescent="0.35">
      <c r="D584" s="29"/>
    </row>
    <row r="585" spans="4:4" ht="12.75" x14ac:dyDescent="0.35">
      <c r="D585" s="29"/>
    </row>
    <row r="586" spans="4:4" ht="12.75" x14ac:dyDescent="0.35">
      <c r="D586" s="29"/>
    </row>
    <row r="587" spans="4:4" ht="12.75" x14ac:dyDescent="0.35">
      <c r="D587" s="29"/>
    </row>
    <row r="588" spans="4:4" ht="12.75" x14ac:dyDescent="0.35">
      <c r="D588" s="29"/>
    </row>
    <row r="589" spans="4:4" ht="12.75" x14ac:dyDescent="0.35">
      <c r="D589" s="29"/>
    </row>
    <row r="590" spans="4:4" ht="12.75" x14ac:dyDescent="0.35">
      <c r="D590" s="29"/>
    </row>
    <row r="591" spans="4:4" ht="12.75" x14ac:dyDescent="0.35">
      <c r="D591" s="29"/>
    </row>
    <row r="592" spans="4:4" ht="12.75" x14ac:dyDescent="0.35">
      <c r="D592" s="29"/>
    </row>
    <row r="593" spans="4:4" ht="12.75" x14ac:dyDescent="0.35">
      <c r="D593" s="29"/>
    </row>
    <row r="594" spans="4:4" ht="12.75" x14ac:dyDescent="0.35">
      <c r="D594" s="29"/>
    </row>
    <row r="595" spans="4:4" ht="12.75" x14ac:dyDescent="0.35">
      <c r="D595" s="29"/>
    </row>
    <row r="596" spans="4:4" ht="12.75" x14ac:dyDescent="0.35">
      <c r="D596" s="29"/>
    </row>
    <row r="597" spans="4:4" ht="12.75" x14ac:dyDescent="0.35">
      <c r="D597" s="29"/>
    </row>
    <row r="598" spans="4:4" ht="12.75" x14ac:dyDescent="0.35">
      <c r="D598" s="29"/>
    </row>
    <row r="599" spans="4:4" ht="12.75" x14ac:dyDescent="0.35">
      <c r="D599" s="29"/>
    </row>
    <row r="600" spans="4:4" ht="12.75" x14ac:dyDescent="0.35">
      <c r="D600" s="29"/>
    </row>
    <row r="601" spans="4:4" ht="12.75" x14ac:dyDescent="0.35">
      <c r="D601" s="29"/>
    </row>
    <row r="602" spans="4:4" ht="12.75" x14ac:dyDescent="0.35">
      <c r="D602" s="29"/>
    </row>
    <row r="603" spans="4:4" ht="12.75" x14ac:dyDescent="0.35">
      <c r="D603" s="29"/>
    </row>
    <row r="604" spans="4:4" ht="12.75" x14ac:dyDescent="0.35">
      <c r="D604" s="29"/>
    </row>
    <row r="605" spans="4:4" ht="12.75" x14ac:dyDescent="0.35">
      <c r="D605" s="29"/>
    </row>
    <row r="606" spans="4:4" ht="12.75" x14ac:dyDescent="0.35">
      <c r="D606" s="29"/>
    </row>
    <row r="607" spans="4:4" ht="12.75" x14ac:dyDescent="0.35">
      <c r="D607" s="29"/>
    </row>
    <row r="608" spans="4:4" ht="12.75" x14ac:dyDescent="0.35">
      <c r="D608" s="29"/>
    </row>
    <row r="609" spans="4:4" ht="12.75" x14ac:dyDescent="0.35">
      <c r="D609" s="29"/>
    </row>
    <row r="610" spans="4:4" ht="12.75" x14ac:dyDescent="0.35">
      <c r="D610" s="29"/>
    </row>
    <row r="611" spans="4:4" ht="12.75" x14ac:dyDescent="0.35">
      <c r="D611" s="29"/>
    </row>
    <row r="612" spans="4:4" ht="12.75" x14ac:dyDescent="0.35">
      <c r="D612" s="29"/>
    </row>
    <row r="613" spans="4:4" ht="12.75" x14ac:dyDescent="0.35">
      <c r="D613" s="29"/>
    </row>
    <row r="614" spans="4:4" ht="12.75" x14ac:dyDescent="0.35">
      <c r="D614" s="29"/>
    </row>
    <row r="615" spans="4:4" ht="12.75" x14ac:dyDescent="0.35">
      <c r="D615" s="29"/>
    </row>
    <row r="616" spans="4:4" ht="12.75" x14ac:dyDescent="0.35">
      <c r="D616" s="29"/>
    </row>
    <row r="617" spans="4:4" ht="12.75" x14ac:dyDescent="0.35">
      <c r="D617" s="29"/>
    </row>
    <row r="618" spans="4:4" ht="12.75" x14ac:dyDescent="0.35">
      <c r="D618" s="29"/>
    </row>
    <row r="619" spans="4:4" ht="12.75" x14ac:dyDescent="0.35">
      <c r="D619" s="29"/>
    </row>
    <row r="620" spans="4:4" ht="12.75" x14ac:dyDescent="0.35">
      <c r="D620" s="29"/>
    </row>
    <row r="621" spans="4:4" ht="12.75" x14ac:dyDescent="0.35">
      <c r="D621" s="29"/>
    </row>
    <row r="622" spans="4:4" ht="12.75" x14ac:dyDescent="0.35">
      <c r="D622" s="29"/>
    </row>
    <row r="623" spans="4:4" ht="12.75" x14ac:dyDescent="0.35">
      <c r="D623" s="29"/>
    </row>
    <row r="624" spans="4:4" ht="12.75" x14ac:dyDescent="0.35">
      <c r="D624" s="29"/>
    </row>
    <row r="625" spans="4:4" ht="12.75" x14ac:dyDescent="0.35">
      <c r="D625" s="29"/>
    </row>
    <row r="626" spans="4:4" ht="12.75" x14ac:dyDescent="0.35">
      <c r="D626" s="29"/>
    </row>
    <row r="627" spans="4:4" ht="12.75" x14ac:dyDescent="0.35">
      <c r="D627" s="29"/>
    </row>
    <row r="628" spans="4:4" ht="12.75" x14ac:dyDescent="0.35">
      <c r="D628" s="29"/>
    </row>
    <row r="629" spans="4:4" ht="12.75" x14ac:dyDescent="0.35">
      <c r="D629" s="29"/>
    </row>
    <row r="630" spans="4:4" ht="12.75" x14ac:dyDescent="0.35">
      <c r="D630" s="29"/>
    </row>
    <row r="631" spans="4:4" ht="12.75" x14ac:dyDescent="0.35">
      <c r="D631" s="29"/>
    </row>
    <row r="632" spans="4:4" ht="12.75" x14ac:dyDescent="0.35">
      <c r="D632" s="29"/>
    </row>
    <row r="633" spans="4:4" ht="12.75" x14ac:dyDescent="0.35">
      <c r="D633" s="29"/>
    </row>
    <row r="634" spans="4:4" ht="12.75" x14ac:dyDescent="0.35">
      <c r="D634" s="29"/>
    </row>
    <row r="635" spans="4:4" ht="12.75" x14ac:dyDescent="0.35">
      <c r="D635" s="29"/>
    </row>
    <row r="636" spans="4:4" ht="12.75" x14ac:dyDescent="0.35">
      <c r="D636" s="29"/>
    </row>
    <row r="637" spans="4:4" ht="12.75" x14ac:dyDescent="0.35">
      <c r="D637" s="29"/>
    </row>
    <row r="638" spans="4:4" ht="12.75" x14ac:dyDescent="0.35">
      <c r="D638" s="29"/>
    </row>
    <row r="639" spans="4:4" ht="12.75" x14ac:dyDescent="0.35">
      <c r="D639" s="29"/>
    </row>
    <row r="640" spans="4:4" ht="12.75" x14ac:dyDescent="0.35">
      <c r="D640" s="29"/>
    </row>
    <row r="641" spans="4:4" ht="12.75" x14ac:dyDescent="0.35">
      <c r="D641" s="29"/>
    </row>
    <row r="642" spans="4:4" ht="12.75" x14ac:dyDescent="0.35">
      <c r="D642" s="29"/>
    </row>
    <row r="643" spans="4:4" ht="12.75" x14ac:dyDescent="0.35">
      <c r="D643" s="29"/>
    </row>
    <row r="644" spans="4:4" ht="12.75" x14ac:dyDescent="0.35">
      <c r="D644" s="29"/>
    </row>
    <row r="645" spans="4:4" ht="12.75" x14ac:dyDescent="0.35">
      <c r="D645" s="29"/>
    </row>
    <row r="646" spans="4:4" ht="12.75" x14ac:dyDescent="0.35">
      <c r="D646" s="29"/>
    </row>
    <row r="647" spans="4:4" ht="12.75" x14ac:dyDescent="0.35">
      <c r="D647" s="29"/>
    </row>
    <row r="648" spans="4:4" ht="12.75" x14ac:dyDescent="0.35">
      <c r="D648" s="29"/>
    </row>
    <row r="649" spans="4:4" ht="12.75" x14ac:dyDescent="0.35">
      <c r="D649" s="29"/>
    </row>
    <row r="650" spans="4:4" ht="12.75" x14ac:dyDescent="0.35">
      <c r="D650" s="29"/>
    </row>
    <row r="651" spans="4:4" ht="12.75" x14ac:dyDescent="0.35">
      <c r="D651" s="29"/>
    </row>
    <row r="652" spans="4:4" ht="12.75" x14ac:dyDescent="0.35">
      <c r="D652" s="29"/>
    </row>
    <row r="653" spans="4:4" ht="12.75" x14ac:dyDescent="0.35">
      <c r="D653" s="29"/>
    </row>
    <row r="654" spans="4:4" ht="12.75" x14ac:dyDescent="0.35">
      <c r="D654" s="29"/>
    </row>
    <row r="655" spans="4:4" ht="12.75" x14ac:dyDescent="0.35">
      <c r="D655" s="29"/>
    </row>
    <row r="656" spans="4:4" ht="12.75" x14ac:dyDescent="0.35">
      <c r="D656" s="29"/>
    </row>
    <row r="657" spans="4:4" ht="12.75" x14ac:dyDescent="0.35">
      <c r="D657" s="29"/>
    </row>
    <row r="658" spans="4:4" ht="12.75" x14ac:dyDescent="0.35">
      <c r="D658" s="29"/>
    </row>
    <row r="659" spans="4:4" ht="12.75" x14ac:dyDescent="0.35">
      <c r="D659" s="29"/>
    </row>
    <row r="660" spans="4:4" ht="12.75" x14ac:dyDescent="0.35">
      <c r="D660" s="29"/>
    </row>
    <row r="661" spans="4:4" ht="12.75" x14ac:dyDescent="0.35">
      <c r="D661" s="29"/>
    </row>
    <row r="662" spans="4:4" ht="12.75" x14ac:dyDescent="0.35">
      <c r="D662" s="29"/>
    </row>
    <row r="663" spans="4:4" ht="12.75" x14ac:dyDescent="0.35">
      <c r="D663" s="29"/>
    </row>
    <row r="664" spans="4:4" ht="12.75" x14ac:dyDescent="0.35">
      <c r="D664" s="29"/>
    </row>
    <row r="665" spans="4:4" ht="12.75" x14ac:dyDescent="0.35">
      <c r="D665" s="29"/>
    </row>
    <row r="666" spans="4:4" ht="12.75" x14ac:dyDescent="0.35">
      <c r="D666" s="29"/>
    </row>
    <row r="667" spans="4:4" ht="12.75" x14ac:dyDescent="0.35">
      <c r="D667" s="29"/>
    </row>
    <row r="668" spans="4:4" ht="12.75" x14ac:dyDescent="0.35">
      <c r="D668" s="29"/>
    </row>
    <row r="669" spans="4:4" ht="12.75" x14ac:dyDescent="0.35">
      <c r="D669" s="29"/>
    </row>
    <row r="670" spans="4:4" ht="12.75" x14ac:dyDescent="0.35">
      <c r="D670" s="29"/>
    </row>
    <row r="671" spans="4:4" ht="12.75" x14ac:dyDescent="0.35">
      <c r="D671" s="29"/>
    </row>
    <row r="672" spans="4:4" ht="12.75" x14ac:dyDescent="0.35">
      <c r="D672" s="29"/>
    </row>
    <row r="673" spans="4:4" ht="12.75" x14ac:dyDescent="0.35">
      <c r="D673" s="29"/>
    </row>
    <row r="674" spans="4:4" ht="12.75" x14ac:dyDescent="0.35">
      <c r="D674" s="29"/>
    </row>
    <row r="675" spans="4:4" ht="12.75" x14ac:dyDescent="0.35">
      <c r="D675" s="29"/>
    </row>
    <row r="676" spans="4:4" ht="12.75" x14ac:dyDescent="0.35">
      <c r="D676" s="29"/>
    </row>
    <row r="677" spans="4:4" ht="12.75" x14ac:dyDescent="0.35">
      <c r="D677" s="29"/>
    </row>
    <row r="678" spans="4:4" ht="12.75" x14ac:dyDescent="0.35">
      <c r="D678" s="29"/>
    </row>
    <row r="679" spans="4:4" ht="12.75" x14ac:dyDescent="0.35">
      <c r="D679" s="29"/>
    </row>
    <row r="680" spans="4:4" ht="12.75" x14ac:dyDescent="0.35">
      <c r="D680" s="29"/>
    </row>
    <row r="681" spans="4:4" ht="12.75" x14ac:dyDescent="0.35">
      <c r="D681" s="29"/>
    </row>
    <row r="682" spans="4:4" ht="12.75" x14ac:dyDescent="0.35">
      <c r="D682" s="29"/>
    </row>
    <row r="683" spans="4:4" ht="12.75" x14ac:dyDescent="0.35">
      <c r="D683" s="29"/>
    </row>
    <row r="684" spans="4:4" ht="12.75" x14ac:dyDescent="0.35">
      <c r="D684" s="29"/>
    </row>
    <row r="685" spans="4:4" ht="12.75" x14ac:dyDescent="0.35">
      <c r="D685" s="29"/>
    </row>
    <row r="686" spans="4:4" ht="12.75" x14ac:dyDescent="0.35">
      <c r="D686" s="29"/>
    </row>
    <row r="687" spans="4:4" ht="12.75" x14ac:dyDescent="0.35">
      <c r="D687" s="29"/>
    </row>
    <row r="688" spans="4:4" ht="12.75" x14ac:dyDescent="0.35">
      <c r="D688" s="29"/>
    </row>
    <row r="689" spans="4:4" ht="12.75" x14ac:dyDescent="0.35">
      <c r="D689" s="29"/>
    </row>
    <row r="690" spans="4:4" ht="12.75" x14ac:dyDescent="0.35">
      <c r="D690" s="29"/>
    </row>
    <row r="691" spans="4:4" ht="12.75" x14ac:dyDescent="0.35">
      <c r="D691" s="29"/>
    </row>
    <row r="692" spans="4:4" ht="12.75" x14ac:dyDescent="0.35">
      <c r="D692" s="29"/>
    </row>
    <row r="693" spans="4:4" ht="12.75" x14ac:dyDescent="0.35">
      <c r="D693" s="29"/>
    </row>
    <row r="694" spans="4:4" ht="12.75" x14ac:dyDescent="0.35">
      <c r="D694" s="29"/>
    </row>
    <row r="695" spans="4:4" ht="12.75" x14ac:dyDescent="0.35">
      <c r="D695" s="29"/>
    </row>
    <row r="696" spans="4:4" ht="12.75" x14ac:dyDescent="0.35">
      <c r="D696" s="29"/>
    </row>
    <row r="697" spans="4:4" ht="12.75" x14ac:dyDescent="0.35">
      <c r="D697" s="29"/>
    </row>
    <row r="698" spans="4:4" ht="12.75" x14ac:dyDescent="0.35">
      <c r="D698" s="29"/>
    </row>
    <row r="699" spans="4:4" ht="12.75" x14ac:dyDescent="0.35">
      <c r="D699" s="29"/>
    </row>
    <row r="700" spans="4:4" ht="12.75" x14ac:dyDescent="0.35">
      <c r="D700" s="29"/>
    </row>
    <row r="701" spans="4:4" ht="12.75" x14ac:dyDescent="0.35">
      <c r="D701" s="29"/>
    </row>
    <row r="702" spans="4:4" ht="12.75" x14ac:dyDescent="0.35">
      <c r="D702" s="29"/>
    </row>
    <row r="703" spans="4:4" ht="12.75" x14ac:dyDescent="0.35">
      <c r="D703" s="29"/>
    </row>
    <row r="704" spans="4:4" ht="12.75" x14ac:dyDescent="0.35">
      <c r="D704" s="29"/>
    </row>
    <row r="705" spans="4:4" ht="12.75" x14ac:dyDescent="0.35">
      <c r="D705" s="29"/>
    </row>
    <row r="706" spans="4:4" ht="12.75" x14ac:dyDescent="0.35">
      <c r="D706" s="29"/>
    </row>
    <row r="707" spans="4:4" ht="12.75" x14ac:dyDescent="0.35">
      <c r="D707" s="29"/>
    </row>
    <row r="708" spans="4:4" ht="12.75" x14ac:dyDescent="0.35">
      <c r="D708" s="29"/>
    </row>
    <row r="709" spans="4:4" ht="12.75" x14ac:dyDescent="0.35">
      <c r="D709" s="29"/>
    </row>
    <row r="710" spans="4:4" ht="12.75" x14ac:dyDescent="0.35">
      <c r="D710" s="29"/>
    </row>
    <row r="711" spans="4:4" ht="12.75" x14ac:dyDescent="0.35">
      <c r="D711" s="29"/>
    </row>
    <row r="712" spans="4:4" ht="12.75" x14ac:dyDescent="0.35">
      <c r="D712" s="29"/>
    </row>
    <row r="713" spans="4:4" ht="12.75" x14ac:dyDescent="0.35">
      <c r="D713" s="29"/>
    </row>
    <row r="714" spans="4:4" ht="12.75" x14ac:dyDescent="0.35">
      <c r="D714" s="29"/>
    </row>
    <row r="715" spans="4:4" ht="12.75" x14ac:dyDescent="0.35">
      <c r="D715" s="29"/>
    </row>
    <row r="716" spans="4:4" ht="12.75" x14ac:dyDescent="0.35">
      <c r="D716" s="29"/>
    </row>
    <row r="717" spans="4:4" ht="12.75" x14ac:dyDescent="0.35">
      <c r="D717" s="29"/>
    </row>
    <row r="718" spans="4:4" ht="12.75" x14ac:dyDescent="0.35">
      <c r="D718" s="29"/>
    </row>
    <row r="719" spans="4:4" ht="12.75" x14ac:dyDescent="0.35">
      <c r="D719" s="29"/>
    </row>
    <row r="720" spans="4:4" ht="12.75" x14ac:dyDescent="0.35">
      <c r="D720" s="29"/>
    </row>
    <row r="721" spans="4:4" ht="12.75" x14ac:dyDescent="0.35">
      <c r="D721" s="29"/>
    </row>
    <row r="722" spans="4:4" ht="12.75" x14ac:dyDescent="0.35">
      <c r="D722" s="29"/>
    </row>
    <row r="723" spans="4:4" ht="12.75" x14ac:dyDescent="0.35">
      <c r="D723" s="29"/>
    </row>
    <row r="724" spans="4:4" ht="12.75" x14ac:dyDescent="0.35">
      <c r="D724" s="29"/>
    </row>
    <row r="725" spans="4:4" ht="12.75" x14ac:dyDescent="0.35">
      <c r="D725" s="29"/>
    </row>
    <row r="726" spans="4:4" ht="12.75" x14ac:dyDescent="0.35">
      <c r="D726" s="29"/>
    </row>
    <row r="727" spans="4:4" ht="12.75" x14ac:dyDescent="0.35">
      <c r="D727" s="29"/>
    </row>
    <row r="728" spans="4:4" ht="12.75" x14ac:dyDescent="0.35">
      <c r="D728" s="29"/>
    </row>
    <row r="729" spans="4:4" ht="12.75" x14ac:dyDescent="0.35">
      <c r="D729" s="29"/>
    </row>
    <row r="730" spans="4:4" ht="12.75" x14ac:dyDescent="0.35">
      <c r="D730" s="29"/>
    </row>
    <row r="731" spans="4:4" ht="12.75" x14ac:dyDescent="0.35">
      <c r="D731" s="29"/>
    </row>
    <row r="732" spans="4:4" ht="12.75" x14ac:dyDescent="0.35">
      <c r="D732" s="29"/>
    </row>
    <row r="733" spans="4:4" ht="12.75" x14ac:dyDescent="0.35">
      <c r="D733" s="29"/>
    </row>
    <row r="734" spans="4:4" ht="12.75" x14ac:dyDescent="0.35">
      <c r="D734" s="29"/>
    </row>
    <row r="735" spans="4:4" ht="12.75" x14ac:dyDescent="0.35">
      <c r="D735" s="29"/>
    </row>
    <row r="736" spans="4:4" ht="12.75" x14ac:dyDescent="0.35">
      <c r="D736" s="29"/>
    </row>
    <row r="737" spans="4:4" ht="12.75" x14ac:dyDescent="0.35">
      <c r="D737" s="29"/>
    </row>
    <row r="738" spans="4:4" ht="12.75" x14ac:dyDescent="0.35">
      <c r="D738" s="29"/>
    </row>
    <row r="739" spans="4:4" ht="12.75" x14ac:dyDescent="0.35">
      <c r="D739" s="29"/>
    </row>
    <row r="740" spans="4:4" ht="12.75" x14ac:dyDescent="0.35">
      <c r="D740" s="29"/>
    </row>
    <row r="741" spans="4:4" ht="12.75" x14ac:dyDescent="0.35">
      <c r="D741" s="29"/>
    </row>
    <row r="742" spans="4:4" ht="12.75" x14ac:dyDescent="0.35">
      <c r="D742" s="29"/>
    </row>
    <row r="743" spans="4:4" ht="12.75" x14ac:dyDescent="0.35">
      <c r="D743" s="29"/>
    </row>
    <row r="744" spans="4:4" ht="12.75" x14ac:dyDescent="0.35">
      <c r="D744" s="29"/>
    </row>
    <row r="745" spans="4:4" ht="12.75" x14ac:dyDescent="0.35">
      <c r="D745" s="29"/>
    </row>
    <row r="746" spans="4:4" ht="12.75" x14ac:dyDescent="0.35">
      <c r="D746" s="29"/>
    </row>
    <row r="747" spans="4:4" ht="12.75" x14ac:dyDescent="0.35">
      <c r="D747" s="29"/>
    </row>
    <row r="748" spans="4:4" ht="12.75" x14ac:dyDescent="0.35">
      <c r="D748" s="29"/>
    </row>
    <row r="749" spans="4:4" ht="12.75" x14ac:dyDescent="0.35">
      <c r="D749" s="29"/>
    </row>
    <row r="750" spans="4:4" ht="12.75" x14ac:dyDescent="0.35">
      <c r="D750" s="29"/>
    </row>
    <row r="751" spans="4:4" ht="12.75" x14ac:dyDescent="0.35">
      <c r="D751" s="29"/>
    </row>
    <row r="752" spans="4:4" ht="12.75" x14ac:dyDescent="0.35">
      <c r="D752" s="29"/>
    </row>
    <row r="753" spans="4:4" ht="12.75" x14ac:dyDescent="0.35">
      <c r="D753" s="29"/>
    </row>
    <row r="754" spans="4:4" ht="12.75" x14ac:dyDescent="0.35">
      <c r="D754" s="29"/>
    </row>
    <row r="755" spans="4:4" ht="12.75" x14ac:dyDescent="0.35">
      <c r="D755" s="29"/>
    </row>
    <row r="756" spans="4:4" ht="12.75" x14ac:dyDescent="0.35">
      <c r="D756" s="29"/>
    </row>
    <row r="757" spans="4:4" ht="12.75" x14ac:dyDescent="0.35">
      <c r="D757" s="29"/>
    </row>
    <row r="758" spans="4:4" ht="12.75" x14ac:dyDescent="0.35">
      <c r="D758" s="29"/>
    </row>
    <row r="759" spans="4:4" ht="12.75" x14ac:dyDescent="0.35">
      <c r="D759" s="29"/>
    </row>
    <row r="760" spans="4:4" ht="12.75" x14ac:dyDescent="0.35">
      <c r="D760" s="29"/>
    </row>
    <row r="761" spans="4:4" ht="12.75" x14ac:dyDescent="0.35">
      <c r="D761" s="29"/>
    </row>
    <row r="762" spans="4:4" ht="12.75" x14ac:dyDescent="0.35">
      <c r="D762" s="29"/>
    </row>
    <row r="763" spans="4:4" ht="12.75" x14ac:dyDescent="0.35">
      <c r="D763" s="29"/>
    </row>
    <row r="764" spans="4:4" ht="12.75" x14ac:dyDescent="0.35">
      <c r="D764" s="29"/>
    </row>
    <row r="765" spans="4:4" ht="12.75" x14ac:dyDescent="0.35">
      <c r="D765" s="29"/>
    </row>
    <row r="766" spans="4:4" ht="12.75" x14ac:dyDescent="0.35">
      <c r="D766" s="29"/>
    </row>
    <row r="767" spans="4:4" ht="12.75" x14ac:dyDescent="0.35">
      <c r="D767" s="29"/>
    </row>
    <row r="768" spans="4:4" ht="12.75" x14ac:dyDescent="0.35">
      <c r="D768" s="29"/>
    </row>
    <row r="769" spans="4:4" ht="12.75" x14ac:dyDescent="0.35">
      <c r="D769" s="29"/>
    </row>
    <row r="770" spans="4:4" ht="12.75" x14ac:dyDescent="0.35">
      <c r="D770" s="29"/>
    </row>
    <row r="771" spans="4:4" ht="12.75" x14ac:dyDescent="0.35">
      <c r="D771" s="29"/>
    </row>
    <row r="772" spans="4:4" ht="12.75" x14ac:dyDescent="0.35">
      <c r="D772" s="29"/>
    </row>
    <row r="773" spans="4:4" ht="12.75" x14ac:dyDescent="0.35">
      <c r="D773" s="29"/>
    </row>
    <row r="774" spans="4:4" ht="12.75" x14ac:dyDescent="0.35">
      <c r="D774" s="29"/>
    </row>
    <row r="775" spans="4:4" ht="12.75" x14ac:dyDescent="0.35">
      <c r="D775" s="29"/>
    </row>
    <row r="776" spans="4:4" ht="12.75" x14ac:dyDescent="0.35">
      <c r="D776" s="29"/>
    </row>
    <row r="777" spans="4:4" ht="12.75" x14ac:dyDescent="0.35">
      <c r="D777" s="29"/>
    </row>
    <row r="778" spans="4:4" ht="12.75" x14ac:dyDescent="0.35">
      <c r="D778" s="29"/>
    </row>
    <row r="779" spans="4:4" ht="12.75" x14ac:dyDescent="0.35">
      <c r="D779" s="29"/>
    </row>
    <row r="780" spans="4:4" ht="12.75" x14ac:dyDescent="0.35">
      <c r="D780" s="29"/>
    </row>
    <row r="781" spans="4:4" ht="12.75" x14ac:dyDescent="0.35">
      <c r="D781" s="29"/>
    </row>
    <row r="782" spans="4:4" ht="12.75" x14ac:dyDescent="0.35">
      <c r="D782" s="29"/>
    </row>
    <row r="783" spans="4:4" ht="12.75" x14ac:dyDescent="0.35">
      <c r="D783" s="29"/>
    </row>
    <row r="784" spans="4:4" ht="12.75" x14ac:dyDescent="0.35">
      <c r="D784" s="29"/>
    </row>
    <row r="785" spans="4:4" ht="12.75" x14ac:dyDescent="0.35">
      <c r="D785" s="29"/>
    </row>
    <row r="786" spans="4:4" ht="12.75" x14ac:dyDescent="0.35">
      <c r="D786" s="29"/>
    </row>
    <row r="787" spans="4:4" ht="12.75" x14ac:dyDescent="0.35">
      <c r="D787" s="29"/>
    </row>
    <row r="788" spans="4:4" ht="12.75" x14ac:dyDescent="0.35">
      <c r="D788" s="29"/>
    </row>
    <row r="789" spans="4:4" ht="12.75" x14ac:dyDescent="0.35">
      <c r="D789" s="29"/>
    </row>
    <row r="790" spans="4:4" ht="12.75" x14ac:dyDescent="0.35">
      <c r="D790" s="29"/>
    </row>
    <row r="791" spans="4:4" ht="12.75" x14ac:dyDescent="0.35">
      <c r="D791" s="29"/>
    </row>
    <row r="792" spans="4:4" ht="12.75" x14ac:dyDescent="0.35">
      <c r="D792" s="29"/>
    </row>
    <row r="793" spans="4:4" ht="12.75" x14ac:dyDescent="0.35">
      <c r="D793" s="29"/>
    </row>
    <row r="794" spans="4:4" ht="12.75" x14ac:dyDescent="0.35">
      <c r="D794" s="29"/>
    </row>
    <row r="795" spans="4:4" ht="12.75" x14ac:dyDescent="0.35">
      <c r="D795" s="29"/>
    </row>
    <row r="796" spans="4:4" ht="12.75" x14ac:dyDescent="0.35">
      <c r="D796" s="29"/>
    </row>
    <row r="797" spans="4:4" ht="12.75" x14ac:dyDescent="0.35">
      <c r="D797" s="29"/>
    </row>
    <row r="798" spans="4:4" ht="12.75" x14ac:dyDescent="0.35">
      <c r="D798" s="29"/>
    </row>
    <row r="799" spans="4:4" ht="12.75" x14ac:dyDescent="0.35">
      <c r="D799" s="29"/>
    </row>
    <row r="800" spans="4:4" ht="12.75" x14ac:dyDescent="0.35">
      <c r="D800" s="29"/>
    </row>
    <row r="801" spans="4:4" ht="12.75" x14ac:dyDescent="0.35">
      <c r="D801" s="29"/>
    </row>
    <row r="802" spans="4:4" ht="12.75" x14ac:dyDescent="0.35">
      <c r="D802" s="29"/>
    </row>
    <row r="803" spans="4:4" ht="12.75" x14ac:dyDescent="0.35">
      <c r="D803" s="29"/>
    </row>
    <row r="804" spans="4:4" ht="12.75" x14ac:dyDescent="0.35">
      <c r="D804" s="29"/>
    </row>
    <row r="805" spans="4:4" ht="12.75" x14ac:dyDescent="0.35">
      <c r="D805" s="29"/>
    </row>
    <row r="806" spans="4:4" ht="12.75" x14ac:dyDescent="0.35">
      <c r="D806" s="29"/>
    </row>
    <row r="807" spans="4:4" ht="12.75" x14ac:dyDescent="0.35">
      <c r="D807" s="29"/>
    </row>
    <row r="808" spans="4:4" ht="12.75" x14ac:dyDescent="0.35">
      <c r="D808" s="29"/>
    </row>
    <row r="809" spans="4:4" ht="12.75" x14ac:dyDescent="0.35">
      <c r="D809" s="29"/>
    </row>
    <row r="810" spans="4:4" ht="12.75" x14ac:dyDescent="0.35">
      <c r="D810" s="29"/>
    </row>
    <row r="811" spans="4:4" ht="12.75" x14ac:dyDescent="0.35">
      <c r="D811" s="29"/>
    </row>
    <row r="812" spans="4:4" ht="12.75" x14ac:dyDescent="0.35">
      <c r="D812" s="29"/>
    </row>
    <row r="813" spans="4:4" ht="12.75" x14ac:dyDescent="0.35">
      <c r="D813" s="29"/>
    </row>
    <row r="814" spans="4:4" ht="12.75" x14ac:dyDescent="0.35">
      <c r="D814" s="29"/>
    </row>
    <row r="815" spans="4:4" ht="12.75" x14ac:dyDescent="0.35">
      <c r="D815" s="29"/>
    </row>
    <row r="816" spans="4:4" ht="12.75" x14ac:dyDescent="0.35">
      <c r="D816" s="29"/>
    </row>
    <row r="817" spans="4:4" ht="12.75" x14ac:dyDescent="0.35">
      <c r="D817" s="29"/>
    </row>
    <row r="818" spans="4:4" ht="12.75" x14ac:dyDescent="0.35">
      <c r="D818" s="29"/>
    </row>
    <row r="819" spans="4:4" ht="12.75" x14ac:dyDescent="0.35">
      <c r="D819" s="29"/>
    </row>
    <row r="820" spans="4:4" ht="12.75" x14ac:dyDescent="0.35">
      <c r="D820" s="29"/>
    </row>
    <row r="821" spans="4:4" ht="12.75" x14ac:dyDescent="0.35">
      <c r="D821" s="29"/>
    </row>
    <row r="822" spans="4:4" ht="12.75" x14ac:dyDescent="0.35">
      <c r="D822" s="29"/>
    </row>
    <row r="823" spans="4:4" ht="12.75" x14ac:dyDescent="0.35">
      <c r="D823" s="29"/>
    </row>
    <row r="824" spans="4:4" ht="12.75" x14ac:dyDescent="0.35">
      <c r="D824" s="29"/>
    </row>
    <row r="825" spans="4:4" ht="12.75" x14ac:dyDescent="0.35">
      <c r="D825" s="29"/>
    </row>
    <row r="826" spans="4:4" ht="12.75" x14ac:dyDescent="0.35">
      <c r="D826" s="29"/>
    </row>
    <row r="827" spans="4:4" ht="12.75" x14ac:dyDescent="0.35">
      <c r="D827" s="29"/>
    </row>
    <row r="828" spans="4:4" ht="12.75" x14ac:dyDescent="0.35">
      <c r="D828" s="29"/>
    </row>
    <row r="829" spans="4:4" ht="12.75" x14ac:dyDescent="0.35">
      <c r="D829" s="29"/>
    </row>
    <row r="830" spans="4:4" ht="12.75" x14ac:dyDescent="0.35">
      <c r="D830" s="29"/>
    </row>
    <row r="831" spans="4:4" ht="12.75" x14ac:dyDescent="0.35">
      <c r="D831" s="29"/>
    </row>
    <row r="832" spans="4:4" ht="12.75" x14ac:dyDescent="0.35">
      <c r="D832" s="29"/>
    </row>
    <row r="833" spans="4:4" ht="12.75" x14ac:dyDescent="0.35">
      <c r="D833" s="29"/>
    </row>
    <row r="834" spans="4:4" ht="12.75" x14ac:dyDescent="0.35">
      <c r="D834" s="29"/>
    </row>
    <row r="835" spans="4:4" ht="12.75" x14ac:dyDescent="0.35">
      <c r="D835" s="29"/>
    </row>
    <row r="836" spans="4:4" ht="12.75" x14ac:dyDescent="0.35">
      <c r="D836" s="29"/>
    </row>
    <row r="837" spans="4:4" ht="12.75" x14ac:dyDescent="0.35">
      <c r="D837" s="29"/>
    </row>
    <row r="838" spans="4:4" ht="12.75" x14ac:dyDescent="0.35">
      <c r="D838" s="29"/>
    </row>
    <row r="839" spans="4:4" ht="12.75" x14ac:dyDescent="0.35">
      <c r="D839" s="29"/>
    </row>
    <row r="840" spans="4:4" ht="12.75" x14ac:dyDescent="0.35">
      <c r="D840" s="29"/>
    </row>
    <row r="841" spans="4:4" ht="12.75" x14ac:dyDescent="0.35">
      <c r="D841" s="29"/>
    </row>
    <row r="842" spans="4:4" ht="12.75" x14ac:dyDescent="0.35">
      <c r="D842" s="29"/>
    </row>
    <row r="843" spans="4:4" ht="12.75" x14ac:dyDescent="0.35">
      <c r="D843" s="29"/>
    </row>
    <row r="844" spans="4:4" ht="12.75" x14ac:dyDescent="0.35">
      <c r="D844" s="29"/>
    </row>
    <row r="845" spans="4:4" ht="12.75" x14ac:dyDescent="0.35">
      <c r="D845" s="29"/>
    </row>
    <row r="846" spans="4:4" ht="12.75" x14ac:dyDescent="0.35">
      <c r="D846" s="29"/>
    </row>
    <row r="847" spans="4:4" ht="12.75" x14ac:dyDescent="0.35">
      <c r="D847" s="29"/>
    </row>
    <row r="848" spans="4:4" ht="12.75" x14ac:dyDescent="0.35">
      <c r="D848" s="29"/>
    </row>
    <row r="849" spans="4:4" ht="12.75" x14ac:dyDescent="0.35">
      <c r="D849" s="29"/>
    </row>
    <row r="850" spans="4:4" ht="12.75" x14ac:dyDescent="0.35">
      <c r="D850" s="29"/>
    </row>
    <row r="851" spans="4:4" ht="12.75" x14ac:dyDescent="0.35">
      <c r="D851" s="29"/>
    </row>
    <row r="852" spans="4:4" ht="12.75" x14ac:dyDescent="0.35">
      <c r="D852" s="29"/>
    </row>
    <row r="853" spans="4:4" ht="12.75" x14ac:dyDescent="0.35">
      <c r="D853" s="29"/>
    </row>
    <row r="854" spans="4:4" ht="12.75" x14ac:dyDescent="0.35">
      <c r="D854" s="29"/>
    </row>
    <row r="855" spans="4:4" ht="12.75" x14ac:dyDescent="0.35">
      <c r="D855" s="29"/>
    </row>
    <row r="856" spans="4:4" ht="12.75" x14ac:dyDescent="0.35">
      <c r="D856" s="29"/>
    </row>
    <row r="857" spans="4:4" ht="12.75" x14ac:dyDescent="0.35">
      <c r="D857" s="29"/>
    </row>
    <row r="858" spans="4:4" ht="12.75" x14ac:dyDescent="0.35">
      <c r="D858" s="29"/>
    </row>
    <row r="859" spans="4:4" ht="12.75" x14ac:dyDescent="0.35">
      <c r="D859" s="29"/>
    </row>
    <row r="860" spans="4:4" ht="12.75" x14ac:dyDescent="0.35">
      <c r="D860" s="29"/>
    </row>
    <row r="861" spans="4:4" ht="12.75" x14ac:dyDescent="0.35">
      <c r="D861" s="29"/>
    </row>
    <row r="862" spans="4:4" ht="12.75" x14ac:dyDescent="0.35">
      <c r="D862" s="29"/>
    </row>
    <row r="863" spans="4:4" ht="12.75" x14ac:dyDescent="0.35">
      <c r="D863" s="29"/>
    </row>
    <row r="864" spans="4:4" ht="12.75" x14ac:dyDescent="0.35">
      <c r="D864" s="29"/>
    </row>
    <row r="865" spans="4:4" ht="12.75" x14ac:dyDescent="0.35">
      <c r="D865" s="29"/>
    </row>
    <row r="866" spans="4:4" ht="12.75" x14ac:dyDescent="0.35">
      <c r="D866" s="29"/>
    </row>
    <row r="867" spans="4:4" ht="12.75" x14ac:dyDescent="0.35">
      <c r="D867" s="29"/>
    </row>
    <row r="868" spans="4:4" ht="12.75" x14ac:dyDescent="0.35">
      <c r="D868" s="29"/>
    </row>
    <row r="869" spans="4:4" ht="12.75" x14ac:dyDescent="0.35">
      <c r="D869" s="29"/>
    </row>
    <row r="870" spans="4:4" ht="12.75" x14ac:dyDescent="0.35">
      <c r="D870" s="29"/>
    </row>
    <row r="871" spans="4:4" ht="12.75" x14ac:dyDescent="0.35">
      <c r="D871" s="29"/>
    </row>
    <row r="872" spans="4:4" ht="12.75" x14ac:dyDescent="0.35">
      <c r="D872" s="29"/>
    </row>
    <row r="873" spans="4:4" ht="12.75" x14ac:dyDescent="0.35">
      <c r="D873" s="29"/>
    </row>
    <row r="874" spans="4:4" ht="12.75" x14ac:dyDescent="0.35">
      <c r="D874" s="29"/>
    </row>
    <row r="875" spans="4:4" ht="12.75" x14ac:dyDescent="0.35">
      <c r="D875" s="29"/>
    </row>
    <row r="876" spans="4:4" ht="12.75" x14ac:dyDescent="0.35">
      <c r="D876" s="29"/>
    </row>
    <row r="877" spans="4:4" ht="12.75" x14ac:dyDescent="0.35">
      <c r="D877" s="29"/>
    </row>
    <row r="878" spans="4:4" ht="12.75" x14ac:dyDescent="0.35">
      <c r="D878" s="29"/>
    </row>
    <row r="879" spans="4:4" ht="12.75" x14ac:dyDescent="0.35">
      <c r="D879" s="29"/>
    </row>
    <row r="880" spans="4:4" ht="12.75" x14ac:dyDescent="0.35">
      <c r="D880" s="29"/>
    </row>
    <row r="881" spans="4:4" ht="12.75" x14ac:dyDescent="0.35">
      <c r="D881" s="29"/>
    </row>
    <row r="882" spans="4:4" ht="12.75" x14ac:dyDescent="0.35">
      <c r="D882" s="29"/>
    </row>
    <row r="883" spans="4:4" ht="12.75" x14ac:dyDescent="0.35">
      <c r="D883" s="29"/>
    </row>
    <row r="884" spans="4:4" ht="12.75" x14ac:dyDescent="0.35">
      <c r="D884" s="29"/>
    </row>
    <row r="885" spans="4:4" ht="12.75" x14ac:dyDescent="0.35">
      <c r="D885" s="29"/>
    </row>
    <row r="886" spans="4:4" ht="12.75" x14ac:dyDescent="0.35">
      <c r="D886" s="29"/>
    </row>
    <row r="887" spans="4:4" ht="12.75" x14ac:dyDescent="0.35">
      <c r="D887" s="29"/>
    </row>
    <row r="888" spans="4:4" ht="12.75" x14ac:dyDescent="0.35">
      <c r="D888" s="29"/>
    </row>
    <row r="889" spans="4:4" ht="12.75" x14ac:dyDescent="0.35">
      <c r="D889" s="29"/>
    </row>
    <row r="890" spans="4:4" ht="12.75" x14ac:dyDescent="0.35">
      <c r="D890" s="29"/>
    </row>
    <row r="891" spans="4:4" ht="12.75" x14ac:dyDescent="0.35">
      <c r="D891" s="29"/>
    </row>
    <row r="892" spans="4:4" ht="12.75" x14ac:dyDescent="0.35">
      <c r="D892" s="29"/>
    </row>
    <row r="893" spans="4:4" ht="12.75" x14ac:dyDescent="0.35">
      <c r="D893" s="29"/>
    </row>
    <row r="894" spans="4:4" ht="12.75" x14ac:dyDescent="0.35">
      <c r="D894" s="29"/>
    </row>
    <row r="895" spans="4:4" ht="12.75" x14ac:dyDescent="0.35">
      <c r="D895" s="29"/>
    </row>
    <row r="896" spans="4:4" ht="12.75" x14ac:dyDescent="0.35">
      <c r="D896" s="29"/>
    </row>
    <row r="897" spans="4:4" ht="12.75" x14ac:dyDescent="0.35">
      <c r="D897" s="29"/>
    </row>
    <row r="898" spans="4:4" ht="12.75" x14ac:dyDescent="0.35">
      <c r="D898" s="29"/>
    </row>
    <row r="899" spans="4:4" ht="12.75" x14ac:dyDescent="0.35">
      <c r="D899" s="29"/>
    </row>
    <row r="900" spans="4:4" ht="12.75" x14ac:dyDescent="0.35">
      <c r="D900" s="29"/>
    </row>
    <row r="901" spans="4:4" ht="12.75" x14ac:dyDescent="0.35">
      <c r="D901" s="29"/>
    </row>
    <row r="902" spans="4:4" ht="12.75" x14ac:dyDescent="0.35">
      <c r="D902" s="29"/>
    </row>
    <row r="903" spans="4:4" ht="12.75" x14ac:dyDescent="0.35">
      <c r="D903" s="29"/>
    </row>
    <row r="904" spans="4:4" ht="12.75" x14ac:dyDescent="0.35">
      <c r="D904" s="29"/>
    </row>
    <row r="905" spans="4:4" ht="12.75" x14ac:dyDescent="0.35">
      <c r="D905" s="29"/>
    </row>
    <row r="906" spans="4:4" ht="12.75" x14ac:dyDescent="0.35">
      <c r="D906" s="29"/>
    </row>
    <row r="907" spans="4:4" ht="12.75" x14ac:dyDescent="0.35">
      <c r="D907" s="29"/>
    </row>
    <row r="908" spans="4:4" ht="12.75" x14ac:dyDescent="0.35">
      <c r="D908" s="29"/>
    </row>
    <row r="909" spans="4:4" ht="12.75" x14ac:dyDescent="0.35">
      <c r="D909" s="29"/>
    </row>
    <row r="910" spans="4:4" ht="12.75" x14ac:dyDescent="0.35">
      <c r="D910" s="29"/>
    </row>
    <row r="911" spans="4:4" ht="12.75" x14ac:dyDescent="0.35">
      <c r="D911" s="29"/>
    </row>
    <row r="912" spans="4:4" ht="12.75" x14ac:dyDescent="0.35">
      <c r="D912" s="29"/>
    </row>
    <row r="913" spans="4:4" ht="12.75" x14ac:dyDescent="0.35">
      <c r="D913" s="29"/>
    </row>
    <row r="914" spans="4:4" ht="12.75" x14ac:dyDescent="0.35">
      <c r="D914" s="29"/>
    </row>
    <row r="915" spans="4:4" ht="12.75" x14ac:dyDescent="0.35">
      <c r="D915" s="29"/>
    </row>
    <row r="916" spans="4:4" ht="12.75" x14ac:dyDescent="0.35">
      <c r="D916" s="29"/>
    </row>
    <row r="917" spans="4:4" ht="12.75" x14ac:dyDescent="0.35">
      <c r="D917" s="29"/>
    </row>
    <row r="918" spans="4:4" ht="12.75" x14ac:dyDescent="0.35">
      <c r="D918" s="29"/>
    </row>
    <row r="919" spans="4:4" ht="12.75" x14ac:dyDescent="0.35">
      <c r="D919" s="29"/>
    </row>
    <row r="920" spans="4:4" ht="12.75" x14ac:dyDescent="0.35">
      <c r="D920" s="29"/>
    </row>
    <row r="921" spans="4:4" ht="12.75" x14ac:dyDescent="0.35">
      <c r="D921" s="29"/>
    </row>
    <row r="922" spans="4:4" ht="12.75" x14ac:dyDescent="0.35">
      <c r="D922" s="29"/>
    </row>
    <row r="923" spans="4:4" ht="12.75" x14ac:dyDescent="0.35">
      <c r="D923" s="29"/>
    </row>
    <row r="924" spans="4:4" ht="12.75" x14ac:dyDescent="0.35">
      <c r="D924" s="29"/>
    </row>
    <row r="925" spans="4:4" ht="12.75" x14ac:dyDescent="0.35">
      <c r="D925" s="29"/>
    </row>
    <row r="926" spans="4:4" ht="12.75" x14ac:dyDescent="0.35">
      <c r="D926" s="29"/>
    </row>
    <row r="927" spans="4:4" ht="12.75" x14ac:dyDescent="0.35">
      <c r="D927" s="29"/>
    </row>
    <row r="928" spans="4:4" ht="12.75" x14ac:dyDescent="0.35">
      <c r="D928" s="29"/>
    </row>
    <row r="929" spans="4:4" ht="12.75" x14ac:dyDescent="0.35">
      <c r="D929" s="29"/>
    </row>
    <row r="930" spans="4:4" ht="12.75" x14ac:dyDescent="0.35">
      <c r="D930" s="29"/>
    </row>
    <row r="931" spans="4:4" ht="12.75" x14ac:dyDescent="0.35">
      <c r="D931" s="29"/>
    </row>
    <row r="932" spans="4:4" ht="12.75" x14ac:dyDescent="0.35">
      <c r="D932" s="29"/>
    </row>
    <row r="933" spans="4:4" ht="12.75" x14ac:dyDescent="0.35">
      <c r="D933" s="29"/>
    </row>
    <row r="934" spans="4:4" ht="12.75" x14ac:dyDescent="0.35">
      <c r="D934" s="29"/>
    </row>
    <row r="935" spans="4:4" ht="12.75" x14ac:dyDescent="0.35">
      <c r="D935" s="29"/>
    </row>
    <row r="936" spans="4:4" ht="12.75" x14ac:dyDescent="0.35">
      <c r="D936" s="29"/>
    </row>
    <row r="937" spans="4:4" ht="12.75" x14ac:dyDescent="0.35">
      <c r="D937" s="29"/>
    </row>
    <row r="938" spans="4:4" ht="12.75" x14ac:dyDescent="0.35">
      <c r="D938" s="29"/>
    </row>
    <row r="939" spans="4:4" ht="12.75" x14ac:dyDescent="0.35">
      <c r="D939" s="29"/>
    </row>
    <row r="940" spans="4:4" ht="12.75" x14ac:dyDescent="0.35">
      <c r="D940" s="29"/>
    </row>
    <row r="941" spans="4:4" ht="12.75" x14ac:dyDescent="0.35">
      <c r="D941" s="29"/>
    </row>
    <row r="942" spans="4:4" ht="12.75" x14ac:dyDescent="0.35">
      <c r="D942" s="29"/>
    </row>
    <row r="943" spans="4:4" ht="12.75" x14ac:dyDescent="0.35">
      <c r="D943" s="29"/>
    </row>
    <row r="944" spans="4:4" ht="12.75" x14ac:dyDescent="0.35">
      <c r="D944" s="29"/>
    </row>
    <row r="945" spans="4:4" ht="12.75" x14ac:dyDescent="0.35">
      <c r="D945" s="29"/>
    </row>
    <row r="946" spans="4:4" ht="12.75" x14ac:dyDescent="0.35">
      <c r="D946" s="29"/>
    </row>
    <row r="947" spans="4:4" ht="12.75" x14ac:dyDescent="0.35">
      <c r="D947" s="29"/>
    </row>
    <row r="948" spans="4:4" ht="12.75" x14ac:dyDescent="0.35">
      <c r="D948" s="29"/>
    </row>
    <row r="949" spans="4:4" ht="12.75" x14ac:dyDescent="0.35">
      <c r="D949" s="29"/>
    </row>
    <row r="950" spans="4:4" ht="12.75" x14ac:dyDescent="0.35">
      <c r="D950" s="29"/>
    </row>
    <row r="951" spans="4:4" ht="12.75" x14ac:dyDescent="0.35">
      <c r="D951" s="29"/>
    </row>
    <row r="952" spans="4:4" ht="12.75" x14ac:dyDescent="0.35">
      <c r="D952" s="29"/>
    </row>
    <row r="953" spans="4:4" ht="12.75" x14ac:dyDescent="0.35">
      <c r="D953" s="29"/>
    </row>
    <row r="954" spans="4:4" ht="12.75" x14ac:dyDescent="0.35">
      <c r="D954" s="29"/>
    </row>
    <row r="955" spans="4:4" ht="12.75" x14ac:dyDescent="0.35">
      <c r="D955" s="29"/>
    </row>
    <row r="956" spans="4:4" ht="12.75" x14ac:dyDescent="0.35">
      <c r="D956" s="29"/>
    </row>
    <row r="957" spans="4:4" ht="12.75" x14ac:dyDescent="0.35">
      <c r="D957" s="29"/>
    </row>
    <row r="958" spans="4:4" ht="12.75" x14ac:dyDescent="0.35">
      <c r="D958" s="29"/>
    </row>
    <row r="959" spans="4:4" ht="12.75" x14ac:dyDescent="0.35">
      <c r="D959" s="29"/>
    </row>
    <row r="960" spans="4:4" ht="12.75" x14ac:dyDescent="0.35">
      <c r="D960" s="29"/>
    </row>
    <row r="961" spans="4:4" ht="12.75" x14ac:dyDescent="0.35">
      <c r="D961" s="29"/>
    </row>
    <row r="962" spans="4:4" ht="12.75" x14ac:dyDescent="0.35">
      <c r="D962" s="29"/>
    </row>
    <row r="963" spans="4:4" ht="12.75" x14ac:dyDescent="0.35">
      <c r="D963" s="29"/>
    </row>
    <row r="964" spans="4:4" ht="12.75" x14ac:dyDescent="0.35">
      <c r="D964" s="29"/>
    </row>
    <row r="965" spans="4:4" ht="12.75" x14ac:dyDescent="0.35">
      <c r="D965" s="29"/>
    </row>
    <row r="966" spans="4:4" ht="12.75" x14ac:dyDescent="0.35">
      <c r="D966" s="29"/>
    </row>
    <row r="967" spans="4:4" ht="12.75" x14ac:dyDescent="0.35">
      <c r="D967" s="29"/>
    </row>
    <row r="968" spans="4:4" ht="12.75" x14ac:dyDescent="0.35">
      <c r="D968" s="29"/>
    </row>
    <row r="969" spans="4:4" ht="12.75" x14ac:dyDescent="0.35">
      <c r="D969" s="29"/>
    </row>
    <row r="970" spans="4:4" ht="12.75" x14ac:dyDescent="0.35">
      <c r="D970" s="29"/>
    </row>
    <row r="971" spans="4:4" ht="12.75" x14ac:dyDescent="0.35">
      <c r="D971" s="29"/>
    </row>
    <row r="972" spans="4:4" ht="12.75" x14ac:dyDescent="0.35">
      <c r="D972" s="29"/>
    </row>
    <row r="973" spans="4:4" ht="12.75" x14ac:dyDescent="0.35">
      <c r="D973" s="29"/>
    </row>
    <row r="974" spans="4:4" ht="12.75" x14ac:dyDescent="0.35">
      <c r="D974" s="29"/>
    </row>
    <row r="975" spans="4:4" ht="12.75" x14ac:dyDescent="0.35">
      <c r="D975" s="29"/>
    </row>
    <row r="976" spans="4:4" ht="12.75" x14ac:dyDescent="0.35">
      <c r="D976" s="29"/>
    </row>
    <row r="977" spans="4:4" ht="12.75" x14ac:dyDescent="0.35">
      <c r="D977" s="29"/>
    </row>
    <row r="978" spans="4:4" ht="12.75" x14ac:dyDescent="0.35">
      <c r="D978" s="29"/>
    </row>
    <row r="979" spans="4:4" ht="12.75" x14ac:dyDescent="0.35">
      <c r="D979" s="29"/>
    </row>
    <row r="980" spans="4:4" ht="12.75" x14ac:dyDescent="0.35">
      <c r="D980" s="29"/>
    </row>
    <row r="981" spans="4:4" ht="12.75" x14ac:dyDescent="0.35">
      <c r="D981" s="29"/>
    </row>
    <row r="982" spans="4:4" ht="12.75" x14ac:dyDescent="0.35">
      <c r="D982" s="29"/>
    </row>
    <row r="983" spans="4:4" ht="12.75" x14ac:dyDescent="0.35">
      <c r="D983" s="29"/>
    </row>
    <row r="984" spans="4:4" ht="12.75" x14ac:dyDescent="0.35">
      <c r="D984" s="29"/>
    </row>
    <row r="985" spans="4:4" ht="12.75" x14ac:dyDescent="0.35">
      <c r="D985" s="29"/>
    </row>
    <row r="986" spans="4:4" ht="12.75" x14ac:dyDescent="0.35">
      <c r="D986" s="29"/>
    </row>
    <row r="987" spans="4:4" ht="12.75" x14ac:dyDescent="0.35">
      <c r="D987" s="29"/>
    </row>
    <row r="988" spans="4:4" ht="12.75" x14ac:dyDescent="0.35">
      <c r="D988" s="29"/>
    </row>
    <row r="989" spans="4:4" ht="12.75" x14ac:dyDescent="0.35">
      <c r="D989" s="29"/>
    </row>
    <row r="990" spans="4:4" ht="12.75" x14ac:dyDescent="0.35">
      <c r="D990" s="29"/>
    </row>
    <row r="991" spans="4:4" ht="12.75" x14ac:dyDescent="0.35">
      <c r="D991" s="29"/>
    </row>
    <row r="992" spans="4:4" ht="12.75" x14ac:dyDescent="0.35">
      <c r="D992" s="29"/>
    </row>
    <row r="993" spans="4:4" ht="12.75" x14ac:dyDescent="0.35">
      <c r="D993" s="29"/>
    </row>
    <row r="994" spans="4:4" ht="12.75" x14ac:dyDescent="0.35">
      <c r="D994" s="29"/>
    </row>
    <row r="995" spans="4:4" ht="12.75" x14ac:dyDescent="0.35">
      <c r="D995" s="29"/>
    </row>
    <row r="996" spans="4:4" ht="12.75" x14ac:dyDescent="0.35">
      <c r="D996" s="29"/>
    </row>
    <row r="997" spans="4:4" ht="12.75" x14ac:dyDescent="0.35">
      <c r="D997" s="29"/>
    </row>
    <row r="998" spans="4:4" ht="12.75" x14ac:dyDescent="0.35">
      <c r="D998" s="29"/>
    </row>
    <row r="999" spans="4:4" ht="12.75" x14ac:dyDescent="0.35">
      <c r="D999" s="29"/>
    </row>
    <row r="1000" spans="4:4" ht="12.75" x14ac:dyDescent="0.35">
      <c r="D1000" s="29"/>
    </row>
    <row r="1001" spans="4:4" ht="12.75" x14ac:dyDescent="0.35">
      <c r="D1001" s="29"/>
    </row>
    <row r="1002" spans="4:4" ht="12.75" x14ac:dyDescent="0.35">
      <c r="D1002" s="29"/>
    </row>
    <row r="1003" spans="4:4" ht="12.75" x14ac:dyDescent="0.35">
      <c r="D1003" s="29"/>
    </row>
    <row r="1004" spans="4:4" ht="12.75" x14ac:dyDescent="0.35">
      <c r="D1004" s="29"/>
    </row>
  </sheetData>
  <mergeCells count="19">
    <mergeCell ref="J1:P1"/>
    <mergeCell ref="Q1:U1"/>
    <mergeCell ref="A1:A2"/>
    <mergeCell ref="B1:B2"/>
    <mergeCell ref="C1:C2"/>
    <mergeCell ref="F1:F2"/>
    <mergeCell ref="G1:G2"/>
    <mergeCell ref="H1:H2"/>
    <mergeCell ref="I1:I2"/>
    <mergeCell ref="A24:A26"/>
    <mergeCell ref="A27:A29"/>
    <mergeCell ref="A30:A32"/>
    <mergeCell ref="A3:A5"/>
    <mergeCell ref="A6:A8"/>
    <mergeCell ref="A9:A11"/>
    <mergeCell ref="A12:A14"/>
    <mergeCell ref="A15:A17"/>
    <mergeCell ref="A18:A20"/>
    <mergeCell ref="A21:A2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Dashboard_Risiko Sektoral</vt:lpstr>
      <vt:lpstr>Dashboard_Eksposur Kurs</vt:lpstr>
      <vt:lpstr>Summary</vt:lpstr>
      <vt:lpstr>Comparables_Data IBS</vt:lpstr>
      <vt:lpstr>Data IBS per Tahun</vt:lpstr>
      <vt:lpstr>Heat Map</vt:lpstr>
      <vt:lpstr>Kode KBLI 2 Digit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Bertha Fania Maula</dc:creator>
  <cp:keywords/>
  <dc:description/>
  <cp:lastModifiedBy>Bertha Fania Maula</cp:lastModifiedBy>
  <cp:revision/>
  <dcterms:created xsi:type="dcterms:W3CDTF">2026-07-24T08:53:10Z</dcterms:created>
  <dcterms:modified xsi:type="dcterms:W3CDTF">2026-07-28T03:54:49Z</dcterms:modified>
  <cp:category/>
  <cp:contentStatus/>
</cp:coreProperties>
</file>